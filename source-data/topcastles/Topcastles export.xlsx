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intbac-my.sharepoint.com/personal/robert_rongen_ibo_org/Documents/tk/topkastelen_nl/"/>
    </mc:Choice>
  </mc:AlternateContent>
  <xr:revisionPtr revIDLastSave="34" documentId="8_{85A42056-7A30-4461-9014-CE2872675A0E}" xr6:coauthVersionLast="47" xr6:coauthVersionMax="47" xr10:uidLastSave="{32CB05A5-7277-44F3-B1F2-87F73F8E8AAF}"/>
  <bookViews>
    <workbookView xWindow="-29010" yWindow="-7995" windowWidth="29040" windowHeight="15720" tabRatio="544" xr2:uid="{00000000-000D-0000-FFFF-FFFF00000000}"/>
  </bookViews>
  <sheets>
    <sheet name="topkastelen_nl" sheetId="15" r:id="rId1"/>
    <sheet name="No_Castles" sheetId="6" r:id="rId2"/>
    <sheet name="Lookups" sheetId="5" r:id="rId3"/>
  </sheets>
  <definedNames>
    <definedName name="_1Excel_BuiltIn__FilterDatabase_1_1_1">#REF!</definedName>
    <definedName name="_xlnm._FilterDatabase" localSheetId="1" hidden="1">No_Castles!$A$1:$KF$48</definedName>
    <definedName name="algemeen">#REF!</definedName>
    <definedName name="bouwconcept">Lookups!$A$10:$C$18</definedName>
    <definedName name="bouwconcept_3">#REF!</definedName>
    <definedName name="condition">Lookups!$A$21:$C$26</definedName>
    <definedName name="condition_3">#REF!</definedName>
    <definedName name="Excel_BuiltIn__FilterDatabase_1">#REF!</definedName>
    <definedName name="Excel_BuiltIn__FilterDatabase_1_1">#REF!</definedName>
    <definedName name="Excel_BuiltIn_Print_Area_1">#REF!</definedName>
    <definedName name="Excel_BuiltIn_Print_Area_3">#REF!</definedName>
    <definedName name="Excel_BuiltIn_Print_Titles_1">#REF!</definedName>
    <definedName name="factor1">#REF!</definedName>
    <definedName name="factor2">#REF!</definedName>
    <definedName name="factor3">#REF!</definedName>
    <definedName name="factor4">#REF!</definedName>
    <definedName name="factor5">#REF!</definedName>
    <definedName name="factor6">#REF!</definedName>
    <definedName name="factor7">#REF!</definedName>
    <definedName name="gbp">Lookups!#REF!</definedName>
    <definedName name="gbp_3">#REF!</definedName>
    <definedName name="gbp_5">Lookups!#REF!</definedName>
    <definedName name="kastelen">#REF!</definedName>
    <definedName name="land">#REF!</definedName>
    <definedName name="ligging">Lookups!$A$2:$C$7</definedName>
    <definedName name="ligging_3">#REF!</definedName>
    <definedName name="MaxScore">#REF!</definedName>
    <definedName name="nocastle">Lookups!$A$29:$C$37</definedName>
    <definedName name="nocastle_3">#REF!</definedName>
    <definedName name="score_gemiddeld">#REF!</definedName>
    <definedName name="score_totaal">#REF!</definedName>
    <definedName name="stemmen">#REF!</definedName>
    <definedName name="usd">Lookups!#REF!</definedName>
    <definedName name="usd_3">#REF!</definedName>
    <definedName name="usd_5">Lookups!#REF!</definedName>
    <definedName name="Webcorrectie">#REF!</definedName>
    <definedName name="websi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0" i="6" l="1"/>
  <c r="AA40" i="6"/>
  <c r="AB12" i="6"/>
  <c r="AA12" i="6"/>
  <c r="JX40" i="6" l="1"/>
  <c r="JW40" i="6"/>
  <c r="JV40" i="6"/>
  <c r="JU40" i="6"/>
  <c r="JT40" i="6"/>
  <c r="JS40" i="6"/>
  <c r="JR40" i="6"/>
  <c r="JQ40" i="6"/>
  <c r="JP40" i="6"/>
  <c r="JO40" i="6"/>
  <c r="JN40" i="6"/>
  <c r="JM40" i="6"/>
  <c r="JL40" i="6"/>
  <c r="JK40" i="6"/>
  <c r="JJ40" i="6"/>
  <c r="JI40" i="6"/>
  <c r="JH40" i="6"/>
  <c r="JG40" i="6"/>
  <c r="JF40" i="6"/>
  <c r="JE40" i="6"/>
  <c r="JD40" i="6"/>
  <c r="JC40" i="6"/>
  <c r="JB40" i="6"/>
  <c r="JA40" i="6"/>
  <c r="IZ40" i="6"/>
  <c r="IY40" i="6"/>
  <c r="IX40" i="6"/>
  <c r="IW40" i="6"/>
  <c r="IV40" i="6"/>
  <c r="IU40" i="6"/>
  <c r="IT40" i="6"/>
  <c r="IS40" i="6"/>
  <c r="IR40" i="6"/>
  <c r="IQ40" i="6"/>
  <c r="IP40" i="6"/>
  <c r="IO40" i="6"/>
  <c r="IN40" i="6"/>
  <c r="IM40" i="6"/>
  <c r="IL40" i="6"/>
  <c r="IK40" i="6"/>
  <c r="IJ40" i="6"/>
  <c r="II40" i="6"/>
  <c r="IH40" i="6"/>
  <c r="IG40" i="6"/>
  <c r="IF40" i="6"/>
  <c r="IE40" i="6"/>
  <c r="ID40" i="6"/>
  <c r="IC40" i="6"/>
  <c r="IB40" i="6"/>
  <c r="IA40" i="6"/>
  <c r="HZ40" i="6"/>
  <c r="HY40" i="6"/>
  <c r="HX40" i="6"/>
  <c r="HW40" i="6"/>
  <c r="HV40" i="6"/>
  <c r="HU40" i="6"/>
  <c r="HT40" i="6"/>
  <c r="HS40" i="6"/>
  <c r="HR40" i="6"/>
  <c r="HQ40" i="6"/>
  <c r="HP40" i="6"/>
  <c r="HO40" i="6"/>
  <c r="HN40" i="6"/>
  <c r="HM40" i="6"/>
  <c r="HL40" i="6"/>
  <c r="HK40" i="6"/>
  <c r="HJ40" i="6"/>
  <c r="HI40" i="6"/>
  <c r="HH40" i="6"/>
  <c r="HG40" i="6"/>
  <c r="HF40" i="6"/>
  <c r="HE40" i="6"/>
  <c r="BM40" i="6"/>
  <c r="BF40" i="6"/>
  <c r="BG40" i="6" s="1"/>
  <c r="BB40" i="6"/>
  <c r="AH40" i="6"/>
  <c r="T40" i="6"/>
  <c r="S40" i="6"/>
  <c r="Q40" i="6"/>
  <c r="P40" i="6"/>
  <c r="N40" i="6"/>
  <c r="M40" i="6"/>
  <c r="JX12" i="6"/>
  <c r="JW12" i="6"/>
  <c r="JV12" i="6"/>
  <c r="JU12" i="6"/>
  <c r="JT12" i="6"/>
  <c r="JS12" i="6"/>
  <c r="JR12" i="6"/>
  <c r="JQ12" i="6"/>
  <c r="JP12" i="6"/>
  <c r="JO12" i="6"/>
  <c r="JN12" i="6"/>
  <c r="JM12" i="6"/>
  <c r="JL12" i="6"/>
  <c r="JK12" i="6"/>
  <c r="JJ12" i="6"/>
  <c r="JI12" i="6"/>
  <c r="JH12" i="6"/>
  <c r="JG12" i="6"/>
  <c r="JF12" i="6"/>
  <c r="JE12" i="6"/>
  <c r="JD12" i="6"/>
  <c r="JC12" i="6"/>
  <c r="JB12" i="6"/>
  <c r="JA12" i="6"/>
  <c r="IZ12" i="6"/>
  <c r="IY12" i="6"/>
  <c r="IX12" i="6"/>
  <c r="IW12" i="6"/>
  <c r="IV12" i="6"/>
  <c r="IU12" i="6"/>
  <c r="IT12" i="6"/>
  <c r="IS12" i="6"/>
  <c r="IR12" i="6"/>
  <c r="IQ12" i="6"/>
  <c r="IP12" i="6"/>
  <c r="IO12" i="6"/>
  <c r="IN12" i="6"/>
  <c r="IM12" i="6"/>
  <c r="IL12" i="6"/>
  <c r="IK12" i="6"/>
  <c r="IJ12" i="6"/>
  <c r="II12" i="6"/>
  <c r="IH12" i="6"/>
  <c r="IG12" i="6"/>
  <c r="IF12" i="6"/>
  <c r="IE12" i="6"/>
  <c r="ID12" i="6"/>
  <c r="IC12" i="6"/>
  <c r="IB12" i="6"/>
  <c r="IA12" i="6"/>
  <c r="HZ12" i="6"/>
  <c r="HY12" i="6"/>
  <c r="HX12" i="6"/>
  <c r="HW12" i="6"/>
  <c r="HV12" i="6"/>
  <c r="HU12" i="6"/>
  <c r="HT12" i="6"/>
  <c r="HS12" i="6"/>
  <c r="HR12" i="6"/>
  <c r="HQ12" i="6"/>
  <c r="HP12" i="6"/>
  <c r="HO12" i="6"/>
  <c r="HN12" i="6"/>
  <c r="HM12" i="6"/>
  <c r="HL12" i="6"/>
  <c r="HK12" i="6"/>
  <c r="HJ12" i="6"/>
  <c r="HI12" i="6"/>
  <c r="HH12" i="6"/>
  <c r="HG12" i="6"/>
  <c r="HF12" i="6"/>
  <c r="HE12" i="6"/>
  <c r="BM12" i="6"/>
  <c r="BF12" i="6"/>
  <c r="BG12" i="6" s="1"/>
  <c r="BB12" i="6"/>
  <c r="AH12" i="6"/>
  <c r="T12" i="6"/>
  <c r="S12" i="6"/>
  <c r="Q12" i="6"/>
  <c r="P12" i="6"/>
  <c r="N12" i="6"/>
  <c r="M12" i="6"/>
  <c r="AA37" i="6" l="1"/>
  <c r="AB37" i="6"/>
  <c r="JF37" i="6"/>
  <c r="JE37" i="6"/>
  <c r="JD37" i="6"/>
  <c r="JC37" i="6"/>
  <c r="JB37" i="6"/>
  <c r="JA37" i="6"/>
  <c r="IZ37" i="6"/>
  <c r="IY37" i="6"/>
  <c r="IX37" i="6"/>
  <c r="IW37" i="6"/>
  <c r="IV37" i="6"/>
  <c r="IU37" i="6"/>
  <c r="IT37" i="6"/>
  <c r="IS37" i="6"/>
  <c r="IR37" i="6"/>
  <c r="IQ37" i="6"/>
  <c r="IP37" i="6"/>
  <c r="IO37" i="6"/>
  <c r="IN37" i="6"/>
  <c r="IM37" i="6"/>
  <c r="IL37" i="6"/>
  <c r="IK37" i="6"/>
  <c r="IJ37" i="6"/>
  <c r="II37" i="6"/>
  <c r="IH37" i="6"/>
  <c r="IG37" i="6"/>
  <c r="IF37" i="6"/>
  <c r="IE37" i="6"/>
  <c r="ID37" i="6"/>
  <c r="IC37" i="6"/>
  <c r="IB37" i="6"/>
  <c r="IA37" i="6"/>
  <c r="HZ37" i="6"/>
  <c r="HY37" i="6"/>
  <c r="HX37" i="6"/>
  <c r="HW37" i="6"/>
  <c r="HV37" i="6"/>
  <c r="HU37" i="6"/>
  <c r="HT37" i="6"/>
  <c r="HS37" i="6"/>
  <c r="HR37" i="6"/>
  <c r="HQ37" i="6"/>
  <c r="HP37" i="6"/>
  <c r="HO37" i="6"/>
  <c r="HN37" i="6"/>
  <c r="HM37" i="6"/>
  <c r="HL37" i="6"/>
  <c r="HK37" i="6"/>
  <c r="HJ37" i="6"/>
  <c r="HI37" i="6"/>
  <c r="HH37" i="6"/>
  <c r="HG37" i="6"/>
  <c r="HF37" i="6"/>
  <c r="HE37" i="6"/>
  <c r="HD37" i="6"/>
  <c r="HC37" i="6"/>
  <c r="HB37" i="6"/>
  <c r="HA37" i="6"/>
  <c r="GZ37" i="6"/>
  <c r="GY37" i="6"/>
  <c r="GX37" i="6"/>
  <c r="GW37" i="6"/>
  <c r="GV37" i="6"/>
  <c r="GU37" i="6"/>
  <c r="GT37" i="6"/>
  <c r="BP37" i="6"/>
  <c r="BI37" i="6"/>
  <c r="BJ37" i="6" s="1"/>
  <c r="BE37" i="6"/>
  <c r="AK37" i="6"/>
  <c r="T37" i="6"/>
  <c r="S37" i="6"/>
  <c r="Q37" i="6"/>
  <c r="P37" i="6"/>
  <c r="N37" i="6"/>
  <c r="M37" i="6"/>
  <c r="AZ9" i="6"/>
  <c r="AB9" i="6"/>
  <c r="AA9" i="6"/>
  <c r="T9" i="6"/>
  <c r="S9" i="6"/>
  <c r="Q9" i="6"/>
  <c r="P9" i="6"/>
  <c r="N9" i="6"/>
  <c r="M9" i="6"/>
  <c r="AZ24" i="6"/>
  <c r="AB24" i="6"/>
  <c r="AA24" i="6"/>
  <c r="T24" i="6"/>
  <c r="S24" i="6"/>
  <c r="Q24" i="6"/>
  <c r="P24" i="6"/>
  <c r="N24" i="6"/>
  <c r="M24" i="6"/>
  <c r="AZ31" i="6"/>
  <c r="AB31" i="6"/>
  <c r="AA31" i="6"/>
  <c r="T31" i="6"/>
  <c r="S31" i="6"/>
  <c r="Q31" i="6"/>
  <c r="P31" i="6"/>
  <c r="N31" i="6"/>
  <c r="M31" i="6"/>
  <c r="AA38" i="6"/>
  <c r="AB38" i="6"/>
  <c r="JF38" i="6"/>
  <c r="JE38" i="6"/>
  <c r="JD38" i="6"/>
  <c r="JC38" i="6"/>
  <c r="JB38" i="6"/>
  <c r="JA38" i="6"/>
  <c r="IZ38" i="6"/>
  <c r="IY38" i="6"/>
  <c r="IX38" i="6"/>
  <c r="IW38" i="6"/>
  <c r="IV38" i="6"/>
  <c r="IU38" i="6"/>
  <c r="IT38" i="6"/>
  <c r="IS38" i="6"/>
  <c r="IR38" i="6"/>
  <c r="IQ38" i="6"/>
  <c r="IP38" i="6"/>
  <c r="IO38" i="6"/>
  <c r="IN38" i="6"/>
  <c r="IM38" i="6"/>
  <c r="IL38" i="6"/>
  <c r="IK38" i="6"/>
  <c r="IJ38" i="6"/>
  <c r="II38" i="6"/>
  <c r="IH38" i="6"/>
  <c r="IG38" i="6"/>
  <c r="IF38" i="6"/>
  <c r="IE38" i="6"/>
  <c r="ID38" i="6"/>
  <c r="IC38" i="6"/>
  <c r="IB38" i="6"/>
  <c r="IA38" i="6"/>
  <c r="HZ38" i="6"/>
  <c r="HY38" i="6"/>
  <c r="HX38" i="6"/>
  <c r="HW38" i="6"/>
  <c r="HV38" i="6"/>
  <c r="HU38" i="6"/>
  <c r="HT38" i="6"/>
  <c r="HS38" i="6"/>
  <c r="HR38" i="6"/>
  <c r="HQ38" i="6"/>
  <c r="HP38" i="6"/>
  <c r="HO38" i="6"/>
  <c r="HN38" i="6"/>
  <c r="HM38" i="6"/>
  <c r="HL38" i="6"/>
  <c r="HK38" i="6"/>
  <c r="HJ38" i="6"/>
  <c r="HI38" i="6"/>
  <c r="HH38" i="6"/>
  <c r="HG38" i="6"/>
  <c r="HF38" i="6"/>
  <c r="HE38" i="6"/>
  <c r="HD38" i="6"/>
  <c r="HC38" i="6"/>
  <c r="HB38" i="6"/>
  <c r="HA38" i="6"/>
  <c r="GZ38" i="6"/>
  <c r="GY38" i="6"/>
  <c r="GX38" i="6"/>
  <c r="GW38" i="6"/>
  <c r="GV38" i="6"/>
  <c r="GU38" i="6"/>
  <c r="GT38" i="6"/>
  <c r="BP38" i="6"/>
  <c r="BI38" i="6"/>
  <c r="BJ38" i="6" s="1"/>
  <c r="BE38" i="6"/>
  <c r="AK38" i="6"/>
  <c r="T38" i="6"/>
  <c r="S38" i="6"/>
  <c r="Q38" i="6"/>
  <c r="P38" i="6"/>
  <c r="N38" i="6"/>
  <c r="M38" i="6"/>
  <c r="AZ2" i="6"/>
  <c r="AB2" i="6"/>
  <c r="AA2" i="6"/>
  <c r="T2" i="6"/>
  <c r="S2" i="6"/>
  <c r="Q2" i="6"/>
  <c r="P2" i="6"/>
  <c r="N2" i="6"/>
  <c r="M2" i="6"/>
  <c r="AB14" i="6"/>
  <c r="AA14" i="6"/>
  <c r="AB27" i="6"/>
  <c r="AA27" i="6"/>
  <c r="JE27" i="6"/>
  <c r="JD27" i="6"/>
  <c r="JC27" i="6"/>
  <c r="JB27" i="6"/>
  <c r="JA27" i="6"/>
  <c r="IZ27" i="6"/>
  <c r="IY27" i="6"/>
  <c r="IX27" i="6"/>
  <c r="IW27" i="6"/>
  <c r="IV27" i="6"/>
  <c r="IU27" i="6"/>
  <c r="IT27" i="6"/>
  <c r="IS27" i="6"/>
  <c r="IR27" i="6"/>
  <c r="IQ27" i="6"/>
  <c r="IP27" i="6"/>
  <c r="IO27" i="6"/>
  <c r="IN27" i="6"/>
  <c r="IM27" i="6"/>
  <c r="IL27" i="6"/>
  <c r="IK27" i="6"/>
  <c r="IJ27" i="6"/>
  <c r="II27" i="6"/>
  <c r="IH27" i="6"/>
  <c r="IG27" i="6"/>
  <c r="IF27" i="6"/>
  <c r="IE27" i="6"/>
  <c r="ID27" i="6"/>
  <c r="IC27" i="6"/>
  <c r="IB27" i="6"/>
  <c r="IA27" i="6"/>
  <c r="HZ27" i="6"/>
  <c r="HY27" i="6"/>
  <c r="HX27" i="6"/>
  <c r="HW27" i="6"/>
  <c r="HV27" i="6"/>
  <c r="HU27" i="6"/>
  <c r="HT27" i="6"/>
  <c r="HS27" i="6"/>
  <c r="HR27" i="6"/>
  <c r="HQ27" i="6"/>
  <c r="HP27" i="6"/>
  <c r="HO27" i="6"/>
  <c r="HN27" i="6"/>
  <c r="HM27" i="6"/>
  <c r="HL27" i="6"/>
  <c r="HK27" i="6"/>
  <c r="HJ27" i="6"/>
  <c r="HI27" i="6"/>
  <c r="HH27" i="6"/>
  <c r="HG27" i="6"/>
  <c r="HF27" i="6"/>
  <c r="HE27" i="6"/>
  <c r="HD27" i="6"/>
  <c r="HC27" i="6"/>
  <c r="HB27" i="6"/>
  <c r="HA27" i="6"/>
  <c r="GZ27" i="6"/>
  <c r="GY27" i="6"/>
  <c r="GX27" i="6"/>
  <c r="GW27" i="6"/>
  <c r="GV27" i="6"/>
  <c r="GU27" i="6"/>
  <c r="GT27" i="6"/>
  <c r="BP27" i="6"/>
  <c r="BI27" i="6"/>
  <c r="BJ27" i="6" s="1"/>
  <c r="BE27" i="6"/>
  <c r="AK27" i="6"/>
  <c r="T27" i="6"/>
  <c r="S27" i="6"/>
  <c r="Q27" i="6"/>
  <c r="P27" i="6"/>
  <c r="N27" i="6"/>
  <c r="M27" i="6"/>
  <c r="JE14" i="6"/>
  <c r="JD14" i="6"/>
  <c r="JC14" i="6"/>
  <c r="JB14" i="6"/>
  <c r="JA14" i="6"/>
  <c r="IZ14" i="6"/>
  <c r="IY14" i="6"/>
  <c r="IX14" i="6"/>
  <c r="IW14" i="6"/>
  <c r="IV14" i="6"/>
  <c r="IU14" i="6"/>
  <c r="IT14" i="6"/>
  <c r="IS14" i="6"/>
  <c r="IR14" i="6"/>
  <c r="IQ14" i="6"/>
  <c r="IP14" i="6"/>
  <c r="IO14" i="6"/>
  <c r="IN14" i="6"/>
  <c r="IM14" i="6"/>
  <c r="IL14" i="6"/>
  <c r="IK14" i="6"/>
  <c r="IJ14" i="6"/>
  <c r="II14" i="6"/>
  <c r="IH14" i="6"/>
  <c r="IG14" i="6"/>
  <c r="IF14" i="6"/>
  <c r="IE14" i="6"/>
  <c r="ID14" i="6"/>
  <c r="IC14" i="6"/>
  <c r="IB14" i="6"/>
  <c r="IA14" i="6"/>
  <c r="HZ14" i="6"/>
  <c r="HY14" i="6"/>
  <c r="HX14" i="6"/>
  <c r="HW14" i="6"/>
  <c r="HV14" i="6"/>
  <c r="HU14" i="6"/>
  <c r="HT14" i="6"/>
  <c r="HS14" i="6"/>
  <c r="HR14" i="6"/>
  <c r="HQ14" i="6"/>
  <c r="HP14" i="6"/>
  <c r="HO14" i="6"/>
  <c r="HN14" i="6"/>
  <c r="HM14" i="6"/>
  <c r="HL14" i="6"/>
  <c r="HK14" i="6"/>
  <c r="HJ14" i="6"/>
  <c r="HI14" i="6"/>
  <c r="HH14" i="6"/>
  <c r="HG14" i="6"/>
  <c r="HF14" i="6"/>
  <c r="HE14" i="6"/>
  <c r="HD14" i="6"/>
  <c r="HC14" i="6"/>
  <c r="HB14" i="6"/>
  <c r="HA14" i="6"/>
  <c r="GZ14" i="6"/>
  <c r="GY14" i="6"/>
  <c r="GX14" i="6"/>
  <c r="GW14" i="6"/>
  <c r="GV14" i="6"/>
  <c r="GU14" i="6"/>
  <c r="GT14" i="6"/>
  <c r="BP14" i="6"/>
  <c r="BI14" i="6"/>
  <c r="BJ14" i="6" s="1"/>
  <c r="BE14" i="6"/>
  <c r="AK14" i="6"/>
  <c r="T14" i="6"/>
  <c r="S14" i="6"/>
  <c r="Q14" i="6"/>
  <c r="P14" i="6"/>
  <c r="N14" i="6"/>
  <c r="M14" i="6"/>
  <c r="AB43" i="6"/>
  <c r="AA43" i="6"/>
  <c r="AB44" i="6"/>
  <c r="AA44" i="6"/>
  <c r="JF60" i="6"/>
  <c r="JF59" i="6"/>
  <c r="JE43" i="6"/>
  <c r="JD43" i="6"/>
  <c r="JC43" i="6"/>
  <c r="JB43" i="6"/>
  <c r="JA43" i="6"/>
  <c r="IZ43" i="6"/>
  <c r="IY43" i="6"/>
  <c r="IX43" i="6"/>
  <c r="IW43" i="6"/>
  <c r="IV43" i="6"/>
  <c r="IU43" i="6"/>
  <c r="IT43" i="6"/>
  <c r="IS43" i="6"/>
  <c r="IR43" i="6"/>
  <c r="IQ43" i="6"/>
  <c r="IP43" i="6"/>
  <c r="IO43" i="6"/>
  <c r="IN43" i="6"/>
  <c r="IM43" i="6"/>
  <c r="IL43" i="6"/>
  <c r="IK43" i="6"/>
  <c r="IJ43" i="6"/>
  <c r="II43" i="6"/>
  <c r="IH43" i="6"/>
  <c r="IG43" i="6"/>
  <c r="IF43" i="6"/>
  <c r="IE43" i="6"/>
  <c r="ID43" i="6"/>
  <c r="IC43" i="6"/>
  <c r="IB43" i="6"/>
  <c r="IA43" i="6"/>
  <c r="HZ43" i="6"/>
  <c r="HY43" i="6"/>
  <c r="HX43" i="6"/>
  <c r="HW43" i="6"/>
  <c r="HV43" i="6"/>
  <c r="HU43" i="6"/>
  <c r="HT43" i="6"/>
  <c r="HS43" i="6"/>
  <c r="HR43" i="6"/>
  <c r="HQ43" i="6"/>
  <c r="HP43" i="6"/>
  <c r="HO43" i="6"/>
  <c r="HN43" i="6"/>
  <c r="HM43" i="6"/>
  <c r="HL43" i="6"/>
  <c r="HK43" i="6"/>
  <c r="HJ43" i="6"/>
  <c r="HI43" i="6"/>
  <c r="HH43" i="6"/>
  <c r="HG43" i="6"/>
  <c r="HF43" i="6"/>
  <c r="HE43" i="6"/>
  <c r="HD43" i="6"/>
  <c r="HC43" i="6"/>
  <c r="HB43" i="6"/>
  <c r="HA43" i="6"/>
  <c r="GZ43" i="6"/>
  <c r="GY43" i="6"/>
  <c r="GX43" i="6"/>
  <c r="GW43" i="6"/>
  <c r="GV43" i="6"/>
  <c r="GU43" i="6"/>
  <c r="GT43" i="6"/>
  <c r="BP43" i="6"/>
  <c r="BI43" i="6"/>
  <c r="BJ43" i="6" s="1"/>
  <c r="BE43" i="6"/>
  <c r="AK43" i="6"/>
  <c r="T43" i="6"/>
  <c r="S43" i="6"/>
  <c r="Q43" i="6"/>
  <c r="P43" i="6"/>
  <c r="N43" i="6"/>
  <c r="M43" i="6"/>
  <c r="JF58" i="6"/>
  <c r="JE44" i="6"/>
  <c r="JD44" i="6"/>
  <c r="JC44" i="6"/>
  <c r="JB44" i="6"/>
  <c r="JA44" i="6"/>
  <c r="IZ44" i="6"/>
  <c r="IY44" i="6"/>
  <c r="IX44" i="6"/>
  <c r="IW44" i="6"/>
  <c r="IV44" i="6"/>
  <c r="IU44" i="6"/>
  <c r="IT44" i="6"/>
  <c r="IS44" i="6"/>
  <c r="IR44" i="6"/>
  <c r="IQ44" i="6"/>
  <c r="IP44" i="6"/>
  <c r="IO44" i="6"/>
  <c r="IN44" i="6"/>
  <c r="IM44" i="6"/>
  <c r="IL44" i="6"/>
  <c r="IK44" i="6"/>
  <c r="IJ44" i="6"/>
  <c r="II44" i="6"/>
  <c r="IH44" i="6"/>
  <c r="IG44" i="6"/>
  <c r="IF44" i="6"/>
  <c r="IE44" i="6"/>
  <c r="ID44" i="6"/>
  <c r="IC44" i="6"/>
  <c r="IB44" i="6"/>
  <c r="IA44" i="6"/>
  <c r="HZ44" i="6"/>
  <c r="HY44" i="6"/>
  <c r="HX44" i="6"/>
  <c r="HW44" i="6"/>
  <c r="HV44" i="6"/>
  <c r="HU44" i="6"/>
  <c r="HT44" i="6"/>
  <c r="HS44" i="6"/>
  <c r="HR44" i="6"/>
  <c r="HQ44" i="6"/>
  <c r="HP44" i="6"/>
  <c r="HO44" i="6"/>
  <c r="HN44" i="6"/>
  <c r="HM44" i="6"/>
  <c r="HL44" i="6"/>
  <c r="HK44" i="6"/>
  <c r="HJ44" i="6"/>
  <c r="HI44" i="6"/>
  <c r="HH44" i="6"/>
  <c r="HG44" i="6"/>
  <c r="HF44" i="6"/>
  <c r="HE44" i="6"/>
  <c r="HD44" i="6"/>
  <c r="HC44" i="6"/>
  <c r="HB44" i="6"/>
  <c r="HA44" i="6"/>
  <c r="GZ44" i="6"/>
  <c r="GY44" i="6"/>
  <c r="GX44" i="6"/>
  <c r="GW44" i="6"/>
  <c r="GV44" i="6"/>
  <c r="GU44" i="6"/>
  <c r="GT44" i="6"/>
  <c r="BP44" i="6"/>
  <c r="BI44" i="6"/>
  <c r="BJ44" i="6" s="1"/>
  <c r="BE44" i="6"/>
  <c r="AK44" i="6"/>
  <c r="T44" i="6"/>
  <c r="S44" i="6"/>
  <c r="Q44" i="6"/>
  <c r="P44" i="6"/>
  <c r="N44" i="6"/>
  <c r="M44" i="6"/>
  <c r="AA42" i="6"/>
  <c r="AB42" i="6"/>
  <c r="JD42" i="6"/>
  <c r="JC42" i="6"/>
  <c r="JB42" i="6"/>
  <c r="JA42" i="6"/>
  <c r="IZ42" i="6"/>
  <c r="IY42" i="6"/>
  <c r="IX42" i="6"/>
  <c r="IW42" i="6"/>
  <c r="IV42" i="6"/>
  <c r="IU42" i="6"/>
  <c r="IT42" i="6"/>
  <c r="IS42" i="6"/>
  <c r="IR42" i="6"/>
  <c r="IQ42" i="6"/>
  <c r="IP42" i="6"/>
  <c r="IO42" i="6"/>
  <c r="IN42" i="6"/>
  <c r="IM42" i="6"/>
  <c r="IL42" i="6"/>
  <c r="IK42" i="6"/>
  <c r="IJ42" i="6"/>
  <c r="II42" i="6"/>
  <c r="IH42" i="6"/>
  <c r="IG42" i="6"/>
  <c r="IF42" i="6"/>
  <c r="IE42" i="6"/>
  <c r="ID42" i="6"/>
  <c r="IC42" i="6"/>
  <c r="IB42" i="6"/>
  <c r="IA42" i="6"/>
  <c r="HZ42" i="6"/>
  <c r="HY42" i="6"/>
  <c r="HX42" i="6"/>
  <c r="HW42" i="6"/>
  <c r="HV42" i="6"/>
  <c r="HU42" i="6"/>
  <c r="HT42" i="6"/>
  <c r="HS42" i="6"/>
  <c r="HR42" i="6"/>
  <c r="HQ42" i="6"/>
  <c r="HP42" i="6"/>
  <c r="HO42" i="6"/>
  <c r="HN42" i="6"/>
  <c r="HM42" i="6"/>
  <c r="HL42" i="6"/>
  <c r="HK42" i="6"/>
  <c r="HJ42" i="6"/>
  <c r="HI42" i="6"/>
  <c r="HH42" i="6"/>
  <c r="HG42" i="6"/>
  <c r="HF42" i="6"/>
  <c r="HE42" i="6"/>
  <c r="HD42" i="6"/>
  <c r="HC42" i="6"/>
  <c r="HB42" i="6"/>
  <c r="HA42" i="6"/>
  <c r="GZ42" i="6"/>
  <c r="GY42" i="6"/>
  <c r="GX42" i="6"/>
  <c r="GW42" i="6"/>
  <c r="GV42" i="6"/>
  <c r="GU42" i="6"/>
  <c r="GT42" i="6"/>
  <c r="GS42" i="6"/>
  <c r="BP42" i="6"/>
  <c r="BI42" i="6"/>
  <c r="BJ42" i="6" s="1"/>
  <c r="BE42" i="6"/>
  <c r="AK42" i="6"/>
  <c r="T42" i="6"/>
  <c r="S42" i="6"/>
  <c r="Q42" i="6"/>
  <c r="P42" i="6"/>
  <c r="N42" i="6"/>
  <c r="M42" i="6"/>
  <c r="AA34" i="6"/>
  <c r="JD34" i="6"/>
  <c r="JC34" i="6"/>
  <c r="JB34" i="6"/>
  <c r="JA34" i="6"/>
  <c r="IZ34" i="6"/>
  <c r="IY34" i="6"/>
  <c r="IX34" i="6"/>
  <c r="IW34" i="6"/>
  <c r="IV34" i="6"/>
  <c r="IU34" i="6"/>
  <c r="IT34" i="6"/>
  <c r="IS34" i="6"/>
  <c r="IR34" i="6"/>
  <c r="IQ34" i="6"/>
  <c r="IP34" i="6"/>
  <c r="IO34" i="6"/>
  <c r="IN34" i="6"/>
  <c r="IM34" i="6"/>
  <c r="IL34" i="6"/>
  <c r="IK34" i="6"/>
  <c r="IJ34" i="6"/>
  <c r="II34" i="6"/>
  <c r="IH34" i="6"/>
  <c r="IG34" i="6"/>
  <c r="IF34" i="6"/>
  <c r="IE34" i="6"/>
  <c r="ID34" i="6"/>
  <c r="IC34" i="6"/>
  <c r="IB34" i="6"/>
  <c r="IA34" i="6"/>
  <c r="HZ34" i="6"/>
  <c r="HY34" i="6"/>
  <c r="HX34" i="6"/>
  <c r="HW34" i="6"/>
  <c r="HV34" i="6"/>
  <c r="HU34" i="6"/>
  <c r="HT34" i="6"/>
  <c r="HS34" i="6"/>
  <c r="HR34" i="6"/>
  <c r="HQ34" i="6"/>
  <c r="HP34" i="6"/>
  <c r="HO34" i="6"/>
  <c r="HN34" i="6"/>
  <c r="HM34" i="6"/>
  <c r="HL34" i="6"/>
  <c r="HK34" i="6"/>
  <c r="HJ34" i="6"/>
  <c r="HI34" i="6"/>
  <c r="HH34" i="6"/>
  <c r="HG34" i="6"/>
  <c r="HF34" i="6"/>
  <c r="HE34" i="6"/>
  <c r="HD34" i="6"/>
  <c r="HC34" i="6"/>
  <c r="HB34" i="6"/>
  <c r="HA34" i="6"/>
  <c r="GZ34" i="6"/>
  <c r="GY34" i="6"/>
  <c r="GX34" i="6"/>
  <c r="GW34" i="6"/>
  <c r="GV34" i="6"/>
  <c r="GU34" i="6"/>
  <c r="GT34" i="6"/>
  <c r="GS34" i="6"/>
  <c r="BP34" i="6"/>
  <c r="BI34" i="6"/>
  <c r="BJ34" i="6" s="1"/>
  <c r="BE34" i="6"/>
  <c r="AK34" i="6"/>
  <c r="AB34" i="6"/>
  <c r="T34" i="6"/>
  <c r="S34" i="6"/>
  <c r="Q34" i="6"/>
  <c r="P34" i="6"/>
  <c r="N34" i="6"/>
  <c r="M34" i="6"/>
  <c r="AA21" i="6"/>
  <c r="AB21" i="6"/>
  <c r="AB22" i="6"/>
  <c r="AA22" i="6"/>
  <c r="IU22" i="6"/>
  <c r="IT22" i="6"/>
  <c r="IS22" i="6"/>
  <c r="IR22" i="6"/>
  <c r="IQ22" i="6"/>
  <c r="IP22" i="6"/>
  <c r="IO22" i="6"/>
  <c r="IN22" i="6"/>
  <c r="IM22" i="6"/>
  <c r="IL22" i="6"/>
  <c r="IK22" i="6"/>
  <c r="IJ22" i="6"/>
  <c r="II22" i="6"/>
  <c r="IH22" i="6"/>
  <c r="IG22" i="6"/>
  <c r="IF22" i="6"/>
  <c r="IE22" i="6"/>
  <c r="ID22" i="6"/>
  <c r="IC22" i="6"/>
  <c r="IB22" i="6"/>
  <c r="IA22" i="6"/>
  <c r="HZ22" i="6"/>
  <c r="HY22" i="6"/>
  <c r="HX22" i="6"/>
  <c r="HW22" i="6"/>
  <c r="HV22" i="6"/>
  <c r="HU22" i="6"/>
  <c r="HT22" i="6"/>
  <c r="HS22" i="6"/>
  <c r="HR22" i="6"/>
  <c r="HQ22" i="6"/>
  <c r="HP22" i="6"/>
  <c r="HO22" i="6"/>
  <c r="HN22" i="6"/>
  <c r="HM22" i="6"/>
  <c r="HL22" i="6"/>
  <c r="HK22" i="6"/>
  <c r="HJ22" i="6"/>
  <c r="HI22" i="6"/>
  <c r="HH22" i="6"/>
  <c r="HG22" i="6"/>
  <c r="HF22" i="6"/>
  <c r="HE22" i="6"/>
  <c r="HD22" i="6"/>
  <c r="HC22" i="6"/>
  <c r="HB22" i="6"/>
  <c r="HA22" i="6"/>
  <c r="GZ22" i="6"/>
  <c r="GY22" i="6"/>
  <c r="GX22" i="6"/>
  <c r="GW22" i="6"/>
  <c r="GV22" i="6"/>
  <c r="GU22" i="6"/>
  <c r="GT22" i="6"/>
  <c r="GS22" i="6"/>
  <c r="GR22" i="6"/>
  <c r="GQ22" i="6"/>
  <c r="GP22" i="6"/>
  <c r="GO22" i="6"/>
  <c r="GN22" i="6"/>
  <c r="GM22" i="6"/>
  <c r="GL22" i="6"/>
  <c r="GK22" i="6"/>
  <c r="GJ22" i="6"/>
  <c r="BG22" i="6"/>
  <c r="AE22" i="6"/>
  <c r="T22" i="6"/>
  <c r="S22" i="6"/>
  <c r="Q22" i="6"/>
  <c r="P22" i="6"/>
  <c r="N22" i="6"/>
  <c r="M22" i="6"/>
  <c r="IU39" i="6"/>
  <c r="IT39" i="6"/>
  <c r="IS39" i="6"/>
  <c r="IR39" i="6"/>
  <c r="IQ39" i="6"/>
  <c r="IP39" i="6"/>
  <c r="IO39" i="6"/>
  <c r="IN39" i="6"/>
  <c r="IM39" i="6"/>
  <c r="IL39" i="6"/>
  <c r="IK39" i="6"/>
  <c r="IJ39" i="6"/>
  <c r="II39" i="6"/>
  <c r="IH39" i="6"/>
  <c r="IG39" i="6"/>
  <c r="IF39" i="6"/>
  <c r="IE39" i="6"/>
  <c r="ID39" i="6"/>
  <c r="IC39" i="6"/>
  <c r="IB39" i="6"/>
  <c r="IA39" i="6"/>
  <c r="HZ39" i="6"/>
  <c r="HY39" i="6"/>
  <c r="HX39" i="6"/>
  <c r="HW39" i="6"/>
  <c r="HV39" i="6"/>
  <c r="HU39" i="6"/>
  <c r="HT39" i="6"/>
  <c r="HS39" i="6"/>
  <c r="HR39" i="6"/>
  <c r="HQ39" i="6"/>
  <c r="HP39" i="6"/>
  <c r="HO39" i="6"/>
  <c r="HN39" i="6"/>
  <c r="HM39" i="6"/>
  <c r="HL39" i="6"/>
  <c r="HK39" i="6"/>
  <c r="HJ39" i="6"/>
  <c r="HI39" i="6"/>
  <c r="HH39" i="6"/>
  <c r="HG39" i="6"/>
  <c r="HF39" i="6"/>
  <c r="HE39" i="6"/>
  <c r="HD39" i="6"/>
  <c r="HC39" i="6"/>
  <c r="HB39" i="6"/>
  <c r="HA39" i="6"/>
  <c r="GZ39" i="6"/>
  <c r="GY39" i="6"/>
  <c r="GX39" i="6"/>
  <c r="GW39" i="6"/>
  <c r="GV39" i="6"/>
  <c r="GU39" i="6"/>
  <c r="GT39" i="6"/>
  <c r="GS39" i="6"/>
  <c r="GR39" i="6"/>
  <c r="GQ39" i="6"/>
  <c r="GP39" i="6"/>
  <c r="GO39" i="6"/>
  <c r="GN39" i="6"/>
  <c r="GM39" i="6"/>
  <c r="GL39" i="6"/>
  <c r="GK39" i="6"/>
  <c r="GJ39" i="6"/>
  <c r="BG39" i="6"/>
  <c r="AE39" i="6"/>
  <c r="AB39" i="6"/>
  <c r="AA39" i="6"/>
  <c r="T39" i="6"/>
  <c r="S39" i="6"/>
  <c r="Q39" i="6"/>
  <c r="P39" i="6"/>
  <c r="N39" i="6"/>
  <c r="M39" i="6"/>
  <c r="AZ33" i="6"/>
  <c r="AB33" i="6"/>
  <c r="AA33" i="6"/>
  <c r="T33" i="6"/>
  <c r="S33" i="6"/>
  <c r="Q33" i="6"/>
  <c r="P33" i="6"/>
  <c r="N33" i="6"/>
  <c r="M33" i="6"/>
  <c r="AZ29" i="6"/>
  <c r="AB29" i="6"/>
  <c r="AA29" i="6"/>
  <c r="T29" i="6"/>
  <c r="S29" i="6"/>
  <c r="Q29" i="6"/>
  <c r="P29" i="6"/>
  <c r="N29" i="6"/>
  <c r="M29" i="6"/>
  <c r="AZ25" i="6"/>
  <c r="AB25" i="6"/>
  <c r="AA25" i="6"/>
  <c r="T25" i="6"/>
  <c r="S25" i="6"/>
  <c r="Q25" i="6"/>
  <c r="P25" i="6"/>
  <c r="N25" i="6"/>
  <c r="M25" i="6"/>
  <c r="AZ8" i="6"/>
  <c r="AB8" i="6"/>
  <c r="AA8" i="6"/>
  <c r="T8" i="6"/>
  <c r="S8" i="6"/>
  <c r="Q8" i="6"/>
  <c r="P8" i="6"/>
  <c r="N8" i="6"/>
  <c r="M8" i="6"/>
  <c r="AZ23" i="6"/>
  <c r="AB23" i="6"/>
  <c r="AA23" i="6"/>
  <c r="T23" i="6"/>
  <c r="S23" i="6"/>
  <c r="Q23" i="6"/>
  <c r="P23" i="6"/>
  <c r="N23" i="6"/>
  <c r="M23" i="6"/>
  <c r="AZ13" i="6"/>
  <c r="AB13" i="6"/>
  <c r="AA13" i="6"/>
  <c r="T13" i="6"/>
  <c r="S13" i="6"/>
  <c r="Q13" i="6"/>
  <c r="P13" i="6"/>
  <c r="N13" i="6"/>
  <c r="M13" i="6"/>
  <c r="AZ30" i="6"/>
  <c r="AB30" i="6"/>
  <c r="AA30" i="6"/>
  <c r="T30" i="6"/>
  <c r="S30" i="6"/>
  <c r="Q30" i="6"/>
  <c r="P30" i="6"/>
  <c r="N30" i="6"/>
  <c r="M30" i="6"/>
  <c r="AZ11" i="6"/>
  <c r="AB11" i="6"/>
  <c r="AA11" i="6"/>
  <c r="T11" i="6"/>
  <c r="S11" i="6"/>
  <c r="Q11" i="6"/>
  <c r="P11" i="6"/>
  <c r="N11" i="6"/>
  <c r="M11" i="6"/>
  <c r="AZ20" i="6"/>
  <c r="AB20" i="6"/>
  <c r="AA20" i="6"/>
  <c r="T20" i="6"/>
  <c r="S20" i="6"/>
  <c r="Q20" i="6"/>
  <c r="P20" i="6"/>
  <c r="N20" i="6"/>
  <c r="M20" i="6"/>
  <c r="AZ5" i="6"/>
  <c r="AB5" i="6"/>
  <c r="AA5" i="6"/>
  <c r="T5" i="6"/>
  <c r="S5" i="6"/>
  <c r="Q5" i="6"/>
  <c r="P5" i="6"/>
  <c r="N5" i="6"/>
  <c r="M5" i="6"/>
  <c r="AZ35" i="6"/>
  <c r="AB35" i="6"/>
  <c r="AA35" i="6"/>
  <c r="T35" i="6"/>
  <c r="S35" i="6"/>
  <c r="Q35" i="6"/>
  <c r="P35" i="6"/>
  <c r="N35" i="6"/>
  <c r="M35" i="6"/>
  <c r="AZ6" i="6"/>
  <c r="AB6" i="6"/>
  <c r="AA6" i="6"/>
  <c r="T6" i="6"/>
  <c r="S6" i="6"/>
  <c r="Q6" i="6"/>
  <c r="P6" i="6"/>
  <c r="N6" i="6"/>
  <c r="M6" i="6"/>
  <c r="AZ3" i="6"/>
  <c r="AB3" i="6"/>
  <c r="AA3" i="6"/>
  <c r="T3" i="6"/>
  <c r="S3" i="6"/>
  <c r="Q3" i="6"/>
  <c r="P3" i="6"/>
  <c r="N3" i="6"/>
  <c r="M3" i="6"/>
  <c r="AZ32" i="6"/>
  <c r="AB32" i="6"/>
  <c r="AA32" i="6"/>
  <c r="T32" i="6"/>
  <c r="S32" i="6"/>
  <c r="Q32" i="6"/>
  <c r="P32" i="6"/>
  <c r="N32" i="6"/>
  <c r="M32" i="6"/>
  <c r="CN26" i="6"/>
  <c r="AZ26" i="6" s="1"/>
  <c r="AB26" i="6"/>
  <c r="AA26" i="6"/>
  <c r="T26" i="6"/>
  <c r="S26" i="6"/>
  <c r="Q26" i="6"/>
  <c r="P26" i="6"/>
  <c r="N26" i="6"/>
  <c r="M26" i="6"/>
  <c r="CN15" i="6"/>
  <c r="AZ15" i="6" s="1"/>
  <c r="AB15" i="6"/>
  <c r="AA15" i="6"/>
  <c r="T15" i="6"/>
  <c r="S15" i="6"/>
  <c r="Q15" i="6"/>
  <c r="P15" i="6"/>
  <c r="N15" i="6"/>
  <c r="M15" i="6"/>
  <c r="AZ48" i="6"/>
  <c r="AB48" i="6"/>
  <c r="AA48" i="6"/>
  <c r="T48" i="6"/>
  <c r="S48" i="6"/>
  <c r="Q48" i="6"/>
  <c r="P48" i="6"/>
  <c r="N48" i="6"/>
  <c r="M48" i="6"/>
  <c r="AZ47" i="6"/>
  <c r="AB47" i="6"/>
  <c r="AA47" i="6"/>
  <c r="T47" i="6"/>
  <c r="S47" i="6"/>
  <c r="Q47" i="6"/>
  <c r="P47" i="6"/>
  <c r="N47" i="6"/>
  <c r="M47" i="6"/>
  <c r="AZ46" i="6"/>
  <c r="AB46" i="6"/>
  <c r="AA46" i="6"/>
  <c r="T46" i="6"/>
  <c r="S46" i="6"/>
  <c r="Q46" i="6"/>
  <c r="P46" i="6"/>
  <c r="N46" i="6"/>
  <c r="M46" i="6"/>
  <c r="AZ45" i="6"/>
  <c r="AB45" i="6"/>
  <c r="AA45" i="6"/>
  <c r="T45" i="6"/>
  <c r="S45" i="6"/>
  <c r="Q45" i="6"/>
  <c r="P45" i="6"/>
  <c r="N45" i="6"/>
  <c r="M45" i="6"/>
  <c r="AZ41" i="6"/>
  <c r="AB41" i="6"/>
  <c r="AA41" i="6"/>
  <c r="T41" i="6"/>
  <c r="S41" i="6"/>
  <c r="Q41" i="6"/>
  <c r="P41" i="6"/>
  <c r="N41" i="6"/>
  <c r="M41" i="6"/>
  <c r="AZ36" i="6"/>
  <c r="AB36" i="6"/>
  <c r="AA36" i="6"/>
  <c r="T36" i="6"/>
  <c r="S36" i="6"/>
  <c r="Q36" i="6"/>
  <c r="P36" i="6"/>
  <c r="N36" i="6"/>
  <c r="M36" i="6"/>
  <c r="AZ28" i="6"/>
  <c r="AB28" i="6"/>
  <c r="AA28" i="6"/>
  <c r="T28" i="6"/>
  <c r="S28" i="6"/>
  <c r="Q28" i="6"/>
  <c r="P28" i="6"/>
  <c r="N28" i="6"/>
  <c r="M28" i="6"/>
  <c r="AZ17" i="6"/>
  <c r="AB17" i="6"/>
  <c r="AA17" i="6"/>
  <c r="T17" i="6"/>
  <c r="S17" i="6"/>
  <c r="Q17" i="6"/>
  <c r="P17" i="6"/>
  <c r="N17" i="6"/>
  <c r="M17" i="6"/>
  <c r="AZ16" i="6"/>
  <c r="AB16" i="6"/>
  <c r="AA16" i="6"/>
  <c r="T16" i="6"/>
  <c r="S16" i="6"/>
  <c r="Q16" i="6"/>
  <c r="P16" i="6"/>
  <c r="N16" i="6"/>
  <c r="M16" i="6"/>
  <c r="AZ10" i="6"/>
  <c r="AB10" i="6"/>
  <c r="AA10" i="6"/>
  <c r="T10" i="6"/>
  <c r="S10" i="6"/>
  <c r="Q10" i="6"/>
  <c r="P10" i="6"/>
  <c r="N10" i="6"/>
  <c r="M10" i="6"/>
  <c r="AZ7" i="6"/>
  <c r="AB7" i="6"/>
  <c r="AA7" i="6"/>
  <c r="T7" i="6"/>
  <c r="S7" i="6"/>
  <c r="Q7" i="6"/>
  <c r="P7" i="6"/>
  <c r="N7" i="6"/>
  <c r="M7" i="6"/>
  <c r="AZ4" i="6"/>
  <c r="AB4" i="6"/>
  <c r="AA4" i="6"/>
  <c r="T4" i="6"/>
  <c r="S4" i="6"/>
  <c r="Q4" i="6"/>
  <c r="P4" i="6"/>
  <c r="N4" i="6"/>
  <c r="M4" i="6"/>
  <c r="AZ21" i="6"/>
  <c r="T21" i="6"/>
  <c r="S21" i="6"/>
  <c r="Q21" i="6"/>
  <c r="P21" i="6"/>
  <c r="N21" i="6"/>
  <c r="M21" i="6"/>
  <c r="FG12" i="6" l="1"/>
  <c r="FG40" i="6"/>
  <c r="EJ40" i="6"/>
  <c r="ES40" i="6"/>
  <c r="FE40" i="6"/>
  <c r="FF40" i="6"/>
  <c r="EN40" i="6"/>
  <c r="ER40" i="6"/>
  <c r="EV40" i="6"/>
  <c r="EZ40" i="6"/>
  <c r="FD40" i="6"/>
  <c r="EO40" i="6"/>
  <c r="FA40" i="6"/>
  <c r="EK40" i="6"/>
  <c r="EM40" i="6"/>
  <c r="EQ40" i="6"/>
  <c r="EU40" i="6"/>
  <c r="EY40" i="6"/>
  <c r="FC40" i="6"/>
  <c r="EW40" i="6"/>
  <c r="EL40" i="6"/>
  <c r="EP40" i="6"/>
  <c r="ET40" i="6"/>
  <c r="EX40" i="6"/>
  <c r="FB40" i="6"/>
  <c r="FH40" i="6"/>
  <c r="EK12" i="6"/>
  <c r="EQ12" i="6"/>
  <c r="EU12" i="6"/>
  <c r="EL12" i="6"/>
  <c r="EP12" i="6"/>
  <c r="ET12" i="6"/>
  <c r="EX12" i="6"/>
  <c r="FB12" i="6"/>
  <c r="FH12" i="6"/>
  <c r="EM12" i="6"/>
  <c r="FC12" i="6"/>
  <c r="EJ12" i="6"/>
  <c r="EO12" i="6"/>
  <c r="ES12" i="6"/>
  <c r="EW12" i="6"/>
  <c r="FA12" i="6"/>
  <c r="FE12" i="6"/>
  <c r="EY12" i="6"/>
  <c r="FF12" i="6"/>
  <c r="EN12" i="6"/>
  <c r="ER12" i="6"/>
  <c r="EV12" i="6"/>
  <c r="EZ12" i="6"/>
  <c r="FD12" i="6"/>
  <c r="EK37" i="6"/>
  <c r="EO37" i="6"/>
  <c r="ES37" i="6"/>
  <c r="EW37" i="6"/>
  <c r="FA37" i="6"/>
  <c r="FB37" i="6"/>
  <c r="EJ37" i="6"/>
  <c r="EN37" i="6"/>
  <c r="ER37" i="6"/>
  <c r="EV37" i="6"/>
  <c r="EZ37" i="6"/>
  <c r="EG37" i="6"/>
  <c r="EM37" i="6"/>
  <c r="EQ37" i="6"/>
  <c r="EU37" i="6"/>
  <c r="EY37" i="6"/>
  <c r="EF37" i="6"/>
  <c r="EI37" i="6"/>
  <c r="EH37" i="6"/>
  <c r="EL37" i="6"/>
  <c r="EP37" i="6"/>
  <c r="ET37" i="6"/>
  <c r="EX37" i="6"/>
  <c r="FC37" i="6"/>
  <c r="FB38" i="6"/>
  <c r="EN38" i="6"/>
  <c r="ER38" i="6"/>
  <c r="EV38" i="6"/>
  <c r="EZ38" i="6"/>
  <c r="EG38" i="6"/>
  <c r="EM38" i="6"/>
  <c r="EU38" i="6"/>
  <c r="EY38" i="6"/>
  <c r="EH38" i="6"/>
  <c r="EL38" i="6"/>
  <c r="EP38" i="6"/>
  <c r="ET38" i="6"/>
  <c r="EX38" i="6"/>
  <c r="FC38" i="6"/>
  <c r="EJ38" i="6"/>
  <c r="EI38" i="6"/>
  <c r="EQ38" i="6"/>
  <c r="EF38" i="6"/>
  <c r="EK38" i="6"/>
  <c r="EO38" i="6"/>
  <c r="ES38" i="6"/>
  <c r="EW38" i="6"/>
  <c r="FA38" i="6"/>
  <c r="EL27" i="6"/>
  <c r="EX27" i="6"/>
  <c r="FC27" i="6"/>
  <c r="EK27" i="6"/>
  <c r="EO27" i="6"/>
  <c r="ES27" i="6"/>
  <c r="EW27" i="6"/>
  <c r="FA27" i="6"/>
  <c r="FB27" i="6"/>
  <c r="EJ27" i="6"/>
  <c r="EN27" i="6"/>
  <c r="ER27" i="6"/>
  <c r="EV27" i="6"/>
  <c r="EZ27" i="6"/>
  <c r="EH27" i="6"/>
  <c r="EP27" i="6"/>
  <c r="ET27" i="6"/>
  <c r="EF27" i="6"/>
  <c r="EG27" i="6"/>
  <c r="EI27" i="6"/>
  <c r="EM27" i="6"/>
  <c r="EQ27" i="6"/>
  <c r="EU27" i="6"/>
  <c r="EY27" i="6"/>
  <c r="EJ14" i="6"/>
  <c r="ER14" i="6"/>
  <c r="EG14" i="6"/>
  <c r="EI14" i="6"/>
  <c r="EM14" i="6"/>
  <c r="EQ14" i="6"/>
  <c r="EU14" i="6"/>
  <c r="EY14" i="6"/>
  <c r="EH14" i="6"/>
  <c r="EL14" i="6"/>
  <c r="EP14" i="6"/>
  <c r="ET14" i="6"/>
  <c r="EX14" i="6"/>
  <c r="FC14" i="6"/>
  <c r="FB14" i="6"/>
  <c r="EN14" i="6"/>
  <c r="EV14" i="6"/>
  <c r="EZ14" i="6"/>
  <c r="EF14" i="6"/>
  <c r="EK14" i="6"/>
  <c r="EO14" i="6"/>
  <c r="ES14" i="6"/>
  <c r="EW14" i="6"/>
  <c r="FA14" i="6"/>
  <c r="FB43" i="6"/>
  <c r="EJ43" i="6"/>
  <c r="EN43" i="6"/>
  <c r="ER43" i="6"/>
  <c r="EV43" i="6"/>
  <c r="EZ43" i="6"/>
  <c r="EG43" i="6"/>
  <c r="EM43" i="6"/>
  <c r="EU43" i="6"/>
  <c r="EH43" i="6"/>
  <c r="EL43" i="6"/>
  <c r="EP43" i="6"/>
  <c r="ET43" i="6"/>
  <c r="EX43" i="6"/>
  <c r="FC43" i="6"/>
  <c r="EI43" i="6"/>
  <c r="EQ43" i="6"/>
  <c r="EY43" i="6"/>
  <c r="EF43" i="6"/>
  <c r="EK43" i="6"/>
  <c r="EO43" i="6"/>
  <c r="ES43" i="6"/>
  <c r="EW43" i="6"/>
  <c r="FA43" i="6"/>
  <c r="EG44" i="6"/>
  <c r="EQ44" i="6"/>
  <c r="EY44" i="6"/>
  <c r="EH44" i="6"/>
  <c r="EL44" i="6"/>
  <c r="EP44" i="6"/>
  <c r="ET44" i="6"/>
  <c r="EX44" i="6"/>
  <c r="FC44" i="6"/>
  <c r="FB44" i="6"/>
  <c r="EJ44" i="6"/>
  <c r="EN44" i="6"/>
  <c r="ER44" i="6"/>
  <c r="EV44" i="6"/>
  <c r="EZ44" i="6"/>
  <c r="EI44" i="6"/>
  <c r="EM44" i="6"/>
  <c r="EU44" i="6"/>
  <c r="EF44" i="6"/>
  <c r="EK44" i="6"/>
  <c r="EO44" i="6"/>
  <c r="ES44" i="6"/>
  <c r="EW44" i="6"/>
  <c r="FA44" i="6"/>
  <c r="FB42" i="6"/>
  <c r="EN42" i="6"/>
  <c r="ER42" i="6"/>
  <c r="EV42" i="6"/>
  <c r="EZ42" i="6"/>
  <c r="EI42" i="6"/>
  <c r="EQ42" i="6"/>
  <c r="EH42" i="6"/>
  <c r="EL42" i="6"/>
  <c r="EP42" i="6"/>
  <c r="ET42" i="6"/>
  <c r="EX42" i="6"/>
  <c r="FC42" i="6"/>
  <c r="EJ42" i="6"/>
  <c r="EG42" i="6"/>
  <c r="EM42" i="6"/>
  <c r="EU42" i="6"/>
  <c r="EY42" i="6"/>
  <c r="EF42" i="6"/>
  <c r="EK42" i="6"/>
  <c r="EO42" i="6"/>
  <c r="ES42" i="6"/>
  <c r="EW42" i="6"/>
  <c r="FA42" i="6"/>
  <c r="EF34" i="6"/>
  <c r="EO34" i="6"/>
  <c r="EW34" i="6"/>
  <c r="FA34" i="6"/>
  <c r="FB34" i="6"/>
  <c r="EN34" i="6"/>
  <c r="EV34" i="6"/>
  <c r="EZ34" i="6"/>
  <c r="EG34" i="6"/>
  <c r="EI34" i="6"/>
  <c r="EM34" i="6"/>
  <c r="EQ34" i="6"/>
  <c r="EU34" i="6"/>
  <c r="EY34" i="6"/>
  <c r="EK34" i="6"/>
  <c r="ES34" i="6"/>
  <c r="EJ34" i="6"/>
  <c r="ER34" i="6"/>
  <c r="EH34" i="6"/>
  <c r="EL34" i="6"/>
  <c r="EP34" i="6"/>
  <c r="ET34" i="6"/>
  <c r="EX34" i="6"/>
  <c r="FC34" i="6"/>
  <c r="DX39" i="6"/>
  <c r="DX22" i="6"/>
  <c r="ES39" i="6"/>
  <c r="ES22" i="6"/>
  <c r="DW39" i="6"/>
  <c r="DW22" i="6"/>
  <c r="DY39" i="6"/>
  <c r="DY22" i="6"/>
  <c r="DZ39" i="6"/>
  <c r="DZ22" i="6"/>
  <c r="EA39" i="6"/>
  <c r="EA22" i="6"/>
  <c r="EB39" i="6"/>
  <c r="EB22" i="6"/>
  <c r="EC39" i="6"/>
  <c r="EC22" i="6"/>
  <c r="ED39" i="6"/>
  <c r="ED22" i="6"/>
  <c r="EE39" i="6"/>
  <c r="EE22" i="6"/>
  <c r="EF39" i="6"/>
  <c r="EF22" i="6"/>
  <c r="EG39" i="6"/>
  <c r="EG22" i="6"/>
  <c r="EH39" i="6"/>
  <c r="EH22" i="6"/>
  <c r="EI39" i="6"/>
  <c r="EI22" i="6"/>
  <c r="EJ39" i="6"/>
  <c r="EJ22" i="6"/>
  <c r="EK39" i="6"/>
  <c r="EK22" i="6"/>
  <c r="EL39" i="6"/>
  <c r="EL22" i="6"/>
  <c r="EM39" i="6"/>
  <c r="EM22" i="6"/>
  <c r="EN39" i="6"/>
  <c r="EN22" i="6"/>
  <c r="EO39" i="6"/>
  <c r="EO22" i="6"/>
  <c r="EP39" i="6"/>
  <c r="EP22" i="6"/>
  <c r="EQ39" i="6"/>
  <c r="EQ22" i="6"/>
  <c r="ER39" i="6"/>
  <c r="ER22" i="6"/>
  <c r="ET39" i="6"/>
  <c r="ET22" i="6"/>
  <c r="BH40" i="6" l="1"/>
  <c r="BH12" i="6"/>
  <c r="BK37" i="6"/>
  <c r="BK38" i="6"/>
  <c r="BK27" i="6"/>
  <c r="BK14" i="6"/>
  <c r="BK43" i="6"/>
  <c r="BK44" i="6"/>
  <c r="BK42" i="6"/>
  <c r="BB39" i="6"/>
  <c r="BK34" i="6"/>
  <c r="BB22" i="6"/>
  <c r="GF40" i="6" l="1"/>
  <c r="FX14" i="6"/>
  <c r="FX38" i="6"/>
  <c r="FO39" i="6"/>
  <c r="FX43" i="6"/>
  <c r="GF12" i="6"/>
  <c r="FX27" i="6"/>
  <c r="FX34" i="6"/>
  <c r="FX44" i="6"/>
  <c r="FX42" i="6"/>
  <c r="FO22" i="6"/>
  <c r="FX37" i="6"/>
  <c r="FI43" i="6"/>
  <c r="FI27" i="6"/>
  <c r="EZ39" i="6"/>
  <c r="FI42" i="6"/>
  <c r="FN12" i="6"/>
  <c r="FI14" i="6"/>
  <c r="FI37" i="6"/>
  <c r="EZ22" i="6"/>
  <c r="FI38" i="6"/>
  <c r="FI34" i="6"/>
  <c r="FN40" i="6"/>
  <c r="FI44" i="6"/>
  <c r="GL44" i="6"/>
  <c r="GL43" i="6"/>
  <c r="GV12" i="6"/>
  <c r="GV40" i="6"/>
  <c r="GL38" i="6"/>
  <c r="GL27" i="6"/>
  <c r="GC39" i="6"/>
  <c r="GC22" i="6"/>
  <c r="GL42" i="6"/>
  <c r="GL37" i="6"/>
  <c r="GL34" i="6"/>
  <c r="GL14" i="6"/>
  <c r="FD44" i="6"/>
  <c r="FD14" i="6"/>
  <c r="FD38" i="6"/>
  <c r="FI40" i="6"/>
  <c r="EU39" i="6"/>
  <c r="FD27" i="6"/>
  <c r="EU22" i="6"/>
  <c r="FD37" i="6"/>
  <c r="FD42" i="6"/>
  <c r="FD34" i="6"/>
  <c r="FI12" i="6"/>
  <c r="FD43" i="6"/>
  <c r="FP37" i="6"/>
  <c r="FU40" i="6"/>
  <c r="FP42" i="6"/>
  <c r="FG39" i="6"/>
  <c r="FG22" i="6"/>
  <c r="FP38" i="6"/>
  <c r="FP27" i="6"/>
  <c r="FP43" i="6"/>
  <c r="FP34" i="6"/>
  <c r="FP44" i="6"/>
  <c r="FU12" i="6"/>
  <c r="FP14" i="6"/>
  <c r="FR44" i="6"/>
  <c r="FR43" i="6"/>
  <c r="FR14" i="6"/>
  <c r="FR27" i="6"/>
  <c r="FR42" i="6"/>
  <c r="FR37" i="6"/>
  <c r="FI39" i="6"/>
  <c r="FI22" i="6"/>
  <c r="FR38" i="6"/>
  <c r="FY40" i="6"/>
  <c r="FR34" i="6"/>
  <c r="FY12" i="6"/>
  <c r="FM22" i="6"/>
  <c r="FV37" i="6"/>
  <c r="FV27" i="6"/>
  <c r="FV43" i="6"/>
  <c r="FV14" i="6"/>
  <c r="FV44" i="6"/>
  <c r="FM39" i="6"/>
  <c r="FV34" i="6"/>
  <c r="GC12" i="6"/>
  <c r="GC40" i="6"/>
  <c r="FV42" i="6"/>
  <c r="FV38" i="6"/>
  <c r="FZ43" i="6"/>
  <c r="FZ42" i="6"/>
  <c r="FZ14" i="6"/>
  <c r="FZ34" i="6"/>
  <c r="FQ39" i="6"/>
  <c r="FZ38" i="6"/>
  <c r="FZ37" i="6"/>
  <c r="GH12" i="6"/>
  <c r="FZ27" i="6"/>
  <c r="GH40" i="6"/>
  <c r="FZ44" i="6"/>
  <c r="FQ22" i="6"/>
  <c r="GQ27" i="6"/>
  <c r="HA40" i="6"/>
  <c r="GG39" i="6"/>
  <c r="GP42" i="6"/>
  <c r="GQ44" i="6"/>
  <c r="GG22" i="6"/>
  <c r="GP34" i="6"/>
  <c r="GQ37" i="6"/>
  <c r="GQ43" i="6"/>
  <c r="HA12" i="6"/>
  <c r="GQ14" i="6"/>
  <c r="GQ38" i="6"/>
  <c r="FX22" i="6"/>
  <c r="GG43" i="6"/>
  <c r="GP40" i="6"/>
  <c r="GG44" i="6"/>
  <c r="GG42" i="6"/>
  <c r="GG34" i="6"/>
  <c r="GG27" i="6"/>
  <c r="GG38" i="6"/>
  <c r="GP12" i="6"/>
  <c r="FX39" i="6"/>
  <c r="GG14" i="6"/>
  <c r="GG37" i="6"/>
  <c r="FW44" i="6"/>
  <c r="FW34" i="6"/>
  <c r="FW37" i="6"/>
  <c r="FW42" i="6"/>
  <c r="FN22" i="6"/>
  <c r="FW38" i="6"/>
  <c r="GD40" i="6"/>
  <c r="FW14" i="6"/>
  <c r="FW43" i="6"/>
  <c r="FN39" i="6"/>
  <c r="FW27" i="6"/>
  <c r="GD12" i="6"/>
  <c r="GK38" i="6"/>
  <c r="GK27" i="6"/>
  <c r="GK44" i="6"/>
  <c r="GU40" i="6"/>
  <c r="GB22" i="6"/>
  <c r="GB39" i="6"/>
  <c r="GK34" i="6"/>
  <c r="GU12" i="6"/>
  <c r="GK42" i="6"/>
  <c r="GK37" i="6"/>
  <c r="GK43" i="6"/>
  <c r="GK14" i="6"/>
  <c r="FX40" i="6"/>
  <c r="FX12" i="6"/>
  <c r="GA14" i="6"/>
  <c r="GA43" i="6"/>
  <c r="GA44" i="6"/>
  <c r="GI40" i="6"/>
  <c r="GA34" i="6"/>
  <c r="GA27" i="6"/>
  <c r="GA42" i="6"/>
  <c r="GA38" i="6"/>
  <c r="FR22" i="6"/>
  <c r="GI12" i="6"/>
  <c r="FR39" i="6"/>
  <c r="GA37" i="6"/>
  <c r="FU34" i="6"/>
  <c r="FU38" i="6"/>
  <c r="GB12" i="6"/>
  <c r="FU37" i="6"/>
  <c r="FU44" i="6"/>
  <c r="FL39" i="6"/>
  <c r="GB40" i="6"/>
  <c r="FU42" i="6"/>
  <c r="FU43" i="6"/>
  <c r="FL22" i="6"/>
  <c r="FU27" i="6"/>
  <c r="FU14" i="6"/>
  <c r="GQ34" i="6"/>
  <c r="GR27" i="6"/>
  <c r="GH22" i="6"/>
  <c r="GQ42" i="6"/>
  <c r="GR43" i="6"/>
  <c r="GH39" i="6"/>
  <c r="GR44" i="6"/>
  <c r="GR14" i="6"/>
  <c r="GR37" i="6"/>
  <c r="HC12" i="6"/>
  <c r="GR38" i="6"/>
  <c r="HC40" i="6"/>
  <c r="FY44" i="6"/>
  <c r="GG12" i="6"/>
  <c r="FY37" i="6"/>
  <c r="FY34" i="6"/>
  <c r="FY14" i="6"/>
  <c r="FY43" i="6"/>
  <c r="FP22" i="6"/>
  <c r="FY27" i="6"/>
  <c r="GG40" i="6"/>
  <c r="FP39" i="6"/>
  <c r="FY38" i="6"/>
  <c r="FY42" i="6"/>
  <c r="FT22" i="6"/>
  <c r="FT39" i="6"/>
  <c r="GC37" i="6"/>
  <c r="GC43" i="6"/>
  <c r="GC38" i="6"/>
  <c r="GL40" i="6"/>
  <c r="GC44" i="6"/>
  <c r="GC27" i="6"/>
  <c r="GC42" i="6"/>
  <c r="GC34" i="6"/>
  <c r="GL12" i="6"/>
  <c r="GC14" i="6"/>
  <c r="FS12" i="6"/>
  <c r="FE22" i="6"/>
  <c r="FN38" i="6"/>
  <c r="FN43" i="6"/>
  <c r="FN42" i="6"/>
  <c r="FN27" i="6"/>
  <c r="FN44" i="6"/>
  <c r="FN37" i="6"/>
  <c r="FN14" i="6"/>
  <c r="FS40" i="6"/>
  <c r="FE39" i="6"/>
  <c r="FN34" i="6"/>
  <c r="FM42" i="6"/>
  <c r="FM34" i="6"/>
  <c r="FM37" i="6"/>
  <c r="FD22" i="6"/>
  <c r="FM44" i="6"/>
  <c r="FD39" i="6"/>
  <c r="FM43" i="6"/>
  <c r="FM27" i="6"/>
  <c r="FR12" i="6"/>
  <c r="FR40" i="6"/>
  <c r="FM14" i="6"/>
  <c r="FM38" i="6"/>
  <c r="FZ22" i="6"/>
  <c r="GI27" i="6"/>
  <c r="GS12" i="6"/>
  <c r="GI42" i="6"/>
  <c r="GI38" i="6"/>
  <c r="GI34" i="6"/>
  <c r="GS40" i="6"/>
  <c r="GI43" i="6"/>
  <c r="GI14" i="6"/>
  <c r="FZ39" i="6"/>
  <c r="GI44" i="6"/>
  <c r="GI37" i="6"/>
  <c r="FO42" i="6"/>
  <c r="FO37" i="6"/>
  <c r="FT12" i="6"/>
  <c r="FF22" i="6"/>
  <c r="FO43" i="6"/>
  <c r="FO38" i="6"/>
  <c r="FO27" i="6"/>
  <c r="FO44" i="6"/>
  <c r="FT40" i="6"/>
  <c r="FF39" i="6"/>
  <c r="FO14" i="6"/>
  <c r="FO34" i="6"/>
  <c r="GE42" i="6"/>
  <c r="GE27" i="6"/>
  <c r="GE38" i="6"/>
  <c r="FV39" i="6"/>
  <c r="GE37" i="6"/>
  <c r="FV22" i="6"/>
  <c r="GE43" i="6"/>
  <c r="GE14" i="6"/>
  <c r="GN12" i="6"/>
  <c r="GE44" i="6"/>
  <c r="GN40" i="6"/>
  <c r="GE34" i="6"/>
  <c r="FH43" i="6"/>
  <c r="FH34" i="6"/>
  <c r="FH42" i="6"/>
  <c r="FH14" i="6"/>
  <c r="FH37" i="6"/>
  <c r="FH38" i="6"/>
  <c r="FM40" i="6"/>
  <c r="EY39" i="6"/>
  <c r="FH27" i="6"/>
  <c r="EY22" i="6"/>
  <c r="FM12" i="6"/>
  <c r="FH44" i="6"/>
  <c r="FA22" i="6"/>
  <c r="FO40" i="6"/>
  <c r="FJ27" i="6"/>
  <c r="FJ38" i="6"/>
  <c r="FJ37" i="6"/>
  <c r="FJ34" i="6"/>
  <c r="FJ42" i="6"/>
  <c r="FO12" i="6"/>
  <c r="FJ43" i="6"/>
  <c r="FJ14" i="6"/>
  <c r="FJ44" i="6"/>
  <c r="FA39" i="6"/>
  <c r="FW12" i="6"/>
  <c r="FW40" i="6"/>
  <c r="FP40" i="6"/>
  <c r="FK43" i="6"/>
  <c r="FB39" i="6"/>
  <c r="FK38" i="6"/>
  <c r="FK34" i="6"/>
  <c r="FK37" i="6"/>
  <c r="FK44" i="6"/>
  <c r="FK42" i="6"/>
  <c r="FP12" i="6"/>
  <c r="FK14" i="6"/>
  <c r="FB22" i="6"/>
  <c r="FK27" i="6"/>
  <c r="FT38" i="6"/>
  <c r="FT27" i="6"/>
  <c r="FT44" i="6"/>
  <c r="FT34" i="6"/>
  <c r="GA12" i="6"/>
  <c r="FK22" i="6"/>
  <c r="FK39" i="6"/>
  <c r="FT42" i="6"/>
  <c r="FT14" i="6"/>
  <c r="GA40" i="6"/>
  <c r="FT37" i="6"/>
  <c r="FT43" i="6"/>
  <c r="GN42" i="6"/>
  <c r="GN27" i="6"/>
  <c r="GN34" i="6"/>
  <c r="GX40" i="6"/>
  <c r="GN44" i="6"/>
  <c r="GN43" i="6"/>
  <c r="GN14" i="6"/>
  <c r="GX12" i="6"/>
  <c r="GN38" i="6"/>
  <c r="GE39" i="6"/>
  <c r="GN37" i="6"/>
  <c r="GE22" i="6"/>
  <c r="GP44" i="6"/>
  <c r="GP38" i="6"/>
  <c r="GZ12" i="6"/>
  <c r="GP27" i="6"/>
  <c r="GP14" i="6"/>
  <c r="GP37" i="6"/>
  <c r="GZ40" i="6"/>
  <c r="GP43" i="6"/>
  <c r="HB12" i="6"/>
  <c r="HB40" i="6"/>
  <c r="GJ12" i="6"/>
  <c r="GJ40" i="6"/>
  <c r="FF37" i="6"/>
  <c r="FF27" i="6"/>
  <c r="EW39" i="6"/>
  <c r="FF42" i="6"/>
  <c r="FF14" i="6"/>
  <c r="FK40" i="6"/>
  <c r="FK12" i="6"/>
  <c r="FF44" i="6"/>
  <c r="FF34" i="6"/>
  <c r="FF38" i="6"/>
  <c r="EW22" i="6"/>
  <c r="FF43" i="6"/>
  <c r="GB37" i="6"/>
  <c r="FS39" i="6"/>
  <c r="GB43" i="6"/>
  <c r="GB34" i="6"/>
  <c r="GK12" i="6"/>
  <c r="GK40" i="6"/>
  <c r="GB38" i="6"/>
  <c r="FS22" i="6"/>
  <c r="GB14" i="6"/>
  <c r="GB44" i="6"/>
  <c r="GB42" i="6"/>
  <c r="GB27" i="6"/>
  <c r="GM12" i="6"/>
  <c r="GD43" i="6"/>
  <c r="GD14" i="6"/>
  <c r="GD34" i="6"/>
  <c r="GD27" i="6"/>
  <c r="GD42" i="6"/>
  <c r="FU22" i="6"/>
  <c r="GM40" i="6"/>
  <c r="GD37" i="6"/>
  <c r="GD44" i="6"/>
  <c r="GD38" i="6"/>
  <c r="FU39" i="6"/>
  <c r="FG43" i="6"/>
  <c r="FL12" i="6"/>
  <c r="FG44" i="6"/>
  <c r="FG27" i="6"/>
  <c r="FG34" i="6"/>
  <c r="FG42" i="6"/>
  <c r="FG37" i="6"/>
  <c r="FL40" i="6"/>
  <c r="FG38" i="6"/>
  <c r="EX39" i="6"/>
  <c r="FG14" i="6"/>
  <c r="EX22" i="6"/>
  <c r="FS34" i="6"/>
  <c r="FJ39" i="6"/>
  <c r="FS42" i="6"/>
  <c r="FS27" i="6"/>
  <c r="FS38" i="6"/>
  <c r="FS14" i="6"/>
  <c r="FZ40" i="6"/>
  <c r="FZ12" i="6"/>
  <c r="FJ22" i="6"/>
  <c r="FS37" i="6"/>
  <c r="FS43" i="6"/>
  <c r="FS44" i="6"/>
  <c r="FJ12" i="6"/>
  <c r="FE34" i="6"/>
  <c r="FE43" i="6"/>
  <c r="FE42" i="6"/>
  <c r="FE37" i="6"/>
  <c r="FE27" i="6"/>
  <c r="FJ40" i="6"/>
  <c r="FE14" i="6"/>
  <c r="EV39" i="6"/>
  <c r="EV22" i="6"/>
  <c r="FE38" i="6"/>
  <c r="FE44" i="6"/>
  <c r="GO40" i="6"/>
  <c r="GF34" i="6"/>
  <c r="GF14" i="6"/>
  <c r="GF37" i="6"/>
  <c r="GF44" i="6"/>
  <c r="GF27" i="6"/>
  <c r="GF42" i="6"/>
  <c r="GO12" i="6"/>
  <c r="FW22" i="6"/>
  <c r="GF43" i="6"/>
  <c r="GF38" i="6"/>
  <c r="FW39" i="6"/>
  <c r="GJ37" i="6"/>
  <c r="GA39" i="6"/>
  <c r="GJ34" i="6"/>
  <c r="GJ27" i="6"/>
  <c r="GJ44" i="6"/>
  <c r="GJ14" i="6"/>
  <c r="GT40" i="6"/>
  <c r="GT12" i="6"/>
  <c r="GJ42" i="6"/>
  <c r="GJ43" i="6"/>
  <c r="GA22" i="6"/>
  <c r="GJ38" i="6"/>
  <c r="GR12" i="6"/>
  <c r="GH37" i="6"/>
  <c r="GH27" i="6"/>
  <c r="GH34" i="6"/>
  <c r="FY39" i="6"/>
  <c r="GH14" i="6"/>
  <c r="GR40" i="6"/>
  <c r="FY22" i="6"/>
  <c r="GH42" i="6"/>
  <c r="GH44" i="6"/>
  <c r="GH38" i="6"/>
  <c r="GH43" i="6"/>
  <c r="GM27" i="6"/>
  <c r="GM14" i="6"/>
  <c r="GW12" i="6"/>
  <c r="GD22" i="6"/>
  <c r="GM37" i="6"/>
  <c r="GW40" i="6"/>
  <c r="GM43" i="6"/>
  <c r="GM34" i="6"/>
  <c r="GM42" i="6"/>
  <c r="GM44" i="6"/>
  <c r="GM38" i="6"/>
  <c r="GD39" i="6"/>
  <c r="FL44" i="6"/>
  <c r="FL42" i="6"/>
  <c r="FL43" i="6"/>
  <c r="FL37" i="6"/>
  <c r="FL34" i="6"/>
  <c r="FQ12" i="6"/>
  <c r="FL14" i="6"/>
  <c r="FL38" i="6"/>
  <c r="FC22" i="6"/>
  <c r="FL27" i="6"/>
  <c r="FC39" i="6"/>
  <c r="FQ40" i="6"/>
  <c r="FV40" i="6"/>
  <c r="FH39" i="6"/>
  <c r="FQ43" i="6"/>
  <c r="FV12" i="6"/>
  <c r="FQ44" i="6"/>
  <c r="FQ14" i="6"/>
  <c r="FQ37" i="6"/>
  <c r="FQ38" i="6"/>
  <c r="FQ42" i="6"/>
  <c r="FQ27" i="6"/>
  <c r="FQ34" i="6"/>
  <c r="FH22" i="6"/>
  <c r="GE40" i="6"/>
  <c r="GE12" i="6"/>
  <c r="GQ12" i="6"/>
  <c r="GQ40" i="6"/>
  <c r="GO38" i="6"/>
  <c r="GO43" i="6"/>
  <c r="GF39" i="6"/>
  <c r="GO27" i="6"/>
  <c r="GO14" i="6"/>
  <c r="GO42" i="6"/>
  <c r="GF22" i="6"/>
  <c r="GO44" i="6"/>
  <c r="GY12" i="6"/>
  <c r="GY40" i="6"/>
  <c r="GO34" i="6"/>
  <c r="GO37" i="6"/>
  <c r="BI12" i="6" l="1"/>
  <c r="AE12" i="6" s="1"/>
  <c r="AG12" i="6" s="1"/>
  <c r="BL42" i="6"/>
  <c r="AH42" i="6" s="1"/>
  <c r="BL37" i="6"/>
  <c r="AH37" i="6" s="1"/>
  <c r="BC22" i="6"/>
  <c r="AH22" i="6" s="1"/>
  <c r="AD22" i="6" s="1"/>
  <c r="BL34" i="6"/>
  <c r="AH34" i="6" s="1"/>
  <c r="BI40" i="6"/>
  <c r="AE40" i="6" s="1"/>
  <c r="AG40" i="6" s="1"/>
  <c r="BL38" i="6"/>
  <c r="AH38" i="6" s="1"/>
  <c r="BL14" i="6"/>
  <c r="AH14" i="6" s="1"/>
  <c r="BL27" i="6"/>
  <c r="AH27" i="6" s="1"/>
  <c r="BC39" i="6"/>
  <c r="AH39" i="6" s="1"/>
  <c r="AD39" i="6" s="1"/>
  <c r="BL44" i="6"/>
  <c r="AH44" i="6" s="1"/>
  <c r="BL43" i="6"/>
  <c r="AH43" i="6" s="1"/>
  <c r="AD14" i="6" l="1"/>
  <c r="AJ14" i="6"/>
  <c r="AD34" i="6"/>
  <c r="AJ34" i="6"/>
  <c r="AD42" i="6"/>
  <c r="AJ42" i="6"/>
  <c r="AJ43" i="6"/>
  <c r="AD43" i="6"/>
  <c r="AD38" i="6"/>
  <c r="AJ38" i="6"/>
  <c r="AD44" i="6"/>
  <c r="AJ44" i="6"/>
  <c r="AD27" i="6"/>
  <c r="AJ27" i="6"/>
  <c r="AJ37" i="6"/>
  <c r="AD37" i="6"/>
</calcChain>
</file>

<file path=xl/sharedStrings.xml><?xml version="1.0" encoding="utf-8"?>
<sst xmlns="http://schemas.openxmlformats.org/spreadsheetml/2006/main" count="21523" uniqueCount="6455">
  <si>
    <t>position</t>
  </si>
  <si>
    <t>castle_code</t>
  </si>
  <si>
    <t>castle_name</t>
  </si>
  <si>
    <t>country</t>
  </si>
  <si>
    <t>land</t>
  </si>
  <si>
    <t>gebied</t>
  </si>
  <si>
    <t>area</t>
  </si>
  <si>
    <t>place</t>
  </si>
  <si>
    <t>region</t>
  </si>
  <si>
    <t>stichter</t>
  </si>
  <si>
    <t>founder</t>
  </si>
  <si>
    <t>era</t>
  </si>
  <si>
    <t>kasteel_type</t>
  </si>
  <si>
    <t>castle_type</t>
  </si>
  <si>
    <t>ct_code</t>
  </si>
  <si>
    <t>kasteel_concept</t>
  </si>
  <si>
    <t>castle_concept</t>
  </si>
  <si>
    <t>cc_code</t>
  </si>
  <si>
    <t>conditie</t>
  </si>
  <si>
    <t>condition</t>
  </si>
  <si>
    <t>c_code</t>
  </si>
  <si>
    <t>opmerkelijk</t>
  </si>
  <si>
    <t>remarkable</t>
  </si>
  <si>
    <t>beschrijving</t>
  </si>
  <si>
    <t>description</t>
  </si>
  <si>
    <t>website</t>
  </si>
  <si>
    <t>geenkasteel_type</t>
  </si>
  <si>
    <t>nocastle_type</t>
  </si>
  <si>
    <t>nc_code</t>
  </si>
  <si>
    <t>score_visitors</t>
  </si>
  <si>
    <t>visitors</t>
  </si>
  <si>
    <t>position_ref</t>
  </si>
  <si>
    <t>score_ref</t>
  </si>
  <si>
    <t>position_2007</t>
  </si>
  <si>
    <t>score_total_2007</t>
  </si>
  <si>
    <t>score_visitors_2007</t>
  </si>
  <si>
    <t>visitors_2007</t>
  </si>
  <si>
    <t>position_ref_2007</t>
  </si>
  <si>
    <t>score_ref_2007</t>
  </si>
  <si>
    <t>position_2006</t>
  </si>
  <si>
    <t>score_total_2006</t>
  </si>
  <si>
    <t>score_visitors_2006</t>
  </si>
  <si>
    <t>visitors_2006</t>
  </si>
  <si>
    <t>position_ref_2006</t>
  </si>
  <si>
    <t>score_ref_2006</t>
  </si>
  <si>
    <t>position_2005</t>
  </si>
  <si>
    <t>score_total_2005</t>
  </si>
  <si>
    <t>score_visitors_2005</t>
  </si>
  <si>
    <t>visitors_2005</t>
  </si>
  <si>
    <t>position_ref_2005</t>
  </si>
  <si>
    <t>score_ref_2005</t>
  </si>
  <si>
    <t>count_alg</t>
  </si>
  <si>
    <t>correctie</t>
  </si>
  <si>
    <t>no_country</t>
  </si>
  <si>
    <t>rev</t>
  </si>
  <si>
    <t>leeg</t>
  </si>
  <si>
    <t>kastelentocht</t>
  </si>
  <si>
    <t>arensburg</t>
  </si>
  <si>
    <t>Estonia</t>
  </si>
  <si>
    <t>Estland</t>
  </si>
  <si>
    <t>Oost Europa, Balkan</t>
  </si>
  <si>
    <t>Eastern Europe, Balkans</t>
  </si>
  <si>
    <t>Kuressaare</t>
  </si>
  <si>
    <t>Orde van Teutonische Ridders</t>
  </si>
  <si>
    <t>Order of Teutonic Knights</t>
  </si>
  <si>
    <t>arquato</t>
  </si>
  <si>
    <t>Castell'Arquato</t>
  </si>
  <si>
    <t>Italy</t>
  </si>
  <si>
    <t>Italië</t>
  </si>
  <si>
    <t>Zuid Europa</t>
  </si>
  <si>
    <t>South Europe</t>
  </si>
  <si>
    <t>Emilia-Romagna</t>
  </si>
  <si>
    <t>emilia_romagna</t>
  </si>
  <si>
    <t xml:space="preserve"> </t>
  </si>
  <si>
    <t>Israel</t>
  </si>
  <si>
    <t>Azië, Buiten Europa, Kruistochten</t>
  </si>
  <si>
    <t>Asia, Outside Europe, Crusades</t>
  </si>
  <si>
    <t>bauske</t>
  </si>
  <si>
    <t>Bauske</t>
  </si>
  <si>
    <t>Oost Europa, Balkan, Kruistochten</t>
  </si>
  <si>
    <t>Eastern Europe, Balkans, Crusades</t>
  </si>
  <si>
    <t>Bauska</t>
  </si>
  <si>
    <t>bidar</t>
  </si>
  <si>
    <t>Bidar</t>
  </si>
  <si>
    <t>India</t>
  </si>
  <si>
    <t>Azië, Buiten Europa</t>
  </si>
  <si>
    <t>Asia, Outside Europe</t>
  </si>
  <si>
    <t>Andhra Pradesh</t>
  </si>
  <si>
    <t>chittorgarh</t>
  </si>
  <si>
    <t>Chittorgargh (Chittaurargh, Chittor Castle)</t>
  </si>
  <si>
    <t>Rajasthan</t>
  </si>
  <si>
    <t>Poland</t>
  </si>
  <si>
    <t>Polen</t>
  </si>
  <si>
    <t>Oost Europa, Heilige Roomse Rijk</t>
  </si>
  <si>
    <t>Eastern Europe, Holy Roman Empire</t>
  </si>
  <si>
    <t>kaunas</t>
  </si>
  <si>
    <t>Kaunas</t>
  </si>
  <si>
    <t>Lithuania</t>
  </si>
  <si>
    <t>Litouwen</t>
  </si>
  <si>
    <t>kokenhuse</t>
  </si>
  <si>
    <t>Kokenhuse (Koknese)</t>
  </si>
  <si>
    <t>Latvia</t>
  </si>
  <si>
    <t>Letland</t>
  </si>
  <si>
    <t>Koknese</t>
  </si>
  <si>
    <t>kumbhalgarth</t>
  </si>
  <si>
    <t>Kumbhalgarth</t>
  </si>
  <si>
    <t>Rana Kumbha</t>
  </si>
  <si>
    <t>lochstadt</t>
  </si>
  <si>
    <t>Oost Europa, Kruistochten</t>
  </si>
  <si>
    <t>Eastern Europe, Crusades</t>
  </si>
  <si>
    <t>mewe</t>
  </si>
  <si>
    <t>Mewe (Gniew)</t>
  </si>
  <si>
    <t>montagnana</t>
  </si>
  <si>
    <t>Le Mura di Montagnana (Castello di San Zeno, Rocca degli Alberi)</t>
  </si>
  <si>
    <t>Montagnana</t>
  </si>
  <si>
    <t>ranthambhor</t>
  </si>
  <si>
    <t>riga</t>
  </si>
  <si>
    <t>Riga</t>
  </si>
  <si>
    <t>segewold</t>
  </si>
  <si>
    <t>Sigulda</t>
  </si>
  <si>
    <t>torun</t>
  </si>
  <si>
    <t>Torun (Thorn)</t>
  </si>
  <si>
    <t>trakai</t>
  </si>
  <si>
    <t>treiden</t>
  </si>
  <si>
    <t>Turaida</t>
  </si>
  <si>
    <t>tughluqabad</t>
  </si>
  <si>
    <t>Delhi</t>
  </si>
  <si>
    <t>Haryana</t>
  </si>
  <si>
    <t>haryana</t>
  </si>
  <si>
    <t>uexkull</t>
  </si>
  <si>
    <t>Ikskile</t>
  </si>
  <si>
    <t>Eerste stenen kasteel in Letland.</t>
  </si>
  <si>
    <t>First stone castle in Latvia.</t>
  </si>
  <si>
    <t>wenden</t>
  </si>
  <si>
    <t>Cesis</t>
  </si>
  <si>
    <t>aachen</t>
  </si>
  <si>
    <t>Pfalz Aachen</t>
  </si>
  <si>
    <t>Germany</t>
  </si>
  <si>
    <t>Duitsland</t>
  </si>
  <si>
    <t>Heilige Roomse Rijk</t>
  </si>
  <si>
    <t>Holy Roman Empire</t>
  </si>
  <si>
    <t>Aachen</t>
  </si>
  <si>
    <t>Nordrhein-Westfalen</t>
  </si>
  <si>
    <t>nordrhein-westfalen</t>
  </si>
  <si>
    <t>Keizer Karel de Grote van het heilige roomse rijk en koning van Frankrijk</t>
  </si>
  <si>
    <t>Emperor Karel de Grote of the holy roman empire en King of Frankrijk</t>
  </si>
  <si>
    <t>Emperial palace, does not comply with the definition of a castle as used by topcastles.com, please refer to the menu &lt;a href="achtergrond.php"&gt;background&lt;/a&gt;.</t>
  </si>
  <si>
    <t>aalholm</t>
  </si>
  <si>
    <t>Aalholm auf Laaland (Ålholm Slot)</t>
  </si>
  <si>
    <t>Denmark</t>
  </si>
  <si>
    <t>Denemarken</t>
  </si>
  <si>
    <t>Scandinavië, Noord Europa</t>
  </si>
  <si>
    <t>Scandinavia, Nordic</t>
  </si>
  <si>
    <t>Nystead</t>
  </si>
  <si>
    <t>Sjælland</t>
  </si>
  <si>
    <t>sjælland</t>
  </si>
  <si>
    <t>aarburg</t>
  </si>
  <si>
    <t>Zwitserland</t>
  </si>
  <si>
    <t>Alpen, Heilige Roomse Rijk</t>
  </si>
  <si>
    <t>Alps, Holy Roman Empire</t>
  </si>
  <si>
    <t xml:space="preserve">Aberystwyth Castle </t>
  </si>
  <si>
    <t>Wales</t>
  </si>
  <si>
    <t>Britse Eilanden</t>
  </si>
  <si>
    <t>British isles</t>
  </si>
  <si>
    <t>Dyfed</t>
  </si>
  <si>
    <t>dyfed</t>
  </si>
  <si>
    <t>Koning Edward I van Engeland</t>
  </si>
  <si>
    <t>King Edward I of England</t>
  </si>
  <si>
    <t>achaia</t>
  </si>
  <si>
    <t>Greece</t>
  </si>
  <si>
    <t>Griekenland</t>
  </si>
  <si>
    <t>Peloponnisos</t>
  </si>
  <si>
    <t>peloponnisos</t>
  </si>
  <si>
    <t>acre</t>
  </si>
  <si>
    <t>Acre</t>
  </si>
  <si>
    <t>agadir</t>
  </si>
  <si>
    <t>Agadir Casbah</t>
  </si>
  <si>
    <t>Morocco</t>
  </si>
  <si>
    <t>Marokko</t>
  </si>
  <si>
    <t>Afrika, Buiten Europa</t>
  </si>
  <si>
    <t>Afrika, Outside Europe</t>
  </si>
  <si>
    <t>Agadir</t>
  </si>
  <si>
    <t>aggstein</t>
  </si>
  <si>
    <t>Austria</t>
  </si>
  <si>
    <t>Oostenrijk</t>
  </si>
  <si>
    <t>Niederöstenreich</t>
  </si>
  <si>
    <t>Nizzo van Hezzmannsweisen</t>
  </si>
  <si>
    <t>Nizzo of Hezzmannsweisen</t>
  </si>
  <si>
    <t>agra</t>
  </si>
  <si>
    <t>Agra Fort</t>
  </si>
  <si>
    <t>Agra</t>
  </si>
  <si>
    <t>Akbar</t>
  </si>
  <si>
    <t xml:space="preserve">Gelegen aan de Yamuna rivier tegenover de Taj Mahal. </t>
  </si>
  <si>
    <t>Fort, voldoet niet aan de definitie van kasteel voor de top 100, zie menu &lt;a href="achtergrond.php"&gt;achtergrond&lt;/a&gt;</t>
  </si>
  <si>
    <t>Fortress, does not comply with the definition of a castle as used by topcastles.com, please refer to the menu &lt;a href="achtergrond.php"&gt;background&lt;/a&gt;</t>
  </si>
  <si>
    <t>aigle</t>
  </si>
  <si>
    <t>Château d'Aigle</t>
  </si>
  <si>
    <t>Huidige vorm dateert uit de 15de eeuw.</t>
  </si>
  <si>
    <t>Remparts d'Aigues-Mortes</t>
  </si>
  <si>
    <t>France</t>
  </si>
  <si>
    <t>Frankrijk</t>
  </si>
  <si>
    <t>Aigues Mortes</t>
  </si>
  <si>
    <t>Languedoc-Roussillon</t>
  </si>
  <si>
    <t>languedoc-roussillon</t>
  </si>
  <si>
    <t>Koning Louis IX van Frankrijk</t>
  </si>
  <si>
    <t>King Louis IX of Frankrijk</t>
  </si>
  <si>
    <t>Oorspronkelijk bestond de verdediging alleen de Tour de Constance, de stadsmuren zijn door de zoon van Louis (Philip III) toegevoegd.</t>
  </si>
  <si>
    <t>akershus</t>
  </si>
  <si>
    <t>Akershus</t>
  </si>
  <si>
    <t>Norway</t>
  </si>
  <si>
    <t>Noorwegen</t>
  </si>
  <si>
    <t>Oslo</t>
  </si>
  <si>
    <t>akkar</t>
  </si>
  <si>
    <t>Syria</t>
  </si>
  <si>
    <t>Syrië</t>
  </si>
  <si>
    <t>akrokorinth</t>
  </si>
  <si>
    <t>Akrokorinth</t>
  </si>
  <si>
    <t>alacuas</t>
  </si>
  <si>
    <t>Spain</t>
  </si>
  <si>
    <t>Spanje</t>
  </si>
  <si>
    <t>Valencia</t>
  </si>
  <si>
    <t>valencia</t>
  </si>
  <si>
    <t>albertis</t>
  </si>
  <si>
    <t>Castello di Albertis</t>
  </si>
  <si>
    <t>Genova</t>
  </si>
  <si>
    <t>Liguria</t>
  </si>
  <si>
    <t>liguria</t>
  </si>
  <si>
    <t>Renaissance castle, does not comply with the definition of a castle as used by topcastles.com, please refer to the menu &lt;a href="achtergrond.php"&gt;background&lt;/a&gt;.</t>
  </si>
  <si>
    <t>albuquerque</t>
  </si>
  <si>
    <t>Portugal</t>
  </si>
  <si>
    <t>alcaniz</t>
  </si>
  <si>
    <t>Castillo de Alcañiz</t>
  </si>
  <si>
    <t>Teruel</t>
  </si>
  <si>
    <t>Aragón</t>
  </si>
  <si>
    <t>aragon</t>
  </si>
  <si>
    <t>aleppo</t>
  </si>
  <si>
    <t>Aleppo</t>
  </si>
  <si>
    <t>Ghazi</t>
  </si>
  <si>
    <t>alhambra</t>
  </si>
  <si>
    <t>Alhambra de Granada</t>
  </si>
  <si>
    <t>Granada</t>
  </si>
  <si>
    <t>Andalucia</t>
  </si>
  <si>
    <t>andalucia</t>
  </si>
  <si>
    <t>Mohammed I</t>
  </si>
  <si>
    <t>De Alcazaba is het 13de eeuwse kasteel van het Alhambra, de Alcazar is het 14de eeuwse paleis ernaast.</t>
  </si>
  <si>
    <t>http://www.alhambradegranada.org/default_en.asp</t>
  </si>
  <si>
    <t>aljaferia</t>
  </si>
  <si>
    <t>Zaragoza</t>
  </si>
  <si>
    <t>almansa</t>
  </si>
  <si>
    <t>Castillo de Almansa</t>
  </si>
  <si>
    <t>Albacete</t>
  </si>
  <si>
    <t>Castilla-La Mancha</t>
  </si>
  <si>
    <t>castilla-la_mancha</t>
  </si>
  <si>
    <t>almere</t>
  </si>
  <si>
    <t>Kasteel Almere</t>
  </si>
  <si>
    <t>Netherlands</t>
  </si>
  <si>
    <t>Nederland</t>
  </si>
  <si>
    <t>Benelux, Heilige Roomse Rijk</t>
  </si>
  <si>
    <t>Benelux, Holy Roman Empire</t>
  </si>
  <si>
    <t>Almere</t>
  </si>
  <si>
    <t>Flevoland</t>
  </si>
  <si>
    <t>flevoland</t>
  </si>
  <si>
    <t>New castle, does not comply with the definition of a castle as used by topcastles.com, please refer to the menu &lt;a href="achtergrond.php"&gt;background&lt;/a&gt;. The castle is planned to be ready in 2005. It is a larger replication of the belgium castle Jemeppe.</t>
  </si>
  <si>
    <t>http://www.kasteelalmere.nl</t>
  </si>
  <si>
    <t>almeria</t>
  </si>
  <si>
    <t>Alcazaba de Almeria</t>
  </si>
  <si>
    <t>Almeria</t>
  </si>
  <si>
    <t xml:space="preserve">Abd al-Rahaman III </t>
  </si>
  <si>
    <t>almodovar</t>
  </si>
  <si>
    <t>Àlmodóvar del Rio</t>
  </si>
  <si>
    <t>Cordoba</t>
  </si>
  <si>
    <t>Emir Abd ben Qatan, Kalief van Damascus</t>
  </si>
  <si>
    <t>Emir Abd ben Qatan, Kalief of Damascus</t>
  </si>
  <si>
    <t>In de 13de eeuw veroverd door Ferdinand III van Castille (1217-1252) na een vierjarig beleg.</t>
  </si>
  <si>
    <t>http://www.castillodealmodovar.com/</t>
  </si>
  <si>
    <t>almourol</t>
  </si>
  <si>
    <t>Castelo de Almourol</t>
  </si>
  <si>
    <t>Grootmeester Gualdim Pais</t>
  </si>
  <si>
    <t>Gualdim Pais</t>
  </si>
  <si>
    <t>Hij bestaat uit een dubbele ringburcht met 10 ronde torens een vierkante donjon en is op Romeinse en Moorse fundamenten aangelegd</t>
  </si>
  <si>
    <t>alnwick</t>
  </si>
  <si>
    <t>Alnwick Castle</t>
  </si>
  <si>
    <t>England</t>
  </si>
  <si>
    <t>Engeland</t>
  </si>
  <si>
    <t>(Northumberland)</t>
  </si>
  <si>
    <t>North East</t>
  </si>
  <si>
    <t>north_east</t>
  </si>
  <si>
    <t>Dit kasteel wordt veelvuldig voor films en series gebruikt, ondermeer in de films van Harry Potter als 'Hogwart's School', Ivanhoe, Robin Hood-Prince of Thieves (met Kevin Costner) en Blackadder 1 (Rowan Atkinson).</t>
  </si>
  <si>
    <t>altafulla</t>
  </si>
  <si>
    <t>Castillo de Altafulla</t>
  </si>
  <si>
    <t>Altafulla (Tarragona)</t>
  </si>
  <si>
    <t>Catalunya</t>
  </si>
  <si>
    <t>catalunya</t>
  </si>
  <si>
    <t>altenburg</t>
  </si>
  <si>
    <t>Altenburg</t>
  </si>
  <si>
    <t>Bamberg</t>
  </si>
  <si>
    <t>Sachsen-Anhalt</t>
  </si>
  <si>
    <t>sachsen-anhalt</t>
  </si>
  <si>
    <t>alvsborg</t>
  </si>
  <si>
    <t>Älvsborg (Elfsborg)</t>
  </si>
  <si>
    <t>Sweden</t>
  </si>
  <si>
    <t>Zweden</t>
  </si>
  <si>
    <t>rajasthan</t>
  </si>
  <si>
    <t>Picardie</t>
  </si>
  <si>
    <t>picardie</t>
  </si>
  <si>
    <t>amboise</t>
  </si>
  <si>
    <t>Château d'Amboise</t>
  </si>
  <si>
    <t>Tours-Blois</t>
  </si>
  <si>
    <t>Pays-de-Loire</t>
  </si>
  <si>
    <t>pays-de-loire</t>
  </si>
  <si>
    <t>Koning Karel VIII</t>
  </si>
  <si>
    <t>King Karel VIII</t>
  </si>
  <si>
    <t>ammersoyen</t>
  </si>
  <si>
    <t>Slot Ammersoyen</t>
  </si>
  <si>
    <t>Ammerzoden</t>
  </si>
  <si>
    <t>Gelderland</t>
  </si>
  <si>
    <t>gelderland</t>
  </si>
  <si>
    <t>Herlaer</t>
  </si>
  <si>
    <t>Turkey</t>
  </si>
  <si>
    <t>Turkije</t>
  </si>
  <si>
    <t>Anadoli Hissar</t>
  </si>
  <si>
    <t>Anadolu Hisari</t>
  </si>
  <si>
    <t>Alexios Comnesus</t>
  </si>
  <si>
    <t>Gelegen aan het smalste punt van de Bosporus aan de aziatische kant, tegenover Roumeli Hissar. Gebouwd door de grieken tegen invallen vanuit de Zwarte Zee.</t>
  </si>
  <si>
    <t>anamur</t>
  </si>
  <si>
    <t>Anamur</t>
  </si>
  <si>
    <t>Elzas (Alsace)</t>
  </si>
  <si>
    <t>alsace</t>
  </si>
  <si>
    <t>Lombardije (Lombardia)</t>
  </si>
  <si>
    <t>lombardia</t>
  </si>
  <si>
    <t>angers</t>
  </si>
  <si>
    <t>Château d'Angers</t>
  </si>
  <si>
    <t>Angers</t>
  </si>
  <si>
    <t>5-1</t>
  </si>
  <si>
    <t>anholt</t>
  </si>
  <si>
    <t>Isselburg</t>
  </si>
  <si>
    <t>anif</t>
  </si>
  <si>
    <t>Salzburg</t>
  </si>
  <si>
    <t>salzburg</t>
  </si>
  <si>
    <t>anjony</t>
  </si>
  <si>
    <t>Château d'Anjony</t>
  </si>
  <si>
    <t>Tournemire</t>
  </si>
  <si>
    <t>Auvergne</t>
  </si>
  <si>
    <t>auvergne</t>
  </si>
  <si>
    <t>Louis van Anjony</t>
  </si>
  <si>
    <t>Louis of Anjony</t>
  </si>
  <si>
    <t>antequera</t>
  </si>
  <si>
    <t>Castillo de Antequera</t>
  </si>
  <si>
    <t>Antequera (Málaga)</t>
  </si>
  <si>
    <t>antioch</t>
  </si>
  <si>
    <t>Antioch (Antiochia, Antakya)</t>
  </si>
  <si>
    <t>Belgium</t>
  </si>
  <si>
    <t>België</t>
  </si>
  <si>
    <t>Henegouwen</t>
  </si>
  <si>
    <t>henegouwen</t>
  </si>
  <si>
    <t>archidona</t>
  </si>
  <si>
    <t>Archidona</t>
  </si>
  <si>
    <t>arques</t>
  </si>
  <si>
    <t>Château d'Arques-la-Bataille</t>
  </si>
  <si>
    <t>Arques-la-Bataille</t>
  </si>
  <si>
    <t>Normandie</t>
  </si>
  <si>
    <t>normandie</t>
  </si>
  <si>
    <t>Guillaume d'Arques</t>
  </si>
  <si>
    <t>William of Arques</t>
  </si>
  <si>
    <t>http://www.casteland.com/puk/castle/hnormand/seinem/arques/arques.htm</t>
  </si>
  <si>
    <t>arundel</t>
  </si>
  <si>
    <t>Arundel Castle</t>
  </si>
  <si>
    <t>Arundel (Sussex)</t>
  </si>
  <si>
    <t>South East</t>
  </si>
  <si>
    <t>south_east</t>
  </si>
  <si>
    <t>Koning Henry I van Engeland</t>
  </si>
  <si>
    <t>King Henry I of England</t>
  </si>
  <si>
    <t>http://www.arundelcastle.org</t>
  </si>
  <si>
    <t>Ashby-de-la-Zouche Castle</t>
  </si>
  <si>
    <t>Ashby (Essex)</t>
  </si>
  <si>
    <t>East Midlands</t>
  </si>
  <si>
    <t>east_midlands</t>
  </si>
  <si>
    <t>askeaton</t>
  </si>
  <si>
    <t>Askeaton Castle</t>
  </si>
  <si>
    <t>Ierland</t>
  </si>
  <si>
    <t>Limerick</t>
  </si>
  <si>
    <t>limerick</t>
  </si>
  <si>
    <t>Noord Holland</t>
  </si>
  <si>
    <t>noord_holland</t>
  </si>
  <si>
    <t>Barcelona</t>
  </si>
  <si>
    <t>Walled city, does not comply with the definition of a castle as used by topcastles.com, please refer to the menu &lt;a href="achtergrond.php"&gt;background&lt;/a&gt;.</t>
  </si>
  <si>
    <t>athenry</t>
  </si>
  <si>
    <t>Athenry Castle</t>
  </si>
  <si>
    <t>Galway</t>
  </si>
  <si>
    <t>galway</t>
  </si>
  <si>
    <t>athlone</t>
  </si>
  <si>
    <t>Athlone Castle</t>
  </si>
  <si>
    <t>Westmeath</t>
  </si>
  <si>
    <t>westmeath</t>
  </si>
  <si>
    <t>auxonne</t>
  </si>
  <si>
    <t>Château d'Auxonne</t>
  </si>
  <si>
    <t>Bourgogne</t>
  </si>
  <si>
    <t>bourgogne</t>
  </si>
  <si>
    <t>Abruzzi</t>
  </si>
  <si>
    <t>abruzzi</t>
  </si>
  <si>
    <t>avignon</t>
  </si>
  <si>
    <t>Avignon (Palais des Papes)</t>
  </si>
  <si>
    <t>Avignon</t>
  </si>
  <si>
    <t>Provence-Alpes-Côte-d'Azur</t>
  </si>
  <si>
    <t>provence</t>
  </si>
  <si>
    <t>Paus Johannes XXII</t>
  </si>
  <si>
    <t>De constructie bestaat uit een oud en een nieuw pauselijk paleis verdedigd door hoge weermuren met vierkante hoektorens.</t>
  </si>
  <si>
    <t>http://www.palais-des-papes.com/anglais/index.html</t>
  </si>
  <si>
    <t>Castilla y León</t>
  </si>
  <si>
    <t>castilla_y_leon</t>
  </si>
  <si>
    <t>Château d'Azay-le-Rideau</t>
  </si>
  <si>
    <t>Centre</t>
  </si>
  <si>
    <t>centre</t>
  </si>
  <si>
    <t>azuchi</t>
  </si>
  <si>
    <t>Azuchi</t>
  </si>
  <si>
    <t>Japan</t>
  </si>
  <si>
    <t>Oda Nobunaga</t>
  </si>
  <si>
    <t>Dit was het eerste Japanse kasteel met een hoge donjon op een stenen basis. Het is 6 jaar na de bouw in vlammen opgegaan. De donjon was waarschijnlijk 7 verdiepingen hoog.</t>
  </si>
  <si>
    <t>babylon</t>
  </si>
  <si>
    <t>Fortress of Babylon</t>
  </si>
  <si>
    <t>Egypt</t>
  </si>
  <si>
    <t>Egypte</t>
  </si>
  <si>
    <t>Old Cairo</t>
  </si>
  <si>
    <t>Prehistorical, does not comply with the definition of a castle as used by topcastles.com, please refer to the menu &lt;a href="achtergrond.php"&gt;background&lt;/a&gt;.</t>
  </si>
  <si>
    <t>baghras</t>
  </si>
  <si>
    <t>Baghras (Gaston)</t>
  </si>
  <si>
    <t>Rheinland-Pfalz</t>
  </si>
  <si>
    <t>rheinland-pfalz</t>
  </si>
  <si>
    <t>Sligo</t>
  </si>
  <si>
    <t>sligo</t>
  </si>
  <si>
    <t>Richard de Burgo</t>
  </si>
  <si>
    <t>bamburgh</t>
  </si>
  <si>
    <t>Bamburgh Castle</t>
  </si>
  <si>
    <t>Graaf Henry van Huntington</t>
  </si>
  <si>
    <t>Count Henry of Huntington</t>
  </si>
  <si>
    <t>Castello di Bari</t>
  </si>
  <si>
    <t>Bari</t>
  </si>
  <si>
    <t>Apulië (Puglia)</t>
  </si>
  <si>
    <t>puglia</t>
  </si>
  <si>
    <t>Keizer Frederick II van het heilige roomse rijk</t>
  </si>
  <si>
    <t>Emperor Frederick II of the holy roman empire</t>
  </si>
  <si>
    <t>barnard</t>
  </si>
  <si>
    <t>Barnard Castle</t>
  </si>
  <si>
    <t>(Durham)</t>
  </si>
  <si>
    <t>bastille</t>
  </si>
  <si>
    <t>Château de la Bastille (Prison de la Bastille)</t>
  </si>
  <si>
    <t>Paris</t>
  </si>
  <si>
    <t>Ile-de-France</t>
  </si>
  <si>
    <t>ile-de-france</t>
  </si>
  <si>
    <t>Het kasteel bevatte een "oubliette", een geheime kerker met alleen een opening in het plafond. De noodlottigen die moesten verdwijnen werden in het gat gegooid en letterlijk vergeten en aan hun lot overgelaten.</t>
  </si>
  <si>
    <t>Het kasteel is verwoest tijdens de opstand van de parijzenaren in de franse revolutie (1789).</t>
  </si>
  <si>
    <t>batiaz</t>
  </si>
  <si>
    <t>Aquitaine</t>
  </si>
  <si>
    <t>aquitaine</t>
  </si>
  <si>
    <t>beaufort</t>
  </si>
  <si>
    <t>Lebanon</t>
  </si>
  <si>
    <t>Libanon</t>
  </si>
  <si>
    <t>Arabisch</t>
  </si>
  <si>
    <t>Château de Beaufort</t>
  </si>
  <si>
    <t>Luxemburg</t>
  </si>
  <si>
    <t>beaumaris</t>
  </si>
  <si>
    <t>Beaumaris Castle</t>
  </si>
  <si>
    <t>Anglesey</t>
  </si>
  <si>
    <t>Gwynedd</t>
  </si>
  <si>
    <t>gwynedd</t>
  </si>
  <si>
    <t>Laatste van de acht kastelen die koning Edward I bouwde om zijn verovering van Wales te bestendigen. Beste voorbeeld van een concentrisch kasteel.</t>
  </si>
  <si>
    <t>http://www.beaumaris.com/</t>
  </si>
  <si>
    <t>West Vlaanderen</t>
  </si>
  <si>
    <t>west_vlaanderen</t>
  </si>
  <si>
    <t>bechyne</t>
  </si>
  <si>
    <t>Bechyné Hrad</t>
  </si>
  <si>
    <t>Czechia</t>
  </si>
  <si>
    <t>Tsjechië</t>
  </si>
  <si>
    <t>East</t>
  </si>
  <si>
    <t>east</t>
  </si>
  <si>
    <t>bedzin</t>
  </si>
  <si>
    <t>Bedzin</t>
  </si>
  <si>
    <t>beersel</t>
  </si>
  <si>
    <t>Kasteel Beersel</t>
  </si>
  <si>
    <t>Beersel</t>
  </si>
  <si>
    <t>Brabant</t>
  </si>
  <si>
    <t>brabant</t>
  </si>
  <si>
    <t>North West</t>
  </si>
  <si>
    <t>north_west</t>
  </si>
  <si>
    <t>beja</t>
  </si>
  <si>
    <t>Castelo de Beja</t>
  </si>
  <si>
    <t>belem</t>
  </si>
  <si>
    <t>Torra de Bélem</t>
  </si>
  <si>
    <t>Lissabon</t>
  </si>
  <si>
    <t>bellver</t>
  </si>
  <si>
    <t xml:space="preserve">Castillo de Bellver </t>
  </si>
  <si>
    <t>Mallorca</t>
  </si>
  <si>
    <t>Baleares</t>
  </si>
  <si>
    <t>baleares</t>
  </si>
  <si>
    <t>belmonte</t>
  </si>
  <si>
    <t>Castillo de Belmonte</t>
  </si>
  <si>
    <t>Cuenca</t>
  </si>
  <si>
    <t>belvoir</t>
  </si>
  <si>
    <t>Tiberias</t>
  </si>
  <si>
    <t>Galilea</t>
  </si>
  <si>
    <t>galicia</t>
  </si>
  <si>
    <t>Hospitaal ridders</t>
  </si>
  <si>
    <t>Hospital knights</t>
  </si>
  <si>
    <t>bere</t>
  </si>
  <si>
    <t>Castell Y Bere</t>
  </si>
  <si>
    <t>bergenhus</t>
  </si>
  <si>
    <t>Bergenhus Festning</t>
  </si>
  <si>
    <t>Bergen</t>
  </si>
  <si>
    <t xml:space="preserve">Olav Kyrre </t>
  </si>
  <si>
    <t>bergh</t>
  </si>
  <si>
    <t>Kasteel Huis Bergh</t>
  </si>
  <si>
    <t>s-Heerenberg</t>
  </si>
  <si>
    <t>Heren van den Bergh</t>
  </si>
  <si>
    <t>Lords of den Bergh</t>
  </si>
  <si>
    <t>De donjon is uit de 15de-eeuw. Het kasteel is aanzienlijk verbouwd in de 18de-eeuw.</t>
  </si>
  <si>
    <t>berkeley</t>
  </si>
  <si>
    <t>Berkeley Castle</t>
  </si>
  <si>
    <t>(Gloucestershire)</t>
  </si>
  <si>
    <t>South West</t>
  </si>
  <si>
    <t>south_west</t>
  </si>
  <si>
    <t>berkhamsted</t>
  </si>
  <si>
    <t>Berkhamsted Castle</t>
  </si>
  <si>
    <t>(Hereford &amp; Worcester)</t>
  </si>
  <si>
    <t>West Midlands</t>
  </si>
  <si>
    <t>west_midlands</t>
  </si>
  <si>
    <t>bernstein</t>
  </si>
  <si>
    <t>Burg Bernstein</t>
  </si>
  <si>
    <t>Dambach-la-Ville</t>
  </si>
  <si>
    <t>berwartstein</t>
  </si>
  <si>
    <t>Burg Berwartstein</t>
  </si>
  <si>
    <t>Bad Bergzabern</t>
  </si>
  <si>
    <t xml:space="preserve">Ridder Hans "Trapp" von Drodt was in de 15de eeuw een gevreesde bewoner van het kasteel. Vogelvrij verklaard door de paus en de keizer en in strijd met de omliggende dorpen vormt hij nog steeds een hoofdpersoon in vele legenden. </t>
  </si>
  <si>
    <t>De burcht is volledig gebouwd in en op een grote rotspartij. De oorspronkelijke ingang werd gevormd door een natuurlijke schacht in de rots waardoor het bijna onmogelijk was de burcht te veroveren. En brand in 1591 verwoeste de gebouwen van het kasteel waardoor het in 1689 als enige (?) kasteel in de Elzas niet is opgeblazen in opdracht van koning Lodewijk XIV van Frankrijk. In 1922 kwam het kasteel in privebezit en werd het opnieuw opgebouwd.</t>
  </si>
  <si>
    <t>http://www.burgberwartstein.de</t>
  </si>
  <si>
    <t>berze</t>
  </si>
  <si>
    <t>Berzé le Chatel</t>
  </si>
  <si>
    <t>Namen</t>
  </si>
  <si>
    <t>namen</t>
  </si>
  <si>
    <t>beynac</t>
  </si>
  <si>
    <t>Château de Beynac</t>
  </si>
  <si>
    <t>bezdez</t>
  </si>
  <si>
    <t>Bezdez Hrad</t>
  </si>
  <si>
    <t>bidenegg</t>
  </si>
  <si>
    <t>binnenhof</t>
  </si>
  <si>
    <t>Binnenhof (Ridderzaal)</t>
  </si>
  <si>
    <t>Den Haag</t>
  </si>
  <si>
    <t>Zuid Holland</t>
  </si>
  <si>
    <t>zuid_holland</t>
  </si>
  <si>
    <t>Graaf Floris IV van Holland</t>
  </si>
  <si>
    <t>Count Floris IV of Holland</t>
  </si>
  <si>
    <t>De ridderzaal is in de 19de eeuw gerestaureerd en heeft daarbij neo-gotische trekjes gekregen.</t>
  </si>
  <si>
    <t>Emperial palace of count Floris IV, does not comply with the definition of a castle as used by topcastles.com, please refer to the menu &lt;a href="achtergrond.php"&gt;background&lt;/a&gt;.</t>
  </si>
  <si>
    <t>http://historie.denhaag.org/binnenhof.htm</t>
  </si>
  <si>
    <t>biron</t>
  </si>
  <si>
    <t>Château de Biron</t>
  </si>
  <si>
    <t>bizelsjko</t>
  </si>
  <si>
    <t>Slovenia</t>
  </si>
  <si>
    <t>Slovenië</t>
  </si>
  <si>
    <t>Château de Blandy-les-tours</t>
  </si>
  <si>
    <t>Blandy-les-Tours</t>
  </si>
  <si>
    <t>http://www.tourisme77.net/chateau-blandy/default.htm</t>
  </si>
  <si>
    <t>blarney</t>
  </si>
  <si>
    <t>Blarney Castle</t>
  </si>
  <si>
    <t>Cork</t>
  </si>
  <si>
    <t>cork</t>
  </si>
  <si>
    <t>Cormac McCarthy</t>
  </si>
  <si>
    <t>Onder de kantelen bevindt zich de Blarney Stone waar een legende van zegt dat je welsprekend wordt als je hem kust.</t>
  </si>
  <si>
    <t>http://www.blarneycastle.ie</t>
  </si>
  <si>
    <t>bled</t>
  </si>
  <si>
    <t>Bled Hrad (Veldes)</t>
  </si>
  <si>
    <t>bodiam</t>
  </si>
  <si>
    <t>Bodiam Castle</t>
  </si>
  <si>
    <t>Robertsbridge (Sussex)</t>
  </si>
  <si>
    <t>Sir Edward Dalyngrygge</t>
  </si>
  <si>
    <t>bodrum</t>
  </si>
  <si>
    <t>Kos</t>
  </si>
  <si>
    <t>bolkoburg</t>
  </si>
  <si>
    <t>bolsena</t>
  </si>
  <si>
    <t>Castello di Bolsena</t>
  </si>
  <si>
    <t>Bolsena</t>
  </si>
  <si>
    <t>Trento (Zuid-Tirol, Trentino)</t>
  </si>
  <si>
    <t>trento</t>
  </si>
  <si>
    <t>bolton</t>
  </si>
  <si>
    <t>Bolton Castle</t>
  </si>
  <si>
    <t>Wensleydale</t>
  </si>
  <si>
    <t>Yorkshire and Humber</t>
  </si>
  <si>
    <t>yorkshire</t>
  </si>
  <si>
    <t>Richard le Scrope</t>
  </si>
  <si>
    <t xml:space="preserve">Château de Bonaguil </t>
  </si>
  <si>
    <t>Cahors</t>
  </si>
  <si>
    <t>borl</t>
  </si>
  <si>
    <t>Ptujsko Polje</t>
  </si>
  <si>
    <t>ptujsko</t>
  </si>
  <si>
    <t>borthwick</t>
  </si>
  <si>
    <t>Borthwick Castle</t>
  </si>
  <si>
    <t>Scotland</t>
  </si>
  <si>
    <t>Schotland</t>
  </si>
  <si>
    <t>(Lothian)</t>
  </si>
  <si>
    <t>Edinburg and Lothian</t>
  </si>
  <si>
    <t>edinburg_and_lothian</t>
  </si>
  <si>
    <t>bossenstein</t>
  </si>
  <si>
    <t>Kasteel Bossenstein</t>
  </si>
  <si>
    <t>Antwerpen</t>
  </si>
  <si>
    <t>antwerpen</t>
  </si>
  <si>
    <t>bothwell</t>
  </si>
  <si>
    <t>Bothwell Castle</t>
  </si>
  <si>
    <t>Uddingston Near Glasgow (Strathclyde)</t>
  </si>
  <si>
    <t>Central</t>
  </si>
  <si>
    <t>central</t>
  </si>
  <si>
    <t>bouillon</t>
  </si>
  <si>
    <t>Château de Bouillon</t>
  </si>
  <si>
    <t>Bouillon sur Semois</t>
  </si>
  <si>
    <t>luxemburg</t>
  </si>
  <si>
    <t>Hertog Godfried III van Neder-Lotharingen</t>
  </si>
  <si>
    <t>Duke Godfried III of Neder-Lotharingen</t>
  </si>
  <si>
    <t>Bekendste bewoner: Godfried van Bouillon, de leider van de eerste kruistocht die ook daadwerkelijk Jeruzalem veroverde.</t>
  </si>
  <si>
    <t>bourglinster</t>
  </si>
  <si>
    <t>Château de Bourglinster</t>
  </si>
  <si>
    <t>bourscheid</t>
  </si>
  <si>
    <t>Château de Bourscheid</t>
  </si>
  <si>
    <t>Ardennen</t>
  </si>
  <si>
    <t>ardennen</t>
  </si>
  <si>
    <t>braemar</t>
  </si>
  <si>
    <t>Braemar Castle</t>
  </si>
  <si>
    <t>Braemar (Grampian)</t>
  </si>
  <si>
    <t>Grampian</t>
  </si>
  <si>
    <t>grampian</t>
  </si>
  <si>
    <t>braganca</t>
  </si>
  <si>
    <t>bran</t>
  </si>
  <si>
    <t>Castelul Bran (Toerzburg)</t>
  </si>
  <si>
    <t>Rumania</t>
  </si>
  <si>
    <t>Roemenië</t>
  </si>
  <si>
    <t>Oost Europa</t>
  </si>
  <si>
    <t>Eastern Europe</t>
  </si>
  <si>
    <t>Brasov</t>
  </si>
  <si>
    <t>Koning Ludovic I D'Anjou van Hongarije</t>
  </si>
  <si>
    <t>King Ludovic I D'Anjou of Hongarije</t>
  </si>
  <si>
    <t>Vlad Tepes, die Bram Stoker inspireerde voor zijn Graaf Dracula, zou hier in de 15de eeuw gevangen zijn gehouden. Het echte kasteel van Vlad de spietser is een ruine in Vallachia: Poenari.</t>
  </si>
  <si>
    <t>brancion</t>
  </si>
  <si>
    <t>Château de Brancion</t>
  </si>
  <si>
    <t>Trento</t>
  </si>
  <si>
    <t>brede</t>
  </si>
  <si>
    <t>Château de la Brède</t>
  </si>
  <si>
    <t>brederode</t>
  </si>
  <si>
    <t>Slot Brederode</t>
  </si>
  <si>
    <t>Santpoort</t>
  </si>
  <si>
    <t>Verwoest in de 16de eeuw door spaanse troepen.</t>
  </si>
  <si>
    <t>brest</t>
  </si>
  <si>
    <t>Château de Brest</t>
  </si>
  <si>
    <t>Bretagne</t>
  </si>
  <si>
    <t>bretagne</t>
  </si>
  <si>
    <t>Hessen</t>
  </si>
  <si>
    <t>hessen</t>
  </si>
  <si>
    <t>(Warwickshire)</t>
  </si>
  <si>
    <t>bromserburg</t>
  </si>
  <si>
    <t>Burg Brömserburg (Niederburg)</t>
  </si>
  <si>
    <t>Rüdesheim</t>
  </si>
  <si>
    <t>brougham</t>
  </si>
  <si>
    <t>Brougham Castle</t>
  </si>
  <si>
    <t>(Cumbria)</t>
  </si>
  <si>
    <t>bruck</t>
  </si>
  <si>
    <t>Bruck (Lienz)</t>
  </si>
  <si>
    <t>Lienz</t>
  </si>
  <si>
    <t>Tirol</t>
  </si>
  <si>
    <t>tirol</t>
  </si>
  <si>
    <t>buda</t>
  </si>
  <si>
    <t>Hungary</t>
  </si>
  <si>
    <t>Hongarije</t>
  </si>
  <si>
    <t>Budapest</t>
  </si>
  <si>
    <t>budingen</t>
  </si>
  <si>
    <t>Büdingen</t>
  </si>
  <si>
    <t>buffavento</t>
  </si>
  <si>
    <t>Cyprus</t>
  </si>
  <si>
    <t>builth</t>
  </si>
  <si>
    <t>Builth Castle</t>
  </si>
  <si>
    <t>Powys</t>
  </si>
  <si>
    <t>powys</t>
  </si>
  <si>
    <t>buitrago</t>
  </si>
  <si>
    <t xml:space="preserve">Castillo de Buitrago del Lozoya </t>
  </si>
  <si>
    <t>Madrid</t>
  </si>
  <si>
    <t>madrid</t>
  </si>
  <si>
    <t>bunratty</t>
  </si>
  <si>
    <t>Bunratty Castle</t>
  </si>
  <si>
    <t>Clare</t>
  </si>
  <si>
    <t>clare</t>
  </si>
  <si>
    <t>Castello del Buonconsiglio</t>
  </si>
  <si>
    <t>burghausen</t>
  </si>
  <si>
    <t>Bürghausen an den Salzach</t>
  </si>
  <si>
    <t>Bürghausen</t>
  </si>
  <si>
    <t>Bayern</t>
  </si>
  <si>
    <t>bayern</t>
  </si>
  <si>
    <t>burgschwallbach</t>
  </si>
  <si>
    <t>Burgschwallbach</t>
  </si>
  <si>
    <t>(Wiesbaden)</t>
  </si>
  <si>
    <t>burgstein</t>
  </si>
  <si>
    <t>burresheim</t>
  </si>
  <si>
    <t>Mayen</t>
  </si>
  <si>
    <t xml:space="preserve">Château de Bury </t>
  </si>
  <si>
    <t>Chouzy-sur-Cisse</t>
  </si>
  <si>
    <t>bytow</t>
  </si>
  <si>
    <t>(Somerset)</t>
  </si>
  <si>
    <t>caen</t>
  </si>
  <si>
    <t>Château de Caen</t>
  </si>
  <si>
    <t>Caen</t>
  </si>
  <si>
    <t>http://www.chateau.caen.fr</t>
  </si>
  <si>
    <t>caerlaverock</t>
  </si>
  <si>
    <t>Caerlaverock Castle</t>
  </si>
  <si>
    <t>South</t>
  </si>
  <si>
    <t>south</t>
  </si>
  <si>
    <t>http://www.dumfriesmuseum.demon.co.uk/frames.html</t>
  </si>
  <si>
    <t>caernarfon</t>
  </si>
  <si>
    <t>Caernarfon</t>
  </si>
  <si>
    <t>http://www.caernarfon.com/index.html</t>
  </si>
  <si>
    <t>caerphilly</t>
  </si>
  <si>
    <t>Caerphilly Castle</t>
  </si>
  <si>
    <t>Mid Glamorgan</t>
  </si>
  <si>
    <t>Glamorgan</t>
  </si>
  <si>
    <t>glamorgan</t>
  </si>
  <si>
    <t>Gilbert de Clare</t>
  </si>
  <si>
    <t>http://www.castlewales.com/caerphil.html</t>
  </si>
  <si>
    <t>caesaria</t>
  </si>
  <si>
    <t>Haifa - Tel Aviv</t>
  </si>
  <si>
    <t>Sermoneta</t>
  </si>
  <si>
    <t>cairo</t>
  </si>
  <si>
    <t>Citadel Cairo</t>
  </si>
  <si>
    <t>Caïro</t>
  </si>
  <si>
    <t>(Norfolk)</t>
  </si>
  <si>
    <t xml:space="preserve">Castillo de Calahorra </t>
  </si>
  <si>
    <t>calatrava</t>
  </si>
  <si>
    <t>Calatrava la Nueva</t>
  </si>
  <si>
    <t>Ciudad Real</t>
  </si>
  <si>
    <t>canossa</t>
  </si>
  <si>
    <t>Castello di Canossa</t>
  </si>
  <si>
    <t>Canossa</t>
  </si>
  <si>
    <t>canterbury</t>
  </si>
  <si>
    <t>Canterbury Castle</t>
  </si>
  <si>
    <t>Canterbury (Kent)</t>
  </si>
  <si>
    <t>carcassonne</t>
  </si>
  <si>
    <t>Cité de Carcassonne</t>
  </si>
  <si>
    <t>Carcassonne</t>
  </si>
  <si>
    <t>Gerestaureerd door Viollet-le-Duc</t>
  </si>
  <si>
    <t>cardiff</t>
  </si>
  <si>
    <t>Cardiff Castle</t>
  </si>
  <si>
    <t>carew</t>
  </si>
  <si>
    <t>Carew Castle</t>
  </si>
  <si>
    <t>Carew</t>
  </si>
  <si>
    <t>Sir Nicholas de Carew</t>
  </si>
  <si>
    <t>http://www.carewcastle.com/</t>
  </si>
  <si>
    <t>carisbrooke</t>
  </si>
  <si>
    <t>Carisbrooke Castle</t>
  </si>
  <si>
    <t>Newport (Isle of Wight)</t>
  </si>
  <si>
    <t xml:space="preserve">Het poortgebouw dateert uit de 14de eeuw. </t>
  </si>
  <si>
    <t>carmona</t>
  </si>
  <si>
    <t>Sevilla</t>
  </si>
  <si>
    <t>Carreg Cennen Castle</t>
  </si>
  <si>
    <t>Rhyps ad Gruffydd</t>
  </si>
  <si>
    <t>carrickfergus</t>
  </si>
  <si>
    <t>Carrickfergus Castle</t>
  </si>
  <si>
    <t>Antrim</t>
  </si>
  <si>
    <t>antrim</t>
  </si>
  <si>
    <t>Belfast Lough</t>
  </si>
  <si>
    <t>carrigogunnel</t>
  </si>
  <si>
    <t>Carrigogunnel Castle</t>
  </si>
  <si>
    <t>castelgrande</t>
  </si>
  <si>
    <t>Castel Grande (Bellinzona, Castello d'Unterwalden)</t>
  </si>
  <si>
    <t>Bellinzona</t>
  </si>
  <si>
    <t>castelnuovo</t>
  </si>
  <si>
    <t>Castel Nuovo (Maschio Angioino)</t>
  </si>
  <si>
    <t>Naples</t>
  </si>
  <si>
    <t>Campanië</t>
  </si>
  <si>
    <t>campanie</t>
  </si>
  <si>
    <t>Charles of Anjou</t>
  </si>
  <si>
    <t>castelvecchio</t>
  </si>
  <si>
    <t>Castelvecchio</t>
  </si>
  <si>
    <t>Verona</t>
  </si>
  <si>
    <t>venetia</t>
  </si>
  <si>
    <t>Cangrande II della Scala</t>
  </si>
  <si>
    <t>http://www.comune.verona.it/Castelvecchio/cvsito/english/index1.htm</t>
  </si>
  <si>
    <t>celano</t>
  </si>
  <si>
    <t>Castello di Celano</t>
  </si>
  <si>
    <t>Celano</t>
  </si>
  <si>
    <t>cesena</t>
  </si>
  <si>
    <t>Cesena</t>
  </si>
  <si>
    <t>Cetatea Alba (Akkermann)</t>
  </si>
  <si>
    <t>cetin</t>
  </si>
  <si>
    <t>Cetin</t>
  </si>
  <si>
    <t>Kroatië</t>
  </si>
  <si>
    <t>Limousin</t>
  </si>
  <si>
    <t>limousin</t>
  </si>
  <si>
    <t xml:space="preserve">Château de Chambois </t>
  </si>
  <si>
    <t xml:space="preserve">chambord </t>
  </si>
  <si>
    <t>Château de Chambord</t>
  </si>
  <si>
    <t>Qalaat Yahamur</t>
  </si>
  <si>
    <t>chateaudun</t>
  </si>
  <si>
    <t>Châteaudun</t>
  </si>
  <si>
    <t>Chatillon</t>
  </si>
  <si>
    <t>Valle d'Aosta</t>
  </si>
  <si>
    <t>aosta</t>
  </si>
  <si>
    <t>chaumont</t>
  </si>
  <si>
    <t>Château de Chaumont</t>
  </si>
  <si>
    <t>Chaumont-sur-Loire</t>
  </si>
  <si>
    <t>Pierre I van Amboise</t>
  </si>
  <si>
    <t>Pierre I of Amboise</t>
  </si>
  <si>
    <t>http://www.loire-france.com/visites/chateaux/chaumont-sur-loire/</t>
  </si>
  <si>
    <t>checiny</t>
  </si>
  <si>
    <t>Checiny</t>
  </si>
  <si>
    <t xml:space="preserve">chenonceaux </t>
  </si>
  <si>
    <t>Château de Chenonceaux</t>
  </si>
  <si>
    <t>Indre-et-Loire</t>
  </si>
  <si>
    <t>chepstow</t>
  </si>
  <si>
    <t>Chepstow Castle</t>
  </si>
  <si>
    <t>Gwent</t>
  </si>
  <si>
    <t>gwent</t>
  </si>
  <si>
    <t xml:space="preserve">William fitz Osbern </t>
  </si>
  <si>
    <t>Gelegen aan de rivier Wye op de grens van Engeland en Zuid Wales. De huidige vorm met de grote Marten's toren en het poortgebouw dateert uit de 13de-eeuw.</t>
  </si>
  <si>
    <t>chillon</t>
  </si>
  <si>
    <t xml:space="preserve">Château de Chillon </t>
  </si>
  <si>
    <t>Peter II</t>
  </si>
  <si>
    <t>http://www.chillon.ch/</t>
  </si>
  <si>
    <t>chinon</t>
  </si>
  <si>
    <t xml:space="preserve">Château de Chinon </t>
  </si>
  <si>
    <t>Chinon</t>
  </si>
  <si>
    <t>Koning Henry II van Engeland</t>
  </si>
  <si>
    <t>King Henry II of England</t>
  </si>
  <si>
    <t>Hier leerde Jeanne d'Arc de Dauphin -de toekomstige koning Charles VII van Frankrijk (1422-1461)- kennen.</t>
  </si>
  <si>
    <t>Chinon heeft een omtrek van meer dan 400 meter. Het bestaat in feite uit drie aparte kastelen die oorspronkelijk gescheiden waren door droge grachten: Chateau du Coudray, Chateau du Milieu en Fort St-Georges. Het kasteel werd in de 17de-eeuw ernstig beschadigd.</t>
  </si>
  <si>
    <t>http://www.37-online.net/gb/castles/chinon_gb.html</t>
  </si>
  <si>
    <t>chipchase</t>
  </si>
  <si>
    <t>Chipchase Castle</t>
  </si>
  <si>
    <t>chocim</t>
  </si>
  <si>
    <t>Ukraine</t>
  </si>
  <si>
    <t>Oekraïne</t>
  </si>
  <si>
    <t>chojnik</t>
  </si>
  <si>
    <t>churburg</t>
  </si>
  <si>
    <t>Churburg</t>
  </si>
  <si>
    <t>claypotts</t>
  </si>
  <si>
    <t>Claypotts Castle</t>
  </si>
  <si>
    <t>Dundee (Tayside)</t>
  </si>
  <si>
    <t>John Strachan</t>
  </si>
  <si>
    <t>clervaux</t>
  </si>
  <si>
    <t>Château de Clervaux (Clerf)</t>
  </si>
  <si>
    <t>cleydael</t>
  </si>
  <si>
    <t>Kasteel Cleydael</t>
  </si>
  <si>
    <t>Aartselaar</t>
  </si>
  <si>
    <t>Alexander van Cleydael</t>
  </si>
  <si>
    <t>Alexander of Cleydael</t>
  </si>
  <si>
    <t>clifford</t>
  </si>
  <si>
    <t>Clifford's Tower</t>
  </si>
  <si>
    <t>York</t>
  </si>
  <si>
    <t>Koning Henry III van Engeland</t>
  </si>
  <si>
    <t>King Henry III of England</t>
  </si>
  <si>
    <t xml:space="preserve"> It was the site of one of the first pogroms against Jews in Europe in 1190.</t>
  </si>
  <si>
    <t>Clifford's Tower is the remaining keep of York Castle. The castle was originally built of wood around 1068 by William I (William the Conqueror). It was burnt to the ground in 1190.  The present Tower was completed in 1259, as part of Henry III's comprehensive rebuild of the castle in stone. The Tower later became known as Clifford's Tower after Roger de Clifford, who was hanged there in 1322.</t>
  </si>
  <si>
    <t>http://www.yorkcastle.com</t>
  </si>
  <si>
    <t>clisson</t>
  </si>
  <si>
    <t>Château de Clisson</t>
  </si>
  <si>
    <t>coburg</t>
  </si>
  <si>
    <t>Coburg</t>
  </si>
  <si>
    <t>coca</t>
  </si>
  <si>
    <t>Castillo de Coca (Castile Causa)</t>
  </si>
  <si>
    <t>Segovia</t>
  </si>
  <si>
    <t>Archbishop Alfonso de Fuesca de Seville</t>
  </si>
  <si>
    <t>http://www.coca-ciudaddecauca.org/principal.htm</t>
  </si>
  <si>
    <t>cochem</t>
  </si>
  <si>
    <t>Reichsburg Cochem</t>
  </si>
  <si>
    <t>Cochem</t>
  </si>
  <si>
    <t>colchester</t>
  </si>
  <si>
    <t>Colchester Castle</t>
  </si>
  <si>
    <t>(Essex)</t>
  </si>
  <si>
    <t>Odo</t>
  </si>
  <si>
    <t>De toren van twee verdiepingen had oorspronkelijk waarschijnlijk vier verdiepingen.</t>
  </si>
  <si>
    <t xml:space="preserve">Château de Combourg </t>
  </si>
  <si>
    <t>comlongan</t>
  </si>
  <si>
    <t>Comlongan Castle</t>
  </si>
  <si>
    <t>(Dumfries and Galloway)</t>
  </si>
  <si>
    <t>commarque</t>
  </si>
  <si>
    <t>commequiers</t>
  </si>
  <si>
    <t>Château de Commequiers</t>
  </si>
  <si>
    <t>conciergerie</t>
  </si>
  <si>
    <t>Château de Conciergerie</t>
  </si>
  <si>
    <t>conisbrough</t>
  </si>
  <si>
    <t>Conisbrough Castle</t>
  </si>
  <si>
    <t>Conisbrough</t>
  </si>
  <si>
    <t>Graaf Hamelin Plantagenet van Yorkshire</t>
  </si>
  <si>
    <t>Count Hamelin Plantagenet of Yorkshire</t>
  </si>
  <si>
    <t>Dit kasteel speelt een belangrijke rol in het boek Ivanhoe van Sir Walter Scott (1820).</t>
  </si>
  <si>
    <t>Unieke donjon met zes grote steunberen.</t>
  </si>
  <si>
    <t>http://www.conisbroughcastle.org.uk/</t>
  </si>
  <si>
    <t>Istanbul</t>
  </si>
  <si>
    <t>Theodosius II</t>
  </si>
  <si>
    <t>consuegra</t>
  </si>
  <si>
    <t>Castillo de Consuegra</t>
  </si>
  <si>
    <t>Toledo</t>
  </si>
  <si>
    <t>conwy</t>
  </si>
  <si>
    <t>Conwy</t>
  </si>
  <si>
    <t>http://www.conwy.com/</t>
  </si>
  <si>
    <t>corfe</t>
  </si>
  <si>
    <t>Corfe Castle</t>
  </si>
  <si>
    <t>(Devon)</t>
  </si>
  <si>
    <t>corroy</t>
  </si>
  <si>
    <t>Corroy le Chateau</t>
  </si>
  <si>
    <t>Corroy</t>
  </si>
  <si>
    <t>Graaf Philips van Vianden</t>
  </si>
  <si>
    <t>Count Philips of Vianden</t>
  </si>
  <si>
    <t>coucy</t>
  </si>
  <si>
    <t>Coucy-Le-Château</t>
  </si>
  <si>
    <t>Enguerrand III (De Grote)</t>
  </si>
  <si>
    <t>Lord Enguerrand III (The Great)</t>
  </si>
  <si>
    <t>De 54 meter hoge donjon is in 1917 door terugtrekkende duitse troepen verwoest. Alleen de onderste laag van de bebouwing inclusief de kelders zijn bewaard gebleven. De restanten geven wel een goede indruk van de enorme sterkte van het kasteel.</t>
  </si>
  <si>
    <t>The 54 metres high donjon was destroyed by german troops when retreating in World War I. The lower parts are still intact. The remains give a good impression of the original enormous strenght of the castle.</t>
  </si>
  <si>
    <t xml:space="preserve">De oorspronkelijk donjon was met zijn 30 meter doorsnede en een hoogte van 54 meter ongetwijfeld de hoogste donjon van Frankrijk. </t>
  </si>
  <si>
    <t>http://perso.wanadoo.fr/chateau.coucy</t>
  </si>
  <si>
    <t>Poitou-Charentes</t>
  </si>
  <si>
    <t>poitou-charentes</t>
  </si>
  <si>
    <t>cox</t>
  </si>
  <si>
    <t>craigievar</t>
  </si>
  <si>
    <t>Craigievar Castle</t>
  </si>
  <si>
    <t>(Grampian)</t>
  </si>
  <si>
    <t>craigmillar</t>
  </si>
  <si>
    <t>Craigmillar Castle</t>
  </si>
  <si>
    <t>Edinburgh (Lothian)</t>
  </si>
  <si>
    <t>Simon Preston of Gorton</t>
  </si>
  <si>
    <t>Een van de residenties van Queen Mary of Scotland (1542-1587).</t>
  </si>
  <si>
    <t>Een van de eerste kastelen in Schotland met openingen voor het gebruik van kanonnen.</t>
  </si>
  <si>
    <t>criccieth</t>
  </si>
  <si>
    <t>Criccieth Castle</t>
  </si>
  <si>
    <t>Criccieth</t>
  </si>
  <si>
    <t xml:space="preserve">Llywelyn the Last </t>
  </si>
  <si>
    <t>crichton</t>
  </si>
  <si>
    <t>Crichton Castle</t>
  </si>
  <si>
    <t>(Strathclyde)</t>
  </si>
  <si>
    <t>Noord Brabant</t>
  </si>
  <si>
    <t>noord_brabant</t>
  </si>
  <si>
    <t>crupet</t>
  </si>
  <si>
    <t>Crupet</t>
  </si>
  <si>
    <t>csesznek</t>
  </si>
  <si>
    <t>http://mars.elte.hu/varak/csesznek/csesznek.htm?rom=170</t>
  </si>
  <si>
    <t>czersk</t>
  </si>
  <si>
    <t>Csersk</t>
  </si>
  <si>
    <t>dahn</t>
  </si>
  <si>
    <t>Dahner Schlosser Altdahn, Grafendahn und Tanstein</t>
  </si>
  <si>
    <t>Dahn</t>
  </si>
  <si>
    <t>Het kasteel bestaat uit drie afzonderlijke burchten: Altdahn (1327), Grafendahn (1425) und Tanstein (1346). In 1689 is het kasteel opgeblazen in opdracht van koning Lodewijk XIV van Frankrijk. Momenteel worden delen van de burcht opnieuw opgebouwd.</t>
  </si>
  <si>
    <t>daulatabad</t>
  </si>
  <si>
    <t>Daulatabad</t>
  </si>
  <si>
    <t>Maharashtra</t>
  </si>
  <si>
    <t>dauphin</t>
  </si>
  <si>
    <t>delje</t>
  </si>
  <si>
    <t>denbigh</t>
  </si>
  <si>
    <t>Denbigh Castle</t>
  </si>
  <si>
    <t>Clwyd</t>
  </si>
  <si>
    <t>clwyd</t>
  </si>
  <si>
    <t>devin</t>
  </si>
  <si>
    <t>Devín (Theben, Dévény)</t>
  </si>
  <si>
    <t>Slovakia</t>
  </si>
  <si>
    <t>Slowakije</t>
  </si>
  <si>
    <t>Bratislava</t>
  </si>
  <si>
    <t>Bratislavsko</t>
  </si>
  <si>
    <t>bratislavsko</t>
  </si>
  <si>
    <t>dinan</t>
  </si>
  <si>
    <t>Château de Dinan</t>
  </si>
  <si>
    <t>De belegering van Dinant staat afgebeeld op het tapijt van Bayeux.</t>
  </si>
  <si>
    <t>diosgyor</t>
  </si>
  <si>
    <t>http://mars.elte.hu/varak/miskolcdiosgyor/diosgyor.htm?rom=307</t>
  </si>
  <si>
    <t>dirleton</t>
  </si>
  <si>
    <t>Dirleton Castle</t>
  </si>
  <si>
    <t>diyarbakir</t>
  </si>
  <si>
    <t>doesburg</t>
  </si>
  <si>
    <t>Kasteel Doesburg</t>
  </si>
  <si>
    <t>Doesburg</t>
  </si>
  <si>
    <t>Geslacht Donk</t>
  </si>
  <si>
    <t>:-)</t>
  </si>
  <si>
    <t>dolbadarn</t>
  </si>
  <si>
    <t>Dolbadarn Castle</t>
  </si>
  <si>
    <t>dolwyddelan</t>
  </si>
  <si>
    <t>Dolwyddelan Castle</t>
  </si>
  <si>
    <t>donegal</t>
  </si>
  <si>
    <t>Donegal Castle</t>
  </si>
  <si>
    <t>Donegal</t>
  </si>
  <si>
    <t>doornenburg</t>
  </si>
  <si>
    <t>Doornenburg</t>
  </si>
  <si>
    <t>Dit kasteel speelde een hoofdrol in de serie van Floris met Rutger Hauer in de hoofdrol.</t>
  </si>
  <si>
    <t>Vlak na de eerste restauratie het kasteel werd in 1945 door Engelse vliegers gebombardeerd. De Duitsers gebruikten het kasteel als hoofdkwartier maar waren reeds vertrokken. In 1966 werd de nieuwe restauratie voltooid.</t>
  </si>
  <si>
    <t>http://www.kasteeldoornenburg.nl/</t>
  </si>
  <si>
    <t>doorwerth</t>
  </si>
  <si>
    <t>Kasteel Doorwerth</t>
  </si>
  <si>
    <t>Oosterbeek</t>
  </si>
  <si>
    <t>In de 15de eeuw uitgebreid naar een rechthoekig kasteel met voorburcht. In de 17de-eeuw door franse troepen verwoest en in de 18de-eeuw weer opgebouwd. Zwaar beschadigd in 1944, daarna weer gerestaureerd.</t>
  </si>
  <si>
    <t>dorneck</t>
  </si>
  <si>
    <t>doune</t>
  </si>
  <si>
    <t>Doune Castle</t>
  </si>
  <si>
    <t>(Stirlingshire)</t>
  </si>
  <si>
    <t>dourdan</t>
  </si>
  <si>
    <t>Château de Dourdan</t>
  </si>
  <si>
    <t>Dourdan</t>
  </si>
  <si>
    <t>http://www.mairie-dourdan.fr/</t>
  </si>
  <si>
    <t>dover</t>
  </si>
  <si>
    <t>Dover Castle</t>
  </si>
  <si>
    <t>Dover (Kent)</t>
  </si>
  <si>
    <t>drachenfels</t>
  </si>
  <si>
    <t>Burg Drachenfels</t>
  </si>
  <si>
    <t>Königswinter</t>
  </si>
  <si>
    <t>Archbishop van Keulen</t>
  </si>
  <si>
    <t>Archbishop of Keulen</t>
  </si>
  <si>
    <t>dragomirna</t>
  </si>
  <si>
    <t>Dragomirna</t>
  </si>
  <si>
    <t>drum</t>
  </si>
  <si>
    <t>Drum Castle</t>
  </si>
  <si>
    <t>druyes</t>
  </si>
  <si>
    <t>Château de Druyes-les-Belles-Fontaines</t>
  </si>
  <si>
    <t>drzewica</t>
  </si>
  <si>
    <t>Drzewica</t>
  </si>
  <si>
    <t>dublin</t>
  </si>
  <si>
    <t>Dublin Castle</t>
  </si>
  <si>
    <t>Dublin</t>
  </si>
  <si>
    <t>duffus</t>
  </si>
  <si>
    <t>Duffus Castle</t>
  </si>
  <si>
    <t>David I</t>
  </si>
  <si>
    <t>dumbartin</t>
  </si>
  <si>
    <t>Dumbartin Castle</t>
  </si>
  <si>
    <t>dunamase</t>
  </si>
  <si>
    <t>Dunamase Castle</t>
  </si>
  <si>
    <t>Laois</t>
  </si>
  <si>
    <t>laois</t>
  </si>
  <si>
    <t>Down</t>
  </si>
  <si>
    <t>down</t>
  </si>
  <si>
    <t>dunguaire</t>
  </si>
  <si>
    <t>Dunguaire Castle</t>
  </si>
  <si>
    <t>dunluce</t>
  </si>
  <si>
    <t>Dunluce Castle</t>
  </si>
  <si>
    <t>dunottar</t>
  </si>
  <si>
    <t>Dunottar Castle</t>
  </si>
  <si>
    <t>dunstanburgh</t>
  </si>
  <si>
    <t>Dunstanburgh Castle</t>
  </si>
  <si>
    <t>dunvegan</t>
  </si>
  <si>
    <t>Dunvegan Castle</t>
  </si>
  <si>
    <t>Isle of Skye</t>
  </si>
  <si>
    <t>Highland</t>
  </si>
  <si>
    <t>highland</t>
  </si>
  <si>
    <t>Mac Leod Clan</t>
  </si>
  <si>
    <t>Dunvegan bezit een natte variant van een oubliette: In de "bottle dungeon" werden gevangenen gegooid om te verdrinken.</t>
  </si>
  <si>
    <t>Oorspronkelijk was het kasteel allen per boot te bereiken.</t>
  </si>
  <si>
    <t>durham</t>
  </si>
  <si>
    <t>Durham Castle</t>
  </si>
  <si>
    <t>durnstein</t>
  </si>
  <si>
    <t>Kneuriger familie</t>
  </si>
  <si>
    <t>Kneuriger family</t>
  </si>
  <si>
    <t>Hier werd Koning Richard I Leeuwenhart van Engeland gevangengehouden toen hij terugkwam van zijn kruistocht.</t>
  </si>
  <si>
    <t>In de jaren 70 is het kasteel herbouwd.</t>
  </si>
  <si>
    <t>dussen</t>
  </si>
  <si>
    <t>Kasteel Dussen</t>
  </si>
  <si>
    <t>Dussen</t>
  </si>
  <si>
    <t>duurstede</t>
  </si>
  <si>
    <t>Kasteel Duurstede</t>
  </si>
  <si>
    <t>Wijk bij Duurstede</t>
  </si>
  <si>
    <t>In de 15de eeuw zijn de ronde torens toegevoerd door bisschop David van Bourgondië.</t>
  </si>
  <si>
    <t>http://www.chateaufort-ecaussinnes.be/</t>
  </si>
  <si>
    <t>edessa</t>
  </si>
  <si>
    <t>Urfa</t>
  </si>
  <si>
    <t>Gibenet</t>
  </si>
  <si>
    <t>gibenet</t>
  </si>
  <si>
    <t>edinburgh</t>
  </si>
  <si>
    <t>Edinburgh Castle</t>
  </si>
  <si>
    <t>Edwin van Northumberland</t>
  </si>
  <si>
    <t>Edwin of Northumberland</t>
  </si>
  <si>
    <t>Dit kasteel is roemrucht door de strijd tussen de engelsen (Edward I) en de schotten (Robert "Braveheart" de Bruce) in de 14de-eeuw. In 1440 werden hier tijdens het Black Dinner de twee erfgenamen Douglas van Threave Castle werden vermoord.</t>
  </si>
  <si>
    <t>Van het oorspronkelijke 12de-eeuwse kasteel is alleen de kapel over. David's Tower is uit de 14de-eeus, de Half-Moon Battery uit de 16de en de buitendste verdedigingslinie uit de 17de- en 18de-eeuw.</t>
  </si>
  <si>
    <t>http://www.historic-scotland.gov.uk/index/edinburghcastle.htm</t>
  </si>
  <si>
    <t>eger</t>
  </si>
  <si>
    <t>egerberg</t>
  </si>
  <si>
    <t>egeskov</t>
  </si>
  <si>
    <t>Egeskov</t>
  </si>
  <si>
    <t>Kværndrup</t>
  </si>
  <si>
    <t>Fyn (Funen)</t>
  </si>
  <si>
    <t>fyn</t>
  </si>
  <si>
    <t>http://www.egeskov.dk/english/index.html</t>
  </si>
  <si>
    <t>egmond</t>
  </si>
  <si>
    <t>Kasteel Egmond</t>
  </si>
  <si>
    <t>Egmond aan den Hoef</t>
  </si>
  <si>
    <t>ehrenburg</t>
  </si>
  <si>
    <t>Ehrenburg</t>
  </si>
  <si>
    <t>ehrenfels</t>
  </si>
  <si>
    <t>Ehrenfels</t>
  </si>
  <si>
    <t>Eilean Donan Castle</t>
  </si>
  <si>
    <t>Ross and Cromarty</t>
  </si>
  <si>
    <t>eisenberg</t>
  </si>
  <si>
    <t>Burg Eisenberg</t>
  </si>
  <si>
    <t>elphinstone</t>
  </si>
  <si>
    <t>Elphinstone Castle</t>
  </si>
  <si>
    <t>eltville</t>
  </si>
  <si>
    <t>Burg Eltville</t>
  </si>
  <si>
    <t>Archbishop van Trier</t>
  </si>
  <si>
    <t>Archbishop of Trier</t>
  </si>
  <si>
    <t>eltz</t>
  </si>
  <si>
    <t xml:space="preserve">Burg Eltz </t>
  </si>
  <si>
    <t>Münstermaifeld</t>
  </si>
  <si>
    <t>http://www.burg-eltz.de/e_index.html</t>
  </si>
  <si>
    <t>elvas</t>
  </si>
  <si>
    <t>Castelo de Elvas</t>
  </si>
  <si>
    <t>encina</t>
  </si>
  <si>
    <t>eppstein</t>
  </si>
  <si>
    <t>Burg Eppstein</t>
  </si>
  <si>
    <t>Eppstein</t>
  </si>
  <si>
    <t>erzurum</t>
  </si>
  <si>
    <t>Erzurum Kalesi</t>
  </si>
  <si>
    <t>escalona</t>
  </si>
  <si>
    <t>Castillo de Escalona</t>
  </si>
  <si>
    <t>Château d'Esch-sur-sûre</t>
  </si>
  <si>
    <t>etampes</t>
  </si>
  <si>
    <t>Château d'Étampes</t>
  </si>
  <si>
    <t>Etampes</t>
  </si>
  <si>
    <t>Afgebeeld op de maand augustus van het beroemde boek "Très riches heures" van Duc de Berry uit de 15de eeuw.</t>
  </si>
  <si>
    <t>This castle was represented in the famous book "Très riches heures" of  Duc de Berry (15th century) in the month August.</t>
  </si>
  <si>
    <t>In de 15de eeuw is het kasteel vernietigd in opdracht van koning Henry VII. Van het oorspronkelijke kasteel resteert slechts de donjon, "la tour royale".</t>
  </si>
  <si>
    <t>http://www.mairie-etampes.fr/visite/texteguinette.htm</t>
  </si>
  <si>
    <t>ewloe</t>
  </si>
  <si>
    <t>Ewloe Castle</t>
  </si>
  <si>
    <t>exeter</t>
  </si>
  <si>
    <t>Exeter Castle (Rougemont Castle)</t>
  </si>
  <si>
    <t>Exeter (Devon)</t>
  </si>
  <si>
    <t>Baldwin de Brionne</t>
  </si>
  <si>
    <t>Cairo</t>
  </si>
  <si>
    <t>falaise</t>
  </si>
  <si>
    <t xml:space="preserve">Château de Falaise </t>
  </si>
  <si>
    <t>Geboorteplaats van William I (Willem de Veroveraar). Dit kasteel speelde een hoofdrol in de 100-jarige oorlog tussen Engeland en Frankrijk in de15de- en 16de-eeuw.</t>
  </si>
  <si>
    <t>De vierkante tour de Maîtresse is van de 12de-eeuw (Henri I Beauclerd) en de ronde tour Talbot uit de 13de-eeuw (Philippe Auguste).</t>
  </si>
  <si>
    <t>http://www.chateau-guillaume-leconquerant.fr</t>
  </si>
  <si>
    <t>Pansfelde</t>
  </si>
  <si>
    <t>Burchard d. J. von der Konradsburg</t>
  </si>
  <si>
    <t>http://www.burg-falkenstein.de/</t>
  </si>
  <si>
    <t>fallais</t>
  </si>
  <si>
    <t>Château de Fallais</t>
  </si>
  <si>
    <t>Fallais</t>
  </si>
  <si>
    <t>Luik</t>
  </si>
  <si>
    <t>luik</t>
  </si>
  <si>
    <t>Heren van Beaufort</t>
  </si>
  <si>
    <t>Heren of Beaufort</t>
  </si>
  <si>
    <t>farnham</t>
  </si>
  <si>
    <t>Farnham Castle</t>
  </si>
  <si>
    <t>(Surrey)</t>
  </si>
  <si>
    <t>Fasil Ghebbi</t>
  </si>
  <si>
    <t>Ethiopië</t>
  </si>
  <si>
    <t>Gondar Region</t>
  </si>
  <si>
    <t>gondar</t>
  </si>
  <si>
    <t>fatehpur</t>
  </si>
  <si>
    <t>Fatehpur Sikri</t>
  </si>
  <si>
    <t>Castelnaud-Fayrac</t>
  </si>
  <si>
    <t>fenis</t>
  </si>
  <si>
    <t>Castello di Fenis</t>
  </si>
  <si>
    <t>Piemont</t>
  </si>
  <si>
    <t>fere</t>
  </si>
  <si>
    <t>Fère-en-Tardenois</t>
  </si>
  <si>
    <t>Robert II van Dreux</t>
  </si>
  <si>
    <t>Robert II of Dreux</t>
  </si>
  <si>
    <t>Waarschijnlijk het eerste kasteel zonder aparte donjon.</t>
  </si>
  <si>
    <t>Probably the first castle build without a separate donjon.</t>
  </si>
  <si>
    <t>http://www.ila-chateau.com/fere</t>
  </si>
  <si>
    <t>ferns</t>
  </si>
  <si>
    <t>Ferns Castle</t>
  </si>
  <si>
    <t>Wexford</t>
  </si>
  <si>
    <t>wexford</t>
  </si>
  <si>
    <t>ferrara</t>
  </si>
  <si>
    <t>Ferrara</t>
  </si>
  <si>
    <t>Donjon de La Ferté-Milon</t>
  </si>
  <si>
    <t>Ferté-Milon</t>
  </si>
  <si>
    <t>Hertog Louis van Orleans</t>
  </si>
  <si>
    <t>Duke Louis of Orleans</t>
  </si>
  <si>
    <t>Alleen de voorgevel en een toren van het kasteel is gebouwd. Na de dood van de baron is het kasteel niet afgebouwd.</t>
  </si>
  <si>
    <t>Only the façade and a tower has been build. After the death of the baron the castle has never been finished.</t>
  </si>
  <si>
    <t>De voorgevel met zijn indrukwekkend hoge poort is enorm groot: 200 meter lang en 38 meter hoog.</t>
  </si>
  <si>
    <t>De façade with its impressive entrance is huge: 200 metres long and 38 metres heigh.</t>
  </si>
  <si>
    <t>fleckenstein</t>
  </si>
  <si>
    <t>Burg Fleckenstein</t>
  </si>
  <si>
    <t>http://www.burg-fleckenstein.de</t>
  </si>
  <si>
    <t>flint</t>
  </si>
  <si>
    <t>Flint Castle</t>
  </si>
  <si>
    <t>Clywd</t>
  </si>
  <si>
    <t>http://www.flintshire.org/flint.html</t>
  </si>
  <si>
    <t>foixs</t>
  </si>
  <si>
    <t>Ariege</t>
  </si>
  <si>
    <t>midi-pirenees</t>
  </si>
  <si>
    <t>forchtenstein</t>
  </si>
  <si>
    <t>Burg Forchtenstein</t>
  </si>
  <si>
    <t>Forchtenstein</t>
  </si>
  <si>
    <t>Burgenland</t>
  </si>
  <si>
    <t>burgenland</t>
  </si>
  <si>
    <t>Graaf van Mattersdorf</t>
  </si>
  <si>
    <t>Count of Mattersdorf</t>
  </si>
  <si>
    <t>http://www.forchtenstein.at</t>
  </si>
  <si>
    <t xml:space="preserve">Château de Fougères </t>
  </si>
  <si>
    <t>Fougères</t>
  </si>
  <si>
    <t>http://www.ot-fougeres.fr/english.htm</t>
  </si>
  <si>
    <t>framlingham</t>
  </si>
  <si>
    <t>Framlingham Castle</t>
  </si>
  <si>
    <t>(Suffolk)</t>
  </si>
  <si>
    <t>Graaf Roger Bigot van Norfolk</t>
  </si>
  <si>
    <t>Count Roger Bigot of Norfolk</t>
  </si>
  <si>
    <t>franchimont</t>
  </si>
  <si>
    <t>Château de Franchimont</t>
  </si>
  <si>
    <t>Franchimont</t>
  </si>
  <si>
    <t>http://www.franchimont.be.tf/</t>
  </si>
  <si>
    <t>frankenstein</t>
  </si>
  <si>
    <t>Frankenstein</t>
  </si>
  <si>
    <t>frauenburg</t>
  </si>
  <si>
    <t>Frauenburg</t>
  </si>
  <si>
    <t>Steiermark</t>
  </si>
  <si>
    <t>steiermark</t>
  </si>
  <si>
    <t>freudenberg</t>
  </si>
  <si>
    <t>fuensaldana</t>
  </si>
  <si>
    <t>Fuensaldaña (Valladolid)</t>
  </si>
  <si>
    <t>Koning Jean II van Castilie</t>
  </si>
  <si>
    <t>King Jean II of Castilie</t>
  </si>
  <si>
    <t>furstenberg</t>
  </si>
  <si>
    <t>Burg Fürstenberg am Rhein</t>
  </si>
  <si>
    <t>Rheindiebach</t>
  </si>
  <si>
    <t>fushimi</t>
  </si>
  <si>
    <t>Fushimi</t>
  </si>
  <si>
    <t>Toyotomi Hideyoshi</t>
  </si>
  <si>
    <t>gaasbeek</t>
  </si>
  <si>
    <t>Gaasbeek</t>
  </si>
  <si>
    <t>In de 14de eeuw werd het kasteel verwoest. In de 15de eeuw werd het opnieuw opgebouwd. In de 18de eeuw werden de achterste weermuren en torens gesloopt.</t>
  </si>
  <si>
    <t>http://www.wvc.vlaanderen.be/kasteelvangaasbeek/</t>
  </si>
  <si>
    <t>gaillard</t>
  </si>
  <si>
    <t>Château Gaillard des Andelys</t>
  </si>
  <si>
    <t>Les Andeleys</t>
  </si>
  <si>
    <t>Koning Richard I van England ("the Lion Heart")</t>
  </si>
  <si>
    <t>King Richard I of England ("the Lion Heart")</t>
  </si>
  <si>
    <t>Het kasteel is in een jaar tijd gebouwd om de Normandische stad Rouen tegen een inval van de Fransen via de Seine te beschermen. Drie jaar na de bouw en na een beleg van een half jaar is het in handen van de franse koning Philips August gevallen en ontmanteld.</t>
  </si>
  <si>
    <t>The castle was build in one year to protect the Norman capital Rouen against an attack of the French king via the river the Seine. Three years after it was build and after a siege of 6 months it fell in the hands of the french king Philips August and was demolished.</t>
  </si>
  <si>
    <t>Het kasteel heeft een voorburcht, een middenburcht en een hoofdburcht die van elkaar gescheiden zijn door weermuren en een droge gracht.</t>
  </si>
  <si>
    <t>http://remi.placier.free.fr/</t>
  </si>
  <si>
    <t>gelnhausen</t>
  </si>
  <si>
    <t>Pfalz Gelnhausen</t>
  </si>
  <si>
    <t>Gelnhausen</t>
  </si>
  <si>
    <t>Baden-Würtenberg</t>
  </si>
  <si>
    <t>baden-wurtenberg</t>
  </si>
  <si>
    <t>gibelet</t>
  </si>
  <si>
    <t>gisors</t>
  </si>
  <si>
    <t>Château de Gisors</t>
  </si>
  <si>
    <t>De mottebucht binnen het kasteel is gebouwd door King William II of England in de 1097.</t>
  </si>
  <si>
    <t>http://www.normandienet.tm.fr/nn/rhnv/gisors.htm</t>
  </si>
  <si>
    <t>Sicilië (Sicilia)</t>
  </si>
  <si>
    <t>sicilia</t>
  </si>
  <si>
    <t>glamis</t>
  </si>
  <si>
    <t>Glamis Castle</t>
  </si>
  <si>
    <t>Glamis (Tayside)</t>
  </si>
  <si>
    <t>childhood home of The Queen Mother
and setting for Shakespeare's Macbeth</t>
  </si>
  <si>
    <t>glimmingehus</t>
  </si>
  <si>
    <t>Glimmingehus</t>
  </si>
  <si>
    <t>Alleen de donjon (Kärnan) resteerd nog van het kasteel.</t>
  </si>
  <si>
    <t>godesburg</t>
  </si>
  <si>
    <t>Godesburg</t>
  </si>
  <si>
    <t>Godesberg</t>
  </si>
  <si>
    <t>golconda</t>
  </si>
  <si>
    <t>Golconda</t>
  </si>
  <si>
    <t>goodrich</t>
  </si>
  <si>
    <t>Ross (Hereford &amp; Worcester)</t>
  </si>
  <si>
    <t>goslar</t>
  </si>
  <si>
    <t>Goslar</t>
  </si>
  <si>
    <t>http://www.region-braunschweig.de/burgen/orte/goslar.html</t>
  </si>
  <si>
    <t>gradara</t>
  </si>
  <si>
    <t>Gradara</t>
  </si>
  <si>
    <t>grandson</t>
  </si>
  <si>
    <t>Château de Grandson</t>
  </si>
  <si>
    <t>gravensteen</t>
  </si>
  <si>
    <t>Gravensteen</t>
  </si>
  <si>
    <t>Gent</t>
  </si>
  <si>
    <t>Oost Vlaanderen</t>
  </si>
  <si>
    <t>oost_vlaanderen</t>
  </si>
  <si>
    <t>In de 9de-eeuw werd hier een houten kasteel gebouwd.</t>
  </si>
  <si>
    <t>http://www.gent.be/gent/historis/monument/gravenst.htm</t>
  </si>
  <si>
    <t>greencastle</t>
  </si>
  <si>
    <t>Greencastle</t>
  </si>
  <si>
    <t>greifenstein</t>
  </si>
  <si>
    <t>Burg Greifenstein</t>
  </si>
  <si>
    <t>Greifenstein</t>
  </si>
  <si>
    <t>grimaldi</t>
  </si>
  <si>
    <t>Grimaldi</t>
  </si>
  <si>
    <t>Monaco</t>
  </si>
  <si>
    <t>gripsholm</t>
  </si>
  <si>
    <t>Gripsholm</t>
  </si>
  <si>
    <t>grodziec</t>
  </si>
  <si>
    <t>http://www.grodziec.com</t>
  </si>
  <si>
    <t>Groot-Bijgaarden</t>
  </si>
  <si>
    <t>Greyerz (Château de Gruyeres)</t>
  </si>
  <si>
    <t>guadaira</t>
  </si>
  <si>
    <t>Alcázar de Alcalá de Guadaira</t>
  </si>
  <si>
    <t>guadamur</t>
  </si>
  <si>
    <t>Castillo de Guadamur</t>
  </si>
  <si>
    <t>gualdo</t>
  </si>
  <si>
    <t>Gualdo Tadino</t>
  </si>
  <si>
    <t>Umbrië (Umbria)</t>
  </si>
  <si>
    <t>umbria</t>
  </si>
  <si>
    <t>Toscane (Toscana)</t>
  </si>
  <si>
    <t>toscana</t>
  </si>
  <si>
    <t>guimaraes</t>
  </si>
  <si>
    <t>gutenberg</t>
  </si>
  <si>
    <t>Gutenberg</t>
  </si>
  <si>
    <t>gutenfels</t>
  </si>
  <si>
    <t>Burg Gutenfels</t>
  </si>
  <si>
    <t>guttenberg</t>
  </si>
  <si>
    <t>Burg Guttenberg</t>
  </si>
  <si>
    <t xml:space="preserve">Haßmersheim-Neckarmühlbach </t>
  </si>
  <si>
    <t>haar</t>
  </si>
  <si>
    <t>Kasteel de Haar</t>
  </si>
  <si>
    <t>Haarzuilen</t>
  </si>
  <si>
    <t>Utrecht</t>
  </si>
  <si>
    <t>utrecht</t>
  </si>
  <si>
    <t>Het kasteel is in de 19de eeuw uit de ruines opnieuw opgebouwd door Cuypers. De buitenzijde is middeleeuws opgebouwd, de binnenzijde geheel in neo-gotische renaissancestijl.</t>
  </si>
  <si>
    <t>http://www.kasteeldehaar.nl</t>
  </si>
  <si>
    <t>habsburg</t>
  </si>
  <si>
    <t>Habsburg</t>
  </si>
  <si>
    <t>haldenstein</t>
  </si>
  <si>
    <t>Burg Haldenstein</t>
  </si>
  <si>
    <t>hammershus</t>
  </si>
  <si>
    <t>Hammershus</t>
  </si>
  <si>
    <t>Sandvig</t>
  </si>
  <si>
    <t>Bornholm</t>
  </si>
  <si>
    <t>bornholm</t>
  </si>
  <si>
    <t>http://www.sns.dk/udgivelser/1999/hammershus/hammershus.htm</t>
  </si>
  <si>
    <t>harburg</t>
  </si>
  <si>
    <t>Harburg</t>
  </si>
  <si>
    <t>harlech</t>
  </si>
  <si>
    <t>Harlech Castle</t>
  </si>
  <si>
    <t>Harlech</t>
  </si>
  <si>
    <t>http://www.harlech.com/</t>
  </si>
  <si>
    <t>hartenburg</t>
  </si>
  <si>
    <t>Bad Dürkheim</t>
  </si>
  <si>
    <t>hassenburg</t>
  </si>
  <si>
    <t>hastings</t>
  </si>
  <si>
    <t>Hastings Castle</t>
  </si>
  <si>
    <t>Haut-Koeningsbourg</t>
  </si>
  <si>
    <t>hedingham</t>
  </si>
  <si>
    <t>Hedingham Castle</t>
  </si>
  <si>
    <t>Hedingham (Essex)</t>
  </si>
  <si>
    <t>Koning John van Engeland veroverde dit kasteel tijdens de Magna Carta oorlog.</t>
  </si>
  <si>
    <t>Normandische donjon.</t>
  </si>
  <si>
    <t>heeswijk</t>
  </si>
  <si>
    <t>Kasteel Heeswijk-Dinther</t>
  </si>
  <si>
    <t>Heeswijk</t>
  </si>
  <si>
    <t>Gebouwd op de plaats waar in de 11de eeuw een motteburcht stond. Het kasteel met voorburcht is in de 19de-eeuw gerestaureerd en uitgebreid met de Ijzertoren en een kruisgang.</t>
  </si>
  <si>
    <t>heidelberg</t>
  </si>
  <si>
    <t>Heidelberg</t>
  </si>
  <si>
    <t>heidenreichstein</t>
  </si>
  <si>
    <t>Heidenreichstein</t>
  </si>
  <si>
    <t>Gmund</t>
  </si>
  <si>
    <t>heimfels</t>
  </si>
  <si>
    <t>helfenburk</t>
  </si>
  <si>
    <t>helmond</t>
  </si>
  <si>
    <t>Helmond</t>
  </si>
  <si>
    <t xml:space="preserve">Het kasteel was oorspronkelijk dubbel omgracht. Voor het kasteel staan twee eenzame vierkante torentjes, die deel hebben uitgemaakt van de vroegere voorgebouwen van het kasteel. </t>
  </si>
  <si>
    <t>helsingborg</t>
  </si>
  <si>
    <t>hermitage</t>
  </si>
  <si>
    <t>hernen</t>
  </si>
  <si>
    <t>Hernen</t>
  </si>
  <si>
    <t>Dit kasteel speelde een bijrol in de serie van Floris als de tolburcht van Floris.</t>
  </si>
  <si>
    <t>Het kasteel bezit intacte -voor Nederland unieke- overdekte weergangen. Van de donjon is alleen nog een restant over.</t>
  </si>
  <si>
    <t>herstmonceux</t>
  </si>
  <si>
    <t>hever</t>
  </si>
  <si>
    <t>Hier bracht Anne Boleyn (1507-1536, tweede vrouw van Henry VIII) haar jeugd door.</t>
  </si>
  <si>
    <t>hikone</t>
  </si>
  <si>
    <t>Otsu</t>
  </si>
  <si>
    <t>Dit kasteel speelt een belangrijke rol in de film Shogun.</t>
  </si>
  <si>
    <t>hilarion</t>
  </si>
  <si>
    <t>himeji</t>
  </si>
  <si>
    <t>Himeji</t>
  </si>
  <si>
    <t>De 16de-eeuwse donjon is omgeven door een labyrinth waardoor vijanden gedesoriënteerd raakten.</t>
  </si>
  <si>
    <t>http://www.himeji-castle.gr.jp/index/English/</t>
  </si>
  <si>
    <t>hirado</t>
  </si>
  <si>
    <t>hirosaki</t>
  </si>
  <si>
    <t>hmeljnik</t>
  </si>
  <si>
    <t>hochburg</t>
  </si>
  <si>
    <t>hocheppan</t>
  </si>
  <si>
    <t>hochosterwitz</t>
  </si>
  <si>
    <t>St. Veith an der Glan</t>
  </si>
  <si>
    <t>In de 9de-eeuw stond op deze plaats al een kasteel die in de 13de-eeuw werd uitgebouwd. In de 16de eeuw zijn de fortificaties toegevoegd.</t>
  </si>
  <si>
    <t>http://www.burg-hochosterwitz.or.at</t>
  </si>
  <si>
    <t>hoensbroek</t>
  </si>
  <si>
    <t>Hoensbroek</t>
  </si>
  <si>
    <t>Limburg</t>
  </si>
  <si>
    <t>limburg</t>
  </si>
  <si>
    <t>Van het oorspronkelijke 14de eeuwse kasteel staat alleen nog de ronde toren overeind. De rest is in de 17de-eeuw opnieuw opgebouwd en uitgebreid met de bijgebouwen.</t>
  </si>
  <si>
    <t>http://www.kasteelhoensbroek.nl</t>
  </si>
  <si>
    <t>hohandlau</t>
  </si>
  <si>
    <t>hohenfreiberg</t>
  </si>
  <si>
    <t>hohenklingen</t>
  </si>
  <si>
    <t>hohenrechberg</t>
  </si>
  <si>
    <t>Rechberg</t>
  </si>
  <si>
    <t>hohensalzburg</t>
  </si>
  <si>
    <t>Het kasteel is aanzienlijk uitgebreid in de 14de eeuw door Archbishop Burkhard von Weisspriach.</t>
  </si>
  <si>
    <t>http://www.hohensalzburg.com/</t>
  </si>
  <si>
    <t>hohentwiel</t>
  </si>
  <si>
    <t>hohenwerfen</t>
  </si>
  <si>
    <t>hohenzollern</t>
  </si>
  <si>
    <t>Hechingen</t>
  </si>
  <si>
    <t>http://www.preussen.de/de/heute/burg_hohenzollern.html</t>
  </si>
  <si>
    <t>hollenfels</t>
  </si>
  <si>
    <t>holloko</t>
  </si>
  <si>
    <t>hornberg</t>
  </si>
  <si>
    <t>Neckarzimmern</t>
  </si>
  <si>
    <t>horst</t>
  </si>
  <si>
    <t>Sint-Pieters-Rode</t>
  </si>
  <si>
    <t>In de 15de eeuw werd het kasteel door Maximiliaan in brand gestoken. Het kasteel is in de 16de eeuw herbouwd</t>
  </si>
  <si>
    <t>http://www.monument.vlaanderen.be/sve/nl/monumenten/horst.htm</t>
  </si>
  <si>
    <t>hosap</t>
  </si>
  <si>
    <t>hotin</t>
  </si>
  <si>
    <t>houdan</t>
  </si>
  <si>
    <t>Houdan</t>
  </si>
  <si>
    <t>hukvaldy</t>
  </si>
  <si>
    <t>http://members.tripod.com/~vlk/hukvaldy.html</t>
  </si>
  <si>
    <t>hulchrath</t>
  </si>
  <si>
    <t>Hülchrath</t>
  </si>
  <si>
    <t>http://www.schloss-huelchrath.com</t>
  </si>
  <si>
    <t>hunedoara</t>
  </si>
  <si>
    <t>Hunedoara</t>
  </si>
  <si>
    <t>Ook bekend als Kasteel van Hunyadi, -Huniazi en -Corvin.</t>
  </si>
  <si>
    <t>Also known as Hunyadi's Castle, Huniazi Castle and Corvin's Castle</t>
  </si>
  <si>
    <t>http://www.ici.ro/romania/en/turism/hd_huniarzi.html</t>
  </si>
  <si>
    <t>imola</t>
  </si>
  <si>
    <t>Prato</t>
  </si>
  <si>
    <t>inuyama</t>
  </si>
  <si>
    <t>inverness</t>
  </si>
  <si>
    <t>ishakpasa</t>
  </si>
  <si>
    <t>Dogubeyazit</t>
  </si>
  <si>
    <t>issogne</t>
  </si>
  <si>
    <t>Issogne</t>
  </si>
  <si>
    <t>ivrea</t>
  </si>
  <si>
    <t>jama</t>
  </si>
  <si>
    <t>javier</t>
  </si>
  <si>
    <t>Navarra</t>
  </si>
  <si>
    <t>navarra</t>
  </si>
  <si>
    <t>jeruzalem</t>
  </si>
  <si>
    <t>Jeruzalem</t>
  </si>
  <si>
    <t>Morbihan</t>
  </si>
  <si>
    <t>kaja</t>
  </si>
  <si>
    <t>kakegawa</t>
  </si>
  <si>
    <t>kalich</t>
  </si>
  <si>
    <t>kalmar</t>
  </si>
  <si>
    <t>kamieniec</t>
  </si>
  <si>
    <t>kamnik</t>
  </si>
  <si>
    <t>kantara</t>
  </si>
  <si>
    <t>karlstejn</t>
  </si>
  <si>
    <t>http://www.hradkarlstejn.cz/</t>
  </si>
  <si>
    <t>karytaina</t>
  </si>
  <si>
    <t>kasbah</t>
  </si>
  <si>
    <t>Tunesië</t>
  </si>
  <si>
    <t>Sousse</t>
  </si>
  <si>
    <t>kasperk</t>
  </si>
  <si>
    <t>kasselburg</t>
  </si>
  <si>
    <t>Pelm</t>
  </si>
  <si>
    <t>katz</t>
  </si>
  <si>
    <t>St. Goarshausen</t>
  </si>
  <si>
    <t>kenilworth</t>
  </si>
  <si>
    <t>Geoffrey de Clinton</t>
  </si>
  <si>
    <t>kerak</t>
  </si>
  <si>
    <t>Jordan</t>
  </si>
  <si>
    <t>Jordanië</t>
  </si>
  <si>
    <t>Oultrejourdain</t>
  </si>
  <si>
    <t>kessel</t>
  </si>
  <si>
    <t>Kessel</t>
  </si>
  <si>
    <t>kharanah</t>
  </si>
  <si>
    <t>khorsabad</t>
  </si>
  <si>
    <t>Iraq</t>
  </si>
  <si>
    <t>Irak</t>
  </si>
  <si>
    <t>Khorsabad</t>
  </si>
  <si>
    <t>Sargon II</t>
  </si>
  <si>
    <t>kidwelly</t>
  </si>
  <si>
    <t>kilcoy</t>
  </si>
  <si>
    <t>killdrummy</t>
  </si>
  <si>
    <t>Grampian (Aberdeen)</t>
  </si>
  <si>
    <t>Mersin</t>
  </si>
  <si>
    <t>Erdemli</t>
  </si>
  <si>
    <t>erdemli</t>
  </si>
  <si>
    <t>kokorin</t>
  </si>
  <si>
    <t>kollnitz</t>
  </si>
  <si>
    <t>konigstein</t>
  </si>
  <si>
    <t>Königstein</t>
  </si>
  <si>
    <t>kopor</t>
  </si>
  <si>
    <t>Russia</t>
  </si>
  <si>
    <t>Rusland</t>
  </si>
  <si>
    <t>kost</t>
  </si>
  <si>
    <t>kostel</t>
  </si>
  <si>
    <t>krak</t>
  </si>
  <si>
    <t>Homs</t>
  </si>
  <si>
    <t>Raymond du Puy</t>
  </si>
  <si>
    <t>Een van de grootste en best bewaarde kruisvaarderskastelen. Door 1271 veroverd door de moslims.</t>
  </si>
  <si>
    <t>One of the largest and best preserved crusader castles. Conquered by the muslims in 1271.</t>
  </si>
  <si>
    <t>http://www.syriagate.com/Syria/about/cities/Homs/krakdeschevalier.htm</t>
  </si>
  <si>
    <t>kremlin</t>
  </si>
  <si>
    <t>Moskou</t>
  </si>
  <si>
    <t>kriebstein</t>
  </si>
  <si>
    <t>krivoklat</t>
  </si>
  <si>
    <t>http://www.krivoklat.cz/</t>
  </si>
  <si>
    <t>krolewski</t>
  </si>
  <si>
    <t>http://www.wawel.krakow.pl/menu.htm</t>
  </si>
  <si>
    <t>kronborg</t>
  </si>
  <si>
    <t>Helsingør</t>
  </si>
  <si>
    <t>http://www.kronborgcastle.com</t>
  </si>
  <si>
    <t>krumlov</t>
  </si>
  <si>
    <t>kufstein</t>
  </si>
  <si>
    <t>kumamoto</t>
  </si>
  <si>
    <t>kuneticka</t>
  </si>
  <si>
    <t>kyrenia</t>
  </si>
  <si>
    <t>Turks Cyprus</t>
  </si>
  <si>
    <t>turks_cyprus</t>
  </si>
  <si>
    <t>laarne</t>
  </si>
  <si>
    <t>Laarne</t>
  </si>
  <si>
    <t>lacko</t>
  </si>
  <si>
    <t>lahneck</t>
  </si>
  <si>
    <t>landsberg</t>
  </si>
  <si>
    <t>landskron</t>
  </si>
  <si>
    <t>Kärnten</t>
  </si>
  <si>
    <t>langeais</t>
  </si>
  <si>
    <t>Langeais</t>
  </si>
  <si>
    <t>Koning Lodewijk XI van Frankrijk</t>
  </si>
  <si>
    <t>King Louis XI of Frankrijk</t>
  </si>
  <si>
    <t>Hier trouwde koning Charles VIII van Frankrijk met de 15-jarige Anne, erfgenaam van de Hertog van Bretagne.</t>
  </si>
  <si>
    <t>De oude donjon van Langeais stamt uit de 11de eeuw, het kasteel van Lous XI uit de 15de eeuw.</t>
  </si>
  <si>
    <t>http://www.37-online.net/chateaux/langeais.html</t>
  </si>
  <si>
    <t>larissa</t>
  </si>
  <si>
    <t>Argos</t>
  </si>
  <si>
    <t>larochette</t>
  </si>
  <si>
    <t>lassay</t>
  </si>
  <si>
    <t>Mayenne</t>
  </si>
  <si>
    <t>lauf</t>
  </si>
  <si>
    <t>launceston</t>
  </si>
  <si>
    <t>Launceston (Cornwall)</t>
  </si>
  <si>
    <t>De toren is in de 13de eeuw bijgebouwd door koning Richard I</t>
  </si>
  <si>
    <t>lausanne</t>
  </si>
  <si>
    <t>lavaux</t>
  </si>
  <si>
    <t>Lavaux-Ste-Anne</t>
  </si>
  <si>
    <t>http://www.chateau-lavaux.com/</t>
  </si>
  <si>
    <t>leeds</t>
  </si>
  <si>
    <t>Leeds (Kent)</t>
  </si>
  <si>
    <t>Leiden</t>
  </si>
  <si>
    <t>De toegand met wapenschilden dateert uit de 17de eeuw. In de 19de-eeuw gerestaureerd door Cuypers.</t>
  </si>
  <si>
    <t>leiria</t>
  </si>
  <si>
    <t>lerici</t>
  </si>
  <si>
    <t>Lerici</t>
  </si>
  <si>
    <t>lewes</t>
  </si>
  <si>
    <t>Willem van Warenne</t>
  </si>
  <si>
    <t>William of Warenne</t>
  </si>
  <si>
    <t>lichtenberg</t>
  </si>
  <si>
    <t>Oberstenfeld</t>
  </si>
  <si>
    <t>lichtenstein</t>
  </si>
  <si>
    <t>Heren van Liechtenstein</t>
  </si>
  <si>
    <t>Lords of Liechtenstein</t>
  </si>
  <si>
    <t>liebenfels</t>
  </si>
  <si>
    <t>Koning John van Engeland ("Jan zonder land")</t>
  </si>
  <si>
    <t>King John of England ("Jan zonder land")</t>
  </si>
  <si>
    <t>linlithgow</t>
  </si>
  <si>
    <t>livadia</t>
  </si>
  <si>
    <t>ljubljana</t>
  </si>
  <si>
    <t>Ljubljana</t>
  </si>
  <si>
    <t>loarre</t>
  </si>
  <si>
    <t>Huesca</t>
  </si>
  <si>
    <t>http://www.castillodeloarre.com/</t>
  </si>
  <si>
    <t>locarno</t>
  </si>
  <si>
    <t>(Tayside)</t>
  </si>
  <si>
    <t>loches</t>
  </si>
  <si>
    <t>Loches</t>
  </si>
  <si>
    <t>Koning Philippe II Auguste van Frankrijk</t>
  </si>
  <si>
    <t>King Philippe II Auguste of Frankrijk</t>
  </si>
  <si>
    <t>http://www.lochesentouraine.com/francais/tourisme/sites-monument/index.htm</t>
  </si>
  <si>
    <t>loevestein</t>
  </si>
  <si>
    <t>Slot Loevestein</t>
  </si>
  <si>
    <t>Woudrichem</t>
  </si>
  <si>
    <t>Slot Loevestein werd in de 14e eeuw gebouwd. In de 17e eeuw kreeg Loevestein de status van staatsgevangenis. De bekendste gevangene was Hugo de Groot. Hij ontsnapte op 22 maart 1622 in een boekenkist en vluchtte naar Parijs.</t>
  </si>
  <si>
    <t>In de 17e eeuw kreeg Loevestein de status van staatsgevangenis. De bekendste gevangene was Hugo de Groot. Hij ontsnapte op 22 maart 1622 in een boekenkist en vluchtte naar Parijs.</t>
  </si>
  <si>
    <t>http://www.slotloevestein.nl</t>
  </si>
  <si>
    <t>lorca</t>
  </si>
  <si>
    <t>Castillo de Lorca</t>
  </si>
  <si>
    <t>Lorca</t>
  </si>
  <si>
    <t>Murcia</t>
  </si>
  <si>
    <t>murcia</t>
  </si>
  <si>
    <t>louvre</t>
  </si>
  <si>
    <t>Château medieval de Louvre</t>
  </si>
  <si>
    <t>Afgebeeld op de maand oktober van het beroemde boek "Très riches heures" van Duc de Berry uit de 15de eeuw.</t>
  </si>
  <si>
    <t>This castle was represented in the famous book "Très riches heures" of  Duc de Berry (15th century) in the month October.</t>
  </si>
  <si>
    <t>De opgegraven fundamenten zijn te bezichtigen in het huidige Louvre.</t>
  </si>
  <si>
    <t>lubovniansky</t>
  </si>
  <si>
    <t>Stará Ľubovňa</t>
  </si>
  <si>
    <t>lubovna</t>
  </si>
  <si>
    <t>http://www.muzeumsl.sk/eng/index.htm</t>
  </si>
  <si>
    <t>Castello di Lucera</t>
  </si>
  <si>
    <t>Lucera</t>
  </si>
  <si>
    <t>luck</t>
  </si>
  <si>
    <t>Wolhynien</t>
  </si>
  <si>
    <t>ludlow</t>
  </si>
  <si>
    <t>Ludlow Castle</t>
  </si>
  <si>
    <t>Teme (Shropshire)</t>
  </si>
  <si>
    <t>http://www.ludlowcastle.com/</t>
  </si>
  <si>
    <t>maggiore</t>
  </si>
  <si>
    <t>Rocca Maggiore</t>
  </si>
  <si>
    <t>Assisi</t>
  </si>
  <si>
    <t>maiden</t>
  </si>
  <si>
    <t>Maiden Castle (Castle of Mai Dun)</t>
  </si>
  <si>
    <t>Hillfort (Dorset)</t>
  </si>
  <si>
    <t>malaga</t>
  </si>
  <si>
    <t>Alcazaba de Málaga</t>
  </si>
  <si>
    <t>Málaga</t>
  </si>
  <si>
    <t>malbork</t>
  </si>
  <si>
    <t>Malbork</t>
  </si>
  <si>
    <t>malcesine</t>
  </si>
  <si>
    <t>Malcesine</t>
  </si>
  <si>
    <t>Castello di Maniace</t>
  </si>
  <si>
    <t>Maniace</t>
  </si>
  <si>
    <t>manorbier</t>
  </si>
  <si>
    <t>Mantua (Mantova)</t>
  </si>
  <si>
    <t>manzanares</t>
  </si>
  <si>
    <t>marburg</t>
  </si>
  <si>
    <t>Burg Marburg</t>
  </si>
  <si>
    <t>Marburg</t>
  </si>
  <si>
    <t>maretsch</t>
  </si>
  <si>
    <t>margat</t>
  </si>
  <si>
    <t>Qalaat Marqab, Banyas 4 km</t>
  </si>
  <si>
    <t>marienberg</t>
  </si>
  <si>
    <t>Veste Marienberg</t>
  </si>
  <si>
    <t>Würzburg</t>
  </si>
  <si>
    <t>marienwerder</t>
  </si>
  <si>
    <t>marksburg</t>
  </si>
  <si>
    <t>Marksburg</t>
  </si>
  <si>
    <t>Braubach</t>
  </si>
  <si>
    <t>http://www.marksburg.de</t>
  </si>
  <si>
    <t>matsumoto</t>
  </si>
  <si>
    <t>Matsumoto Tenshu</t>
  </si>
  <si>
    <t>Het oudste nog intakte Japanse donjon kasteel.</t>
  </si>
  <si>
    <t>matsuyama</t>
  </si>
  <si>
    <t>Matsuyama</t>
  </si>
  <si>
    <t>maus</t>
  </si>
  <si>
    <t>Burg Thurnberg (Maus)</t>
  </si>
  <si>
    <t>(Cornwall)</t>
  </si>
  <si>
    <t>medemblik</t>
  </si>
  <si>
    <t>Medemblik</t>
  </si>
  <si>
    <t>meersburg</t>
  </si>
  <si>
    <t>Meersburg (Dagobertsburg)</t>
  </si>
  <si>
    <t>Meersburg</t>
  </si>
  <si>
    <t>http://www.burg-meersburg.de/</t>
  </si>
  <si>
    <t>Château de Mehun-sur-Yèvre</t>
  </si>
  <si>
    <t>mendoza</t>
  </si>
  <si>
    <t>Castillo de Mendoza</t>
  </si>
  <si>
    <t>Pais Vasco (Baskenland)</t>
  </si>
  <si>
    <t>baskenland</t>
  </si>
  <si>
    <t>merle</t>
  </si>
  <si>
    <t>methoni</t>
  </si>
  <si>
    <t>middleham</t>
  </si>
  <si>
    <t>miltenberg</t>
  </si>
  <si>
    <t>Miltenberg a. Main</t>
  </si>
  <si>
    <t>mir</t>
  </si>
  <si>
    <t>Mir Castle</t>
  </si>
  <si>
    <t>Belarus</t>
  </si>
  <si>
    <t>Wit-Rusland</t>
  </si>
  <si>
    <t>Minsk</t>
  </si>
  <si>
    <t xml:space="preserve">Grodno Region, Korelichi District  </t>
  </si>
  <si>
    <t xml:space="preserve">grodno </t>
  </si>
  <si>
    <t xml:space="preserve">Castillo de Miravet </t>
  </si>
  <si>
    <t>Tarragona</t>
  </si>
  <si>
    <t>misox</t>
  </si>
  <si>
    <t>mistra</t>
  </si>
  <si>
    <t>Mistra</t>
  </si>
  <si>
    <t>Sparta</t>
  </si>
  <si>
    <t>molina</t>
  </si>
  <si>
    <t>montaigle</t>
  </si>
  <si>
    <t>Falaen</t>
  </si>
  <si>
    <t>http://www.montaigle.be/</t>
  </si>
  <si>
    <t>montaiguillon</t>
  </si>
  <si>
    <t>Château de Montaiguillon</t>
  </si>
  <si>
    <t>Montaiguillon</t>
  </si>
  <si>
    <t>http://fervetus.free.fr/photo_montaig.html#montaig</t>
  </si>
  <si>
    <t>montalto</t>
  </si>
  <si>
    <t>Castello di Montalto Dora</t>
  </si>
  <si>
    <t>Montalto Dora</t>
  </si>
  <si>
    <t>Piemonte</t>
  </si>
  <si>
    <t>piemonte</t>
  </si>
  <si>
    <t>monte</t>
  </si>
  <si>
    <t>Castel del Monte</t>
  </si>
  <si>
    <t>Volledig symmetrisch achthoekig kasteel.</t>
  </si>
  <si>
    <t>http://www.castellipuglia.org/en/monte.html</t>
  </si>
  <si>
    <t>montebello</t>
  </si>
  <si>
    <t>Castello di Montebello (Bellinzona)</t>
  </si>
  <si>
    <t>montfort</t>
  </si>
  <si>
    <t>Montfort (Starkenberg)</t>
  </si>
  <si>
    <t>Kasteel van Montfort</t>
  </si>
  <si>
    <t>De hoofdtoren (de Grauwert) is voorzien van een spitse voorzijde die de toren beschermd tegen ondergraving en projectielen doet afketsen. Deze toevoeging is uniek in Nederland en is verder alleen te zien bij geavanceerde buitenlandse kastelen als Chateau Gaillard in Frankrijk.</t>
  </si>
  <si>
    <t>The main tower has a triangular front to protect the tower against sapping and projectiles. This form is unique in the Netherlands and can also be found at some advanced castles like  Chateau Gaillard in France.</t>
  </si>
  <si>
    <t>http://www.kasteelmontfort.nl</t>
  </si>
  <si>
    <t xml:space="preserve">Château de Montmuran </t>
  </si>
  <si>
    <t xml:space="preserve">Château de Montségur </t>
  </si>
  <si>
    <t>montstmichel</t>
  </si>
  <si>
    <t>Mont Saint Michel</t>
  </si>
  <si>
    <t>morella</t>
  </si>
  <si>
    <t>Castillo de Morella</t>
  </si>
  <si>
    <t>Morella</t>
  </si>
  <si>
    <t>mostar</t>
  </si>
  <si>
    <t>Pazar-i Mostar (Köprü Hisar, Castle of the Bridge)</t>
  </si>
  <si>
    <t>mota</t>
  </si>
  <si>
    <t>Medina del Campo (Valladolid)</t>
  </si>
  <si>
    <t>mountstmichael</t>
  </si>
  <si>
    <t>Mount Saint Michael</t>
  </si>
  <si>
    <t>muiderslot</t>
  </si>
  <si>
    <t>Muiderslot</t>
  </si>
  <si>
    <t>Muiden</t>
  </si>
  <si>
    <t>Floris V werd op een jachtpartij bij het Muiderslot vermoord. Dichter P.C. Hooft was drost van Muiden in de 17de-eeuw.</t>
  </si>
  <si>
    <t xml:space="preserve">Tolburcht bij de monding van de Vecht in de voormalige Zuiderzee. Na de dood van Floris V in 1296 werd het Muiderslot verwoest en in de 14de eeuw weer opgebouwd. </t>
  </si>
  <si>
    <t>http://www.muiderslot.nl/</t>
  </si>
  <si>
    <t>munzenberg</t>
  </si>
  <si>
    <t>Münzenberg</t>
  </si>
  <si>
    <t>muqattam</t>
  </si>
  <si>
    <t xml:space="preserve">Castillo de Mur </t>
  </si>
  <si>
    <t>mussomeli</t>
  </si>
  <si>
    <t>mycenae</t>
  </si>
  <si>
    <t>Mycenae</t>
  </si>
  <si>
    <t>nagoya</t>
  </si>
  <si>
    <t>Nagoya</t>
  </si>
  <si>
    <t>Het oorspronkelijke kasteel is in de tweede wereldoorlog bijna compleet verwoest. De huidige donjon is een betonnen reconstructie.</t>
  </si>
  <si>
    <t>nagyvazsony</t>
  </si>
  <si>
    <t>Nantes</t>
  </si>
  <si>
    <t>nenagh</t>
  </si>
  <si>
    <t>Nenagh Castle</t>
  </si>
  <si>
    <t>Tipperay</t>
  </si>
  <si>
    <t>tipperary</t>
  </si>
  <si>
    <t>Château de Nesles-en-Dôles</t>
  </si>
  <si>
    <t>Nesles</t>
  </si>
  <si>
    <t>De bovenste verdiepingen van de torens zijn vernietigd in een poging het kasteel te ontmantelen.</t>
  </si>
  <si>
    <t>The upper parts of the towers have been destroyed to dismantle the castle.</t>
  </si>
  <si>
    <t>neuschwanstein</t>
  </si>
  <si>
    <t>Fussen</t>
  </si>
  <si>
    <t>Newcastle upon Tyne Castle</t>
  </si>
  <si>
    <t>(Tyne &amp; Wear)</t>
  </si>
  <si>
    <t>nicola</t>
  </si>
  <si>
    <t>Rhodes</t>
  </si>
  <si>
    <t>nicosia</t>
  </si>
  <si>
    <t>nideggen</t>
  </si>
  <si>
    <t>Burg Nideggen</t>
  </si>
  <si>
    <t>Nideggen</t>
  </si>
  <si>
    <t>nijenrode</t>
  </si>
  <si>
    <t>Kasteel Huis te Nijenrode</t>
  </si>
  <si>
    <t>Breukelen</t>
  </si>
  <si>
    <t>De woonvleugel tussen de donjon en de poorttoren is in de 17de-eeuw toegevoegd. In het begin van de 20ste-eeuw is de donjon met een verdieping verhoogd.</t>
  </si>
  <si>
    <t>nijmegen</t>
  </si>
  <si>
    <t>Nijmegen</t>
  </si>
  <si>
    <t>Het Valkhof is na beschieting door de soldaten van Napoleon eind 18de-eeuw in slopershanden gevallen, slechts de Barbarossakapel resteert van het kasteel.</t>
  </si>
  <si>
    <t>nijyo</t>
  </si>
  <si>
    <t>Nijyo</t>
  </si>
  <si>
    <t>Kyoto</t>
  </si>
  <si>
    <t>Rhône-Alpes</t>
  </si>
  <si>
    <t>rhone-alpes</t>
  </si>
  <si>
    <t xml:space="preserve">Château de Niort </t>
  </si>
  <si>
    <t>Poitiers-La Rochelle</t>
  </si>
  <si>
    <t>nogales</t>
  </si>
  <si>
    <t>Castillo de Nogales</t>
  </si>
  <si>
    <t>Badajoz</t>
  </si>
  <si>
    <t>Extremadura</t>
  </si>
  <si>
    <t>extremadura</t>
  </si>
  <si>
    <t>norham</t>
  </si>
  <si>
    <t>Norham Castle</t>
  </si>
  <si>
    <t>norwich</t>
  </si>
  <si>
    <t>Norwich Castle</t>
  </si>
  <si>
    <t>nunney</t>
  </si>
  <si>
    <t>Nunney Castle</t>
  </si>
  <si>
    <t>nurburg</t>
  </si>
  <si>
    <t>Burg Nürburg</t>
  </si>
  <si>
    <t>Nürburg</t>
  </si>
  <si>
    <t>nurnberg</t>
  </si>
  <si>
    <t>Kaiserburg Nürnberg</t>
  </si>
  <si>
    <t>Nürnberg</t>
  </si>
  <si>
    <t>http://www.schloesser.bayern.de/deutsch/schloss/objekte/nbg_burg.htm</t>
  </si>
  <si>
    <t>nyborg</t>
  </si>
  <si>
    <t>Nyborg</t>
  </si>
  <si>
    <t>http://www.museer-nyborg.dk//engelsk/index.htm</t>
  </si>
  <si>
    <t>obidos</t>
  </si>
  <si>
    <t>(Hampshire)</t>
  </si>
  <si>
    <t>ogrodzieniec</t>
  </si>
  <si>
    <t>Ogrodzieniec</t>
  </si>
  <si>
    <t>olavinlinna</t>
  </si>
  <si>
    <t>Finland</t>
  </si>
  <si>
    <t>Noord Europa</t>
  </si>
  <si>
    <t>Nordic</t>
  </si>
  <si>
    <t>Castillo de Olite</t>
  </si>
  <si>
    <t>olsztyn</t>
  </si>
  <si>
    <t>Olsztyn (Hohlstein)</t>
  </si>
  <si>
    <t>oostvoorne</t>
  </si>
  <si>
    <t>Oostvoorne</t>
  </si>
  <si>
    <t>http://www.oostvoorne.org/burcht/</t>
  </si>
  <si>
    <t>oravsky</t>
  </si>
  <si>
    <t>Oravský Podzámok</t>
  </si>
  <si>
    <t>Orava</t>
  </si>
  <si>
    <t>orava</t>
  </si>
  <si>
    <t>orebro</t>
  </si>
  <si>
    <t>Örebro</t>
  </si>
  <si>
    <t>orford</t>
  </si>
  <si>
    <t>Orford Castle</t>
  </si>
  <si>
    <t>Suffolk (Norfolk)</t>
  </si>
  <si>
    <t>orsini</t>
  </si>
  <si>
    <t>Bracciano</t>
  </si>
  <si>
    <t>Lazio</t>
  </si>
  <si>
    <t>lazio</t>
  </si>
  <si>
    <t>http://www.odescalchi.it/</t>
  </si>
  <si>
    <t>ortenbourg</t>
  </si>
  <si>
    <t>Château d'Ortenbourg</t>
  </si>
  <si>
    <t>osaka</t>
  </si>
  <si>
    <t>Osaka Tenshu</t>
  </si>
  <si>
    <t>In 1614-161 vond hier het grootste beleg uit de Japanse geschiedenis plaats.</t>
  </si>
  <si>
    <t>ostia</t>
  </si>
  <si>
    <t>Rocca di Ostia</t>
  </si>
  <si>
    <t>Roma</t>
  </si>
  <si>
    <t>otocec</t>
  </si>
  <si>
    <t>oystermouth</t>
  </si>
  <si>
    <t>Oystermouth Castle</t>
  </si>
  <si>
    <t>ozalj</t>
  </si>
  <si>
    <t>Palazzo Vecchio</t>
  </si>
  <si>
    <t>Florence (Firenze)</t>
  </si>
  <si>
    <t>palmela</t>
  </si>
  <si>
    <t>Palmela</t>
  </si>
  <si>
    <t>patras</t>
  </si>
  <si>
    <t>pau</t>
  </si>
  <si>
    <t>Château de Pau</t>
  </si>
  <si>
    <t>Pau</t>
  </si>
  <si>
    <t>pelerin</t>
  </si>
  <si>
    <t>Chastel Pelerin (Atlit, Pelgrim Kasteel)</t>
  </si>
  <si>
    <t>pembroke</t>
  </si>
  <si>
    <t>Pembroke Castle</t>
  </si>
  <si>
    <t>Pembroke</t>
  </si>
  <si>
    <t>Geboorteplaats van koning Henry VII (1485-1509).</t>
  </si>
  <si>
    <t>pena</t>
  </si>
  <si>
    <t>Castelo da Pena</t>
  </si>
  <si>
    <t>penafiel</t>
  </si>
  <si>
    <t>Castillo de Peñafiel</t>
  </si>
  <si>
    <t>Peñafiel (Valladolid)</t>
  </si>
  <si>
    <t>pendennis</t>
  </si>
  <si>
    <t>Pendennis Castle</t>
  </si>
  <si>
    <t xml:space="preserve">Castillo de Peñíscola </t>
  </si>
  <si>
    <t>Castellón de la Plana</t>
  </si>
  <si>
    <t xml:space="preserve">Castillo de Peratallada </t>
  </si>
  <si>
    <t>Gerona</t>
  </si>
  <si>
    <t>pernstejn</t>
  </si>
  <si>
    <t>perpignan</t>
  </si>
  <si>
    <t>pevensey</t>
  </si>
  <si>
    <t>Pevensey Castle</t>
  </si>
  <si>
    <t>peveril</t>
  </si>
  <si>
    <t>Peveril Castle</t>
  </si>
  <si>
    <t>(Derbyshire)</t>
  </si>
  <si>
    <t>peyrepertuse</t>
  </si>
  <si>
    <t>Château de Peyrepertuse</t>
  </si>
  <si>
    <t>pfalzgrafenstein</t>
  </si>
  <si>
    <t>Pfalzgrafenstein</t>
  </si>
  <si>
    <t>http://www.loreleytal.com/rheinburgen/rechts/pfalzgrafenstein/index.html</t>
  </si>
  <si>
    <t>pierrefonds</t>
  </si>
  <si>
    <t>Château de Pierrefonds</t>
  </si>
  <si>
    <t>Pierrefonds</t>
  </si>
  <si>
    <t>Het kasteel bevatte drie "oubliettes", een geheime kerker met alleen een opening in het plafond. De noodlottigen die moesten verdwijnen werden in het gat gegooid en letterlijk vergeten en aan hun lot overgelaten.</t>
  </si>
  <si>
    <t>http://perso.wanadoo.fr/espace-libre/pierrefonds.html</t>
  </si>
  <si>
    <t>planina</t>
  </si>
  <si>
    <t>Ecuillé</t>
  </si>
  <si>
    <t>http://www.plessis-bourre.com</t>
  </si>
  <si>
    <t>podcetrtek</t>
  </si>
  <si>
    <t>poitiers</t>
  </si>
  <si>
    <t>Poitiers</t>
  </si>
  <si>
    <t>pontivy</t>
  </si>
  <si>
    <t>poppi</t>
  </si>
  <si>
    <t>portchester</t>
  </si>
  <si>
    <t>Portchester Castle</t>
  </si>
  <si>
    <t>Portsmouth (Hampshire)</t>
  </si>
  <si>
    <t>Gebouwd binnen de muren van een oude romeinse vesting.</t>
  </si>
  <si>
    <t>prague</t>
  </si>
  <si>
    <t>Pražský Hrad (Praque Castle)</t>
  </si>
  <si>
    <t>Prague</t>
  </si>
  <si>
    <t>prato</t>
  </si>
  <si>
    <t>prosels</t>
  </si>
  <si>
    <t>provins</t>
  </si>
  <si>
    <t>Enceinte de Provins (Tour de César)</t>
  </si>
  <si>
    <t>Provins</t>
  </si>
  <si>
    <t>Van het 11de-eeuwse mottekasteel is niets meer over. De donjon -tour de César- met zijn 4 uitstekende torentjes is in de 12de-eeuw door Henry I gebouwd. In de 14de-eeuw is de stad ommuurd.</t>
  </si>
  <si>
    <t>http://www.provins.net/anglais/_private/cadrehistoriq.htm</t>
  </si>
  <si>
    <t>prozelten</t>
  </si>
  <si>
    <t>prunn</t>
  </si>
  <si>
    <t>Burg Prunn an der Altmühl</t>
  </si>
  <si>
    <t>Riedenburg</t>
  </si>
  <si>
    <t>pskov</t>
  </si>
  <si>
    <t>Pskov</t>
  </si>
  <si>
    <t>puilaurens</t>
  </si>
  <si>
    <t xml:space="preserve">Château de Puilaurens (Tarn) </t>
  </si>
  <si>
    <t>purnstein</t>
  </si>
  <si>
    <t>Pürnstein</t>
  </si>
  <si>
    <t>Pakistan</t>
  </si>
  <si>
    <t>Alexandrië</t>
  </si>
  <si>
    <t>queensborough</t>
  </si>
  <si>
    <t>Queensborough Castle</t>
  </si>
  <si>
    <t>(Kent)</t>
  </si>
  <si>
    <t>queribus</t>
  </si>
  <si>
    <t>rabi</t>
  </si>
  <si>
    <t>Rabí Hrad</t>
  </si>
  <si>
    <t>radzyn</t>
  </si>
  <si>
    <t>raglan</t>
  </si>
  <si>
    <t>Raglan Castle</t>
  </si>
  <si>
    <t>Raglan</t>
  </si>
  <si>
    <t>rajhenburg</t>
  </si>
  <si>
    <t>Rajhenburg (Reichenburg)</t>
  </si>
  <si>
    <t xml:space="preserve">Château de Rambures </t>
  </si>
  <si>
    <t>Rambures</t>
  </si>
  <si>
    <t>http://www.chateaufort-rambures.com/accueil.htm</t>
  </si>
  <si>
    <t>rapottenstein</t>
  </si>
  <si>
    <t>Rapottenstein</t>
  </si>
  <si>
    <t>raseborg</t>
  </si>
  <si>
    <t>Raseborg</t>
  </si>
  <si>
    <t>ratsamhausen</t>
  </si>
  <si>
    <t>Ottrott</t>
  </si>
  <si>
    <t>ravenscraig</t>
  </si>
  <si>
    <t>Ravenscraig Castle</t>
  </si>
  <si>
    <t>(Fife)</t>
  </si>
  <si>
    <t>rechteren</t>
  </si>
  <si>
    <t>Kasteel Rechteren</t>
  </si>
  <si>
    <t>Dalfsen</t>
  </si>
  <si>
    <t>Overijssel</t>
  </si>
  <si>
    <t>overijssel</t>
  </si>
  <si>
    <t>Roofburcht, veelal in conflict met Zwolle en de bisschoppen van Utrecht.</t>
  </si>
  <si>
    <t>Het kasteel is in de 16de eeuw in opdracht van prins Maurits ontmanteld. De ronde donjon is het enige orginele overblijfsel van het oorspronkelijke kasteel.</t>
  </si>
  <si>
    <t>reichenberg</t>
  </si>
  <si>
    <t>Reichenberg (Hessen)</t>
  </si>
  <si>
    <t>reinhardstein</t>
  </si>
  <si>
    <t>Reinhardstein (Kasteel van Renaud Metternich)</t>
  </si>
  <si>
    <t>Waimes</t>
  </si>
  <si>
    <t>http://users.skynet.be/sart/ch/index.htm</t>
  </si>
  <si>
    <t>restormel</t>
  </si>
  <si>
    <t>Restormel Castle</t>
  </si>
  <si>
    <t>rheinfels</t>
  </si>
  <si>
    <t>Burg Rheinfels</t>
  </si>
  <si>
    <t xml:space="preserve">Burg Rheinstein </t>
  </si>
  <si>
    <t>Assmannshausen</t>
  </si>
  <si>
    <t>http://www.burg-rheinstein.de</t>
  </si>
  <si>
    <t>rhuddlan</t>
  </si>
  <si>
    <t>Rhuddlan Castle</t>
  </si>
  <si>
    <t>richmond</t>
  </si>
  <si>
    <t>Richmond Castle</t>
  </si>
  <si>
    <t>Richmond</t>
  </si>
  <si>
    <t>riegersburg</t>
  </si>
  <si>
    <t>Riegersburg</t>
  </si>
  <si>
    <t>http://riegersburg.com/burg.html</t>
  </si>
  <si>
    <t>rising</t>
  </si>
  <si>
    <t>Castle Rising</t>
  </si>
  <si>
    <t>Roche en Ardenne</t>
  </si>
  <si>
    <t>Château de La Roche Guyon</t>
  </si>
  <si>
    <t>La Roche-Guyon</t>
  </si>
  <si>
    <t>Strategisch gelegen bij een eiland in de Seine tussen Normandië en het franse koninkrijk.</t>
  </si>
  <si>
    <t>Het kasteel bestaat uit drie delen: Een hoofdburcht aan de voet van de berg, die via een onderaardse gang verbonden is met een ommuurde donjon boven op de berg en een motteburcht die het plateau bovenop de berg controleerde.</t>
  </si>
  <si>
    <t>http://www.chez.com/clioroche/chateau.html</t>
  </si>
  <si>
    <t>rochemaure</t>
  </si>
  <si>
    <t>Château de Rochemaure</t>
  </si>
  <si>
    <t>rochester</t>
  </si>
  <si>
    <t>Rochester Castle</t>
  </si>
  <si>
    <t>Rochester (Kent)</t>
  </si>
  <si>
    <t>http://www.castles-abbeys.co.uk/Rochester-Castle.html</t>
  </si>
  <si>
    <t>romont</t>
  </si>
  <si>
    <t>roquetaillade</t>
  </si>
  <si>
    <t>Château de Roquetaillade</t>
  </si>
  <si>
    <t>Mazieres</t>
  </si>
  <si>
    <t>roscommon</t>
  </si>
  <si>
    <t>Roscommon Castle</t>
  </si>
  <si>
    <t>Roscommon</t>
  </si>
  <si>
    <t>roscrea</t>
  </si>
  <si>
    <t>Roscrea Castle</t>
  </si>
  <si>
    <t>Port Laoise</t>
  </si>
  <si>
    <t>rosendaal</t>
  </si>
  <si>
    <t>Kasteel Rosendaal</t>
  </si>
  <si>
    <t>Rosendaal</t>
  </si>
  <si>
    <t>De graven van Gelre woonden hier in de 14de- en 15de-eeuw.</t>
  </si>
  <si>
    <t>De ronde donjon is de grootste in Nederland, 16 meter in doorsnede. Het vierkante huis ernaast en de bijgebouwen stammen uit de 18de-eeuw.</t>
  </si>
  <si>
    <t>rosslyn</t>
  </si>
  <si>
    <t>Rosslyn Castle</t>
  </si>
  <si>
    <t>rothenburg</t>
  </si>
  <si>
    <t>Rothenburg ob der Tauber</t>
  </si>
  <si>
    <t>rothesay</t>
  </si>
  <si>
    <t>Rothesay Castle</t>
  </si>
  <si>
    <t xml:space="preserve">Château de Rouen </t>
  </si>
  <si>
    <t>Rouen</t>
  </si>
  <si>
    <t>Rumeli Hisari</t>
  </si>
  <si>
    <t>De Zwarte Toren bevat een "oubliette", een geheime kerker met alleen een opening in het plafond op vier meter hoogte. De noodlottigen die moesten verdwijnen werden in het gat gegooid en letterlijk vergeten en aan hun lot overgelaten. Nog twee andere "oubliettes" die zijn gevonden bevonden zich in Pierrefonds en de Bastille. De toren is zo genoemd omdat het daglicht alleen via de schietgaten naar binnen kon komen. Later is de toren als gevangenis gebruikt en werden zelfs de schietgaten gedicht waardoor het letterlijk alles zwart werd in de toren.</t>
  </si>
  <si>
    <t>Gelegen aan het smalste punt van de Bosporus aan de europese kant, tegenover Anadoli Hissar. Gebouwd door de grieken tegen invallen vanuit de Zwarte Zee.</t>
  </si>
  <si>
    <t>Rumeli Kavagi</t>
  </si>
  <si>
    <t>rudelsburg</t>
  </si>
  <si>
    <t>Rudelsburg an der Saale</t>
  </si>
  <si>
    <t>Thüringen</t>
  </si>
  <si>
    <t>thuringen</t>
  </si>
  <si>
    <t>runkelstein</t>
  </si>
  <si>
    <t>Bolzano</t>
  </si>
  <si>
    <t>http://www.comune.bolzano.it/roncolo/ie/index.htm</t>
  </si>
  <si>
    <t>sabbionara</t>
  </si>
  <si>
    <t>Castello di Sabbionara</t>
  </si>
  <si>
    <t>Trentino</t>
  </si>
  <si>
    <t>safita</t>
  </si>
  <si>
    <t>salgo</t>
  </si>
  <si>
    <t>Salgó</t>
  </si>
  <si>
    <t xml:space="preserve">http://mars.elte.hu/varak/salgotarjansalgovar/salgo.htm?rom=378 </t>
  </si>
  <si>
    <t>Kaiserburg Salzburg</t>
  </si>
  <si>
    <t>Bad Neuhaus an der Saale</t>
  </si>
  <si>
    <t>Castel Sant'Angelo (Lungotevere Castello, Engelenburcht)</t>
  </si>
  <si>
    <t>Rome</t>
  </si>
  <si>
    <t>In de 5de eeuw werd een bestaand mausoleum omgebouwd tot romeins fort. In de 10de eeuw werd dit ford omgebouwd tot het huidige kasteel</t>
  </si>
  <si>
    <t>Castello di San Gimignano</t>
  </si>
  <si>
    <t>San Gimignano</t>
  </si>
  <si>
    <t>Castello di San Giorgio (Corte)</t>
  </si>
  <si>
    <t>Mantua</t>
  </si>
  <si>
    <t>Forte di San Leo</t>
  </si>
  <si>
    <t>Marche</t>
  </si>
  <si>
    <t>marche</t>
  </si>
  <si>
    <t>San Marino (Mont Titan)</t>
  </si>
  <si>
    <t>San Marino</t>
  </si>
  <si>
    <t>sandgate</t>
  </si>
  <si>
    <t>Sandgate Castle</t>
  </si>
  <si>
    <t>Castelo de Sao Jorge</t>
  </si>
  <si>
    <t>saone</t>
  </si>
  <si>
    <t>Qalaat Salah ad-Din</t>
  </si>
  <si>
    <t>saphet</t>
  </si>
  <si>
    <t>Saphet (Safad)</t>
  </si>
  <si>
    <t>sarospatak</t>
  </si>
  <si>
    <t>Tokaj</t>
  </si>
  <si>
    <t>http://mars.elte.hu/varak/sarospatak/sarospatak.htm?rom=382</t>
  </si>
  <si>
    <t>sarzanella</t>
  </si>
  <si>
    <t>Sarzana</t>
  </si>
  <si>
    <t>saumur</t>
  </si>
  <si>
    <t xml:space="preserve">Château de Saumur </t>
  </si>
  <si>
    <t>Saumur-Tours</t>
  </si>
  <si>
    <t>Afgebeeld op de maand september van het beroemde boek "Très riches heures" van Duc de Berry uit de 15de eeuw.</t>
  </si>
  <si>
    <t>This castle was represented in the famous book "Très riches heures" of  Duc de Berry (15th century) in the month September.</t>
  </si>
  <si>
    <t>Oorspronkelijk stond er in de 12de-eeuw een ommuurde toren. In de 14de-eeuw werd deze gesloopt en maakte plaats voor het huidige kasteel, in een paleisachtige stijl zoals ook het Château de Louvre. In de 16de eeuw zijn de bastions toegevoegd. In de 17de-eeuw is de noordvleugel gesloopt vrij zicht vanaf het terras te krijgen.</t>
  </si>
  <si>
    <t>http://www.37-online.net/gb/castles/saumur_gb.html</t>
  </si>
  <si>
    <t>scaligera</t>
  </si>
  <si>
    <t>Rocca Scaligera</t>
  </si>
  <si>
    <t>Sirmione</t>
  </si>
  <si>
    <t>scarborough</t>
  </si>
  <si>
    <t>Scarborough Castle</t>
  </si>
  <si>
    <t>schattenburg</t>
  </si>
  <si>
    <t>Schattenburg</t>
  </si>
  <si>
    <t>Voralberg</t>
  </si>
  <si>
    <t>voralberg</t>
  </si>
  <si>
    <t>schauenburg</t>
  </si>
  <si>
    <t>Schauenburg</t>
  </si>
  <si>
    <t>(Schwartzwald)</t>
  </si>
  <si>
    <t>schlainig</t>
  </si>
  <si>
    <t>schonburg</t>
  </si>
  <si>
    <t>Schönburg</t>
  </si>
  <si>
    <t>Oberwesel</t>
  </si>
  <si>
    <t>schwanau</t>
  </si>
  <si>
    <t>seebenstein</t>
  </si>
  <si>
    <t>Seebenstein</t>
  </si>
  <si>
    <t>segovia</t>
  </si>
  <si>
    <t>Alcazar de Segovia</t>
  </si>
  <si>
    <t>http://www.alcazardesegovia.com/Ingles/IndicePrincipal.htm</t>
  </si>
  <si>
    <t>segura</t>
  </si>
  <si>
    <t>Castillo de Segura de Léon</t>
  </si>
  <si>
    <t>senigallia</t>
  </si>
  <si>
    <t>senlis</t>
  </si>
  <si>
    <t>Château de Senlis</t>
  </si>
  <si>
    <t>Senlis</t>
  </si>
  <si>
    <t>septmons</t>
  </si>
  <si>
    <t>Château de Septmons</t>
  </si>
  <si>
    <t>Septmons</t>
  </si>
  <si>
    <t>Gebombardeerd in de eerste wereldoorlog.</t>
  </si>
  <si>
    <t>Bombed in WW I.</t>
  </si>
  <si>
    <t>Verbouwd in renaissance en romantische stijl.</t>
  </si>
  <si>
    <t>Converted to renaissance and romantic style.</t>
  </si>
  <si>
    <t>servantikar</t>
  </si>
  <si>
    <t>seville</t>
  </si>
  <si>
    <t>sforzesco</t>
  </si>
  <si>
    <t>Castello Sforzesco</t>
  </si>
  <si>
    <t>Milaan</t>
  </si>
  <si>
    <t>Gebouwd op de resten van een 13de eeuws kasteel. In de 16de eeuw werden door de Spanjaarden uitgebreide fortificaties om het kasteel aangebracht. Deze zijn bij de restauratie eind 19de eeuw grotendeels verdwenen.</t>
  </si>
  <si>
    <t>http://www.milanocastello.it</t>
  </si>
  <si>
    <t>sidon</t>
  </si>
  <si>
    <t>Sidon</t>
  </si>
  <si>
    <t>Saida</t>
  </si>
  <si>
    <t>siena</t>
  </si>
  <si>
    <t>Castello delle Quattro Torri</t>
  </si>
  <si>
    <t>Siena</t>
  </si>
  <si>
    <t>sigmundskron</t>
  </si>
  <si>
    <t>silifke</t>
  </si>
  <si>
    <t>Silifke (Seleucia)</t>
  </si>
  <si>
    <t>silves</t>
  </si>
  <si>
    <t>Castelo de Silves</t>
  </si>
  <si>
    <t>Algarve</t>
  </si>
  <si>
    <t>algarve</t>
  </si>
  <si>
    <t xml:space="preserve">Castillo de Simancas </t>
  </si>
  <si>
    <t>sintra</t>
  </si>
  <si>
    <t>Sintra</t>
  </si>
  <si>
    <t>sirok</t>
  </si>
  <si>
    <t>Sirok</t>
  </si>
  <si>
    <t>skenfrith</t>
  </si>
  <si>
    <t>Skenfrith Castle</t>
  </si>
  <si>
    <t>Ross-on-Wye (Hereford &amp; Worcester)</t>
  </si>
  <si>
    <t>skutari</t>
  </si>
  <si>
    <t>Albania</t>
  </si>
  <si>
    <t>Albanië</t>
  </si>
  <si>
    <t>solidor</t>
  </si>
  <si>
    <t>Tour Solidor</t>
  </si>
  <si>
    <t>sombreffe</t>
  </si>
  <si>
    <t>Château de Sombreffe</t>
  </si>
  <si>
    <t>Sombreffe</t>
  </si>
  <si>
    <t>Castello di Soncino</t>
  </si>
  <si>
    <t>Soncino</t>
  </si>
  <si>
    <t>Galicia</t>
  </si>
  <si>
    <t>spinalonga</t>
  </si>
  <si>
    <t>spissky</t>
  </si>
  <si>
    <t>Žehra</t>
  </si>
  <si>
    <t>Spiš</t>
  </si>
  <si>
    <t>spis</t>
  </si>
  <si>
    <t>In het hoogste deel van de burcht bevinden zich restanten van een 12de-eeuwse toren en bevindt zich een 15de-eeuws gotisch paleis.</t>
  </si>
  <si>
    <t>http://www.spisskyhrad.sk/en.html</t>
  </si>
  <si>
    <t>spoleto</t>
  </si>
  <si>
    <t>Spoleto</t>
  </si>
  <si>
    <t>spontin</t>
  </si>
  <si>
    <t>Château de Spontin</t>
  </si>
  <si>
    <t>Spontin</t>
  </si>
  <si>
    <t>spottrup</t>
  </si>
  <si>
    <t>Spøttrup</t>
  </si>
  <si>
    <t>Jylland</t>
  </si>
  <si>
    <t>jylland</t>
  </si>
  <si>
    <t>http://www.spottrupborg.dk/</t>
  </si>
  <si>
    <t>sprechenstein</t>
  </si>
  <si>
    <t>St. andrews Castle</t>
  </si>
  <si>
    <t xml:space="preserve">Burg Stahleck </t>
  </si>
  <si>
    <t>Bacharach</t>
  </si>
  <si>
    <t>stalker</t>
  </si>
  <si>
    <t>Figureert in de eindscene van de Monty Python film "The holy grail" als het kasteel van de fransen.</t>
  </si>
  <si>
    <t>starhemberg</t>
  </si>
  <si>
    <t>Starhemberg</t>
  </si>
  <si>
    <t>steinsberg</t>
  </si>
  <si>
    <t>Burg Steinsberg</t>
  </si>
  <si>
    <t xml:space="preserve">Sinsheim-Weiler </t>
  </si>
  <si>
    <t>sternberk</t>
  </si>
  <si>
    <t>sterrenberg</t>
  </si>
  <si>
    <t>Sterrenberg</t>
  </si>
  <si>
    <t>stirling</t>
  </si>
  <si>
    <t>Stirling Castle</t>
  </si>
  <si>
    <t>Stirling</t>
  </si>
  <si>
    <t>Gelegen nabij de plaats waar de Battle of Bannockburn is uitgevochten (1314) waarin Robert the Bruce de engelsen versloeg en zo Schotland onafhankelijk maakte van de engelsen.</t>
  </si>
  <si>
    <t>De buitenste verdedigingslinie stamt uit de 18de eeuw.</t>
  </si>
  <si>
    <t>http://www.historic-scotland.gov.uk/index/stirlingcastle.htm</t>
  </si>
  <si>
    <t>stolzenfels</t>
  </si>
  <si>
    <t>Schloß Stolzenfels</t>
  </si>
  <si>
    <t>Stolzenfels</t>
  </si>
  <si>
    <t>strekov</t>
  </si>
  <si>
    <t>suceava</t>
  </si>
  <si>
    <t>sully</t>
  </si>
  <si>
    <t>Château de Sully-sur-Loire</t>
  </si>
  <si>
    <t>Sully-sur-Loire</t>
  </si>
  <si>
    <t>Twee beroemde bewonders: Jeanne d'Arc en Voltaire (verbannen uit Parijs).</t>
  </si>
  <si>
    <t>http://www.coeur-de-france.com/sully.html</t>
  </si>
  <si>
    <t>sumeg</t>
  </si>
  <si>
    <t>Sümeg</t>
  </si>
  <si>
    <t>suscinio</t>
  </si>
  <si>
    <t>Château de Suscinio</t>
  </si>
  <si>
    <t>Sarzeau</t>
  </si>
  <si>
    <t>svihov</t>
  </si>
  <si>
    <t>sween</t>
  </si>
  <si>
    <t>Sween Castle</t>
  </si>
  <si>
    <t>szydlow</t>
  </si>
  <si>
    <t>Szydlow</t>
  </si>
  <si>
    <t>tabor</t>
  </si>
  <si>
    <t>tamworth</t>
  </si>
  <si>
    <t>Tamworth Castle</t>
  </si>
  <si>
    <t>(Stafforddshire)</t>
  </si>
  <si>
    <t>tannenberg</t>
  </si>
  <si>
    <t>tantallon</t>
  </si>
  <si>
    <t>Tantallon Castle</t>
  </si>
  <si>
    <t>tarascon</t>
  </si>
  <si>
    <t>Tarascon</t>
  </si>
  <si>
    <t>tarasp</t>
  </si>
  <si>
    <t>Huidige vorm dateert uit de 13de eeuw.</t>
  </si>
  <si>
    <t>tarnavo</t>
  </si>
  <si>
    <t>Veliko Tarnavo</t>
  </si>
  <si>
    <t>Bulgaria</t>
  </si>
  <si>
    <t>Bulgarije</t>
  </si>
  <si>
    <t>tartlau</t>
  </si>
  <si>
    <t>Tartlau</t>
  </si>
  <si>
    <t>tattershall</t>
  </si>
  <si>
    <t>Tattershall Castle</t>
  </si>
  <si>
    <t>Tattershall (Lincolnshire)</t>
  </si>
  <si>
    <t>De toren is in het begin van de 20ste eeuw gerestaureerd, de weermuren om de toren zijn verdwenen.</t>
  </si>
  <si>
    <t>Oorspronkelijk dubbel omgrachte bakstenen toren.</t>
  </si>
  <si>
    <t>taufers</t>
  </si>
  <si>
    <t>tavestehus</t>
  </si>
  <si>
    <t>Termoli</t>
  </si>
  <si>
    <t>teylingen</t>
  </si>
  <si>
    <t>Kasteel Teylingen</t>
  </si>
  <si>
    <t>Sassenheim</t>
  </si>
  <si>
    <t>Jacoba van Beieren, gravin van Holland, Zeeland en Henegouwen, is hier in 1436 overleden.</t>
  </si>
  <si>
    <t>thessalonica</t>
  </si>
  <si>
    <t>threave</t>
  </si>
  <si>
    <t>Threave Castle</t>
  </si>
  <si>
    <t>thun</t>
  </si>
  <si>
    <t>http://www.schlossthun.ch</t>
  </si>
  <si>
    <t>tintagel</t>
  </si>
  <si>
    <t>Tintagel Castle</t>
  </si>
  <si>
    <t>Tintagel (Cornwall)</t>
  </si>
  <si>
    <t>Dit kasteel zou volgens de overlevering gebouwd zijn op de restanten van het kasteel Camelot van koning Arthur (5de eeuw). Een ander kasteel dat dit claimt is Cadbury Castle .</t>
  </si>
  <si>
    <t>Meran</t>
  </si>
  <si>
    <t>tiryns</t>
  </si>
  <si>
    <t>Tiryns</t>
  </si>
  <si>
    <t>tocnik</t>
  </si>
  <si>
    <t>To¢nik</t>
  </si>
  <si>
    <t>tokaj</t>
  </si>
  <si>
    <t>http://mars.elte.hu/varak/tokaj/tokaj.htm?rom=454</t>
  </si>
  <si>
    <t>toledo</t>
  </si>
  <si>
    <t>Alcazar de Toledo</t>
  </si>
  <si>
    <t>tonquedec</t>
  </si>
  <si>
    <t>Château de Tonquédec</t>
  </si>
  <si>
    <t>torrechiara</t>
  </si>
  <si>
    <t>torrelobaton</t>
  </si>
  <si>
    <t>Castillo de Torrelobatón</t>
  </si>
  <si>
    <t>Torrelobatón (Valladolid)</t>
  </si>
  <si>
    <t>torups</t>
  </si>
  <si>
    <t>Torups Slott</t>
  </si>
  <si>
    <t>totnes</t>
  </si>
  <si>
    <t>Totnes Castle</t>
  </si>
  <si>
    <t>tourbillon</t>
  </si>
  <si>
    <t>Tourbillon</t>
  </si>
  <si>
    <t>tower</t>
  </si>
  <si>
    <t>Tower of London</t>
  </si>
  <si>
    <t>London</t>
  </si>
  <si>
    <t>london</t>
  </si>
  <si>
    <t>Bekende gevangenen: William Wallace (Braveheart). Bekende executies: Ann Boleijn. De hoofden van geexecuteerden werden ter afschrikking op de Tower Bridge geplaatst.</t>
  </si>
  <si>
    <t>Well-known prisonerswho where executed here: William Wallace (Braveheart), Ann Boleijn. The heads of the executed were placed on the Tower Bridge for deterrence.</t>
  </si>
  <si>
    <t xml:space="preserve">Bekende onderdelen: White Tower, Traitor's Gate, Bell Tower en de Bloody Tower. </t>
  </si>
  <si>
    <t xml:space="preserve">Important parts of the castle: White Tower, Traitor's Gate, Bell Tower and the Bloody Tower. </t>
  </si>
  <si>
    <t>http://www.hrp.org.uk/webcode/tower_home.asp</t>
  </si>
  <si>
    <t>trausnitz</t>
  </si>
  <si>
    <t>Burg Trausnitz</t>
  </si>
  <si>
    <t>Landshut</t>
  </si>
  <si>
    <t>trematon</t>
  </si>
  <si>
    <t>Trematon Castle</t>
  </si>
  <si>
    <t>Trematon (Cornwall)</t>
  </si>
  <si>
    <t>trenciansko</t>
  </si>
  <si>
    <t>http://www.muzeumtn.sk/trencian1.htm</t>
  </si>
  <si>
    <t>trifels</t>
  </si>
  <si>
    <t>Kaiserburg Trifels</t>
  </si>
  <si>
    <t>Annweiler</t>
  </si>
  <si>
    <t>In 1193 heeft hier Koning Richard Leeuwenhart gevangen gezeten.</t>
  </si>
  <si>
    <t>Het kasteel is in 1938 herbouwd.</t>
  </si>
  <si>
    <t>trim</t>
  </si>
  <si>
    <t>Trim Castle</t>
  </si>
  <si>
    <t>Meath</t>
  </si>
  <si>
    <t>meath</t>
  </si>
  <si>
    <t>Hugh de Lacey</t>
  </si>
  <si>
    <t>trostburg</t>
  </si>
  <si>
    <t>Waidbruck</t>
  </si>
  <si>
    <t>http://www.burgeninstitut.com/int.php?ref=utrostburg</t>
  </si>
  <si>
    <t xml:space="preserve">Castillo de Trujillo </t>
  </si>
  <si>
    <t>Trujillo (Cáceres)</t>
  </si>
  <si>
    <t>turegano</t>
  </si>
  <si>
    <t>Castillo de Túregano</t>
  </si>
  <si>
    <t>turnhout</t>
  </si>
  <si>
    <t>Kasteel Turnhout</t>
  </si>
  <si>
    <t>Turnhout</t>
  </si>
  <si>
    <t>Maria van Brabant</t>
  </si>
  <si>
    <t>Maria of Brabant</t>
  </si>
  <si>
    <t>In gebruik als gerechtshof.</t>
  </si>
  <si>
    <t>Door Spanjaarden in 16de eeuw verwoest (brand). In 17de eeuw herbouwd.</t>
  </si>
  <si>
    <t>Turku</t>
  </si>
  <si>
    <t>http://www.muuka.com/finnishpumpkin/castles/turunlinna/turunlinna.html</t>
  </si>
  <si>
    <t>tyrov</t>
  </si>
  <si>
    <t>ulldecona</t>
  </si>
  <si>
    <t>Castillo de Ulldecona</t>
  </si>
  <si>
    <t>ulrich</t>
  </si>
  <si>
    <t>urquhart</t>
  </si>
  <si>
    <t>Urquhart Castle</t>
  </si>
  <si>
    <t>ursino</t>
  </si>
  <si>
    <t>Castello di Ursino</t>
  </si>
  <si>
    <t xml:space="preserve">Catania </t>
  </si>
  <si>
    <t>useldange</t>
  </si>
  <si>
    <t>Useldange</t>
  </si>
  <si>
    <t>usse</t>
  </si>
  <si>
    <t>Château d'Ussé</t>
  </si>
  <si>
    <t>Rigny-Ussé</t>
  </si>
  <si>
    <t>De Beuil</t>
  </si>
  <si>
    <t>http://www.37-online.net/chateaux/usse.html</t>
  </si>
  <si>
    <t>ussel</t>
  </si>
  <si>
    <t>uzes</t>
  </si>
  <si>
    <t>vaduz</t>
  </si>
  <si>
    <t>Liechtenstein</t>
  </si>
  <si>
    <t xml:space="preserve">valencay </t>
  </si>
  <si>
    <t>Valencia de Don Juan</t>
  </si>
  <si>
    <t>Valencia de Don Juan (León)</t>
  </si>
  <si>
    <t>valkenburg</t>
  </si>
  <si>
    <t>Valkenburg</t>
  </si>
  <si>
    <t>Gozewijn I</t>
  </si>
  <si>
    <t>http://www.kasteelvalkenburg.nl</t>
  </si>
  <si>
    <t>Lanobre</t>
  </si>
  <si>
    <t>van</t>
  </si>
  <si>
    <t>Van Kalesi</t>
  </si>
  <si>
    <t>velenje</t>
  </si>
  <si>
    <t>velez</t>
  </si>
  <si>
    <t>Castillo de Vélez-Blanco / Castillo marquesal de Vélez</t>
  </si>
  <si>
    <t>Vélez-Blanco (Almería)</t>
  </si>
  <si>
    <t>Velika Nedelja</t>
  </si>
  <si>
    <t xml:space="preserve">versailles </t>
  </si>
  <si>
    <t>Château de Versailles</t>
  </si>
  <si>
    <t>veves</t>
  </si>
  <si>
    <t>Celles (Houyet)</t>
  </si>
  <si>
    <t>http://www.chateau-de-veves.be</t>
  </si>
  <si>
    <t>vianden</t>
  </si>
  <si>
    <t>Vianden</t>
  </si>
  <si>
    <t>Oranje-Nassau</t>
  </si>
  <si>
    <t>http://www.castle-vianden.lu/english</t>
  </si>
  <si>
    <t>vidin</t>
  </si>
  <si>
    <t>Vidin</t>
  </si>
  <si>
    <t>vigoleno</t>
  </si>
  <si>
    <t>Vigoleno</t>
  </si>
  <si>
    <t xml:space="preserve">Château de Villandraut </t>
  </si>
  <si>
    <t>villarejo</t>
  </si>
  <si>
    <t>Villarejo de Salvanés</t>
  </si>
  <si>
    <t>vincennes</t>
  </si>
  <si>
    <t xml:space="preserve">Château de Vincennes </t>
  </si>
  <si>
    <t>Koning Philippe VI van Frankrijk</t>
  </si>
  <si>
    <t>King Philippe VI of Frankrijk</t>
  </si>
  <si>
    <t>Afgebeeld op de maand december van het beroemde boek "Très riches heures" van Duc de Berry uit de 15de eeuw.</t>
  </si>
  <si>
    <t>This castle was represented in the famous book "Très riches heures" of  Duc de Berry (15th century) in the month December.</t>
  </si>
  <si>
    <t>http://www.chateau-vincennes.fr/index.php</t>
  </si>
  <si>
    <t>visby</t>
  </si>
  <si>
    <t>visconteo</t>
  </si>
  <si>
    <t>Castello dei Visconteo</t>
  </si>
  <si>
    <t>Pavia</t>
  </si>
  <si>
    <t>visegrad</t>
  </si>
  <si>
    <t>http://mars.elte.hu/varak/visegrad/visegrad.htm?rom=483</t>
  </si>
  <si>
    <t>vitre</t>
  </si>
  <si>
    <t xml:space="preserve">Château de Vitré </t>
  </si>
  <si>
    <t>Vitré</t>
  </si>
  <si>
    <t>http://www.ot-vitre.fr/english/Vitre-en/heritage/heritage.htm</t>
  </si>
  <si>
    <t>volterra</t>
  </si>
  <si>
    <t>Rocca di Volterra</t>
  </si>
  <si>
    <t>vordingborg</t>
  </si>
  <si>
    <t>Vordingborg</t>
  </si>
  <si>
    <t>http://www.sns.dk/udgivelser/1999/vordingborg/vordingborg.htm</t>
  </si>
  <si>
    <t>vorselaar</t>
  </si>
  <si>
    <t>Vorselaar</t>
  </si>
  <si>
    <t>Familie Rotselaer</t>
  </si>
  <si>
    <t>Family Rotselaer</t>
  </si>
  <si>
    <t>Bezit erkervormige verdedigingstorentjes zoals ook Kasteel Gravensteen die heeft.</t>
  </si>
  <si>
    <t>In de 18de eeuw zijn drie weermuren en het poortgebouw afgebroken en is het kasteel in renaissancestijl verbouwd.</t>
  </si>
  <si>
    <t>vufflens</t>
  </si>
  <si>
    <t>Burg Vufflens</t>
  </si>
  <si>
    <t>wakayama</t>
  </si>
  <si>
    <t>Wakayama</t>
  </si>
  <si>
    <t>Tokugawa Yorinobu</t>
  </si>
  <si>
    <t>waldeck</t>
  </si>
  <si>
    <t>Waldeck</t>
  </si>
  <si>
    <t>walzin</t>
  </si>
  <si>
    <t>Château de Walzin</t>
  </si>
  <si>
    <t>Dinant</t>
  </si>
  <si>
    <t>warkworth</t>
  </si>
  <si>
    <t>Warkworth Castle</t>
  </si>
  <si>
    <t>Croquet (Northumberland)</t>
  </si>
  <si>
    <t>wartburg</t>
  </si>
  <si>
    <t>Die Wartburg</t>
  </si>
  <si>
    <t>Eisenach</t>
  </si>
  <si>
    <t>Ludwig III</t>
  </si>
  <si>
    <t>Hier vond de minstrelen wedstrijd plaats die onderwerp was van Wagner's Tannhäuser opera. Martin Luther schreef hier in ballingschap zijn vertaling van het nieuwe testament.</t>
  </si>
  <si>
    <t>Location of the minstrel's countest that was subject of Wagner's opera Tannhäuser. Martin Luther wrote his translation of the new testament while he was in exile in the Wartburg</t>
  </si>
  <si>
    <t>http://www.wartburg-eisenach.de/frame_st.htm</t>
  </si>
  <si>
    <t>warwick</t>
  </si>
  <si>
    <t>Warwick Castle</t>
  </si>
  <si>
    <t>Warwick (Warwickshire)</t>
  </si>
  <si>
    <t>Earl Beauchamp</t>
  </si>
  <si>
    <t>http://www.warwick-castle.co.uk</t>
  </si>
  <si>
    <t>wasenbourg</t>
  </si>
  <si>
    <t>Château de Wasenbourg</t>
  </si>
  <si>
    <t>welhartitz</t>
  </si>
  <si>
    <t>wertheim</t>
  </si>
  <si>
    <t>Burg Wertheim</t>
  </si>
  <si>
    <t>Wertheim</t>
  </si>
  <si>
    <t>whitecastle</t>
  </si>
  <si>
    <t>Whitecastle (Castle Gwyn)</t>
  </si>
  <si>
    <t>Abergavenny</t>
  </si>
  <si>
    <t>wijnendale</t>
  </si>
  <si>
    <t>Kasteel Wijnendale</t>
  </si>
  <si>
    <t>Wijnendale</t>
  </si>
  <si>
    <t>Robrecht de Fries, Graaf van Vlaanderen</t>
  </si>
  <si>
    <t>Robrecht de Fries, Count of Flanders</t>
  </si>
  <si>
    <t>wildenberg</t>
  </si>
  <si>
    <t>wildenstein</t>
  </si>
  <si>
    <t>Wildenstein</t>
  </si>
  <si>
    <t>Wildenstein a.d. Donau</t>
  </si>
  <si>
    <t>wiltz</t>
  </si>
  <si>
    <t>Wiltz</t>
  </si>
  <si>
    <t>winchester</t>
  </si>
  <si>
    <t>Winchester</t>
  </si>
  <si>
    <t>windsor</t>
  </si>
  <si>
    <t>Windsor Castle</t>
  </si>
  <si>
    <t>Windsor (Birkshire)</t>
  </si>
  <si>
    <t>Koning Edward III van Engeland</t>
  </si>
  <si>
    <t>King Edward III of England</t>
  </si>
  <si>
    <t>Yilan Kale (Slangenkasteel)</t>
  </si>
  <si>
    <t>zahara</t>
  </si>
  <si>
    <t>Castillo de Zahara</t>
  </si>
  <si>
    <t>Cádiz</t>
  </si>
  <si>
    <t>zisa</t>
  </si>
  <si>
    <t>La Zisa</t>
  </si>
  <si>
    <t>Palermo</t>
  </si>
  <si>
    <t>Guglielmo I il Malo</t>
  </si>
  <si>
    <t>Gerestaureerd in 1951.</t>
  </si>
  <si>
    <t>Normandisch kasteel.</t>
  </si>
  <si>
    <t>zovnek</t>
  </si>
  <si>
    <t>zuzemberk</t>
  </si>
  <si>
    <t>zvikov</t>
  </si>
  <si>
    <t>Hohenzollern</t>
  </si>
  <si>
    <t>nr</t>
  </si>
  <si>
    <t>Ligging</t>
  </si>
  <si>
    <t>Hoogteburcht</t>
  </si>
  <si>
    <t>Mountain castle</t>
  </si>
  <si>
    <t>Höhenburg</t>
  </si>
  <si>
    <t>Rotskasteel</t>
  </si>
  <si>
    <t>Rock castle</t>
  </si>
  <si>
    <t>Felsenburg</t>
  </si>
  <si>
    <t>Cliff castle</t>
  </si>
  <si>
    <t xml:space="preserve">A fort which was situated on a spit of high ground and was protected on three sides by sheer cliffs, leaving only one line of approach which was defended by a rampart and ditch across the narrowest neck of the peninsula. If suitable headlands were not available, straight lines of cliff edges could be used by raising ‘L’ or ‘V’ shaped ramparts. Also known as a promontory fort, the majority occur on Britains western seaboard. Some can also be found on heights above rivers further inland. They were easily constructed and could be defended by only a small force, however, they had one major flaw, if an enemy did manage to break in it would have been impossible to escape. 
</t>
  </si>
  <si>
    <t>Waterburcht (Slot)</t>
  </si>
  <si>
    <t>Water castle</t>
  </si>
  <si>
    <t>Wasserburg</t>
  </si>
  <si>
    <t>Havenburcht</t>
  </si>
  <si>
    <t>Harbour castle</t>
  </si>
  <si>
    <t>Hafenburg</t>
  </si>
  <si>
    <t>Stadsburcht</t>
  </si>
  <si>
    <t>City castle</t>
  </si>
  <si>
    <t>Stadtburg</t>
  </si>
  <si>
    <t>Bouwconcept</t>
  </si>
  <si>
    <t>Mottekasteel</t>
  </si>
  <si>
    <t>Motte-and-bailey</t>
  </si>
  <si>
    <t>Later normandisch</t>
  </si>
  <si>
    <t>Later norman</t>
  </si>
  <si>
    <t>Ringburcht</t>
  </si>
  <si>
    <t>Ringwork</t>
  </si>
  <si>
    <t>Donjon binnen weermuren</t>
  </si>
  <si>
    <t>Donjon inside curtain wall</t>
  </si>
  <si>
    <t>Donjon in weermuren</t>
  </si>
  <si>
    <t>Donjon in curtain wall</t>
  </si>
  <si>
    <t>Donjon buiten weermuren</t>
  </si>
  <si>
    <t>Donjon outside curtain wall</t>
  </si>
  <si>
    <t>Condition</t>
  </si>
  <si>
    <t>Intakt</t>
  </si>
  <si>
    <t>Intact</t>
  </si>
  <si>
    <t>kasteel is goeddeels intact, alle belangrijke delen (poort, donjon, slotgracht, weergangen) zijn herkenbaar en toegankelijk</t>
  </si>
  <si>
    <t>Herbouwd/Verbouwd</t>
  </si>
  <si>
    <t>Rebuild/Restored</t>
  </si>
  <si>
    <t>na beschadiging of verwoesting is het kasteel geheel opnieuw herbouws of zodanig gerenoveerd dat alle essentiele delen van het kasteel opnieuw gebouwd zijn</t>
  </si>
  <si>
    <t>Beschadigd</t>
  </si>
  <si>
    <t>Damaged</t>
  </si>
  <si>
    <t>contouren van het kasteel zijn geheel herkenbaar, niet alle delen zijn aanwezig en of toegankelijk</t>
  </si>
  <si>
    <t>Ruïne/Restant</t>
  </si>
  <si>
    <t>Ruined/Partly remained</t>
  </si>
  <si>
    <t>essentiele delen van het kasteel ontbreken</t>
  </si>
  <si>
    <t>Verwoest</t>
  </si>
  <si>
    <t>Destroyed</t>
  </si>
  <si>
    <t>alle essentiele delen van het kasteel zijn vernietigd of onherkenbaar beschadigd</t>
  </si>
  <si>
    <t>No Castle</t>
  </si>
  <si>
    <t>Renaissance</t>
  </si>
  <si>
    <t>Stadsommuring</t>
  </si>
  <si>
    <t>Walled city</t>
  </si>
  <si>
    <t>Fort</t>
  </si>
  <si>
    <t>Fortress</t>
  </si>
  <si>
    <t>Nieuw</t>
  </si>
  <si>
    <t>New</t>
  </si>
  <si>
    <t>Oudheid</t>
  </si>
  <si>
    <t>Prehistoric</t>
  </si>
  <si>
    <t>Middeleeuws Paleis</t>
  </si>
  <si>
    <t>Palace</t>
  </si>
  <si>
    <t>Romantiek</t>
  </si>
  <si>
    <t>Romantic</t>
  </si>
  <si>
    <t>Akkar (Gibelcar)</t>
  </si>
  <si>
    <t>Belvoir</t>
  </si>
  <si>
    <t>Caesaria</t>
  </si>
  <si>
    <t>Edessa</t>
  </si>
  <si>
    <t>Goodrich Castle</t>
  </si>
  <si>
    <t>Kaiserpfalz Goslar</t>
  </si>
  <si>
    <t>Kasteel Helmond</t>
  </si>
  <si>
    <t>Hermitage Castle</t>
  </si>
  <si>
    <t>Kasteel Hernen</t>
  </si>
  <si>
    <t>Herstmonceux Castle</t>
  </si>
  <si>
    <t>Hever Castle</t>
  </si>
  <si>
    <t>Hikone</t>
  </si>
  <si>
    <t>St. Hilarion</t>
  </si>
  <si>
    <t>Himeji-Jo (Shirasagi-Witte Reiger)</t>
  </si>
  <si>
    <t>Hirado</t>
  </si>
  <si>
    <t>Hirosaki</t>
  </si>
  <si>
    <t>Hochburg</t>
  </si>
  <si>
    <t>Hochosterwitz</t>
  </si>
  <si>
    <t>Kasteel Hoensbroek</t>
  </si>
  <si>
    <t>Hohenfreyberg</t>
  </si>
  <si>
    <t>Burg Hohenrechberg</t>
  </si>
  <si>
    <t>Festung Hohensalzburg</t>
  </si>
  <si>
    <t>Hohentwiel</t>
  </si>
  <si>
    <t>Hohenwerfen</t>
  </si>
  <si>
    <t>Château d'Hollenfels</t>
  </si>
  <si>
    <t>Hollókõ</t>
  </si>
  <si>
    <t>Hotin</t>
  </si>
  <si>
    <t>Donjon de Houdan</t>
  </si>
  <si>
    <t>Inuyama</t>
  </si>
  <si>
    <t>Inverness Castle</t>
  </si>
  <si>
    <t>Castello di Issogne</t>
  </si>
  <si>
    <t>Castillo de Javier</t>
  </si>
  <si>
    <t>Golden Gate</t>
  </si>
  <si>
    <t xml:space="preserve">Château de Josselin </t>
  </si>
  <si>
    <t>Kakegawa</t>
  </si>
  <si>
    <t>Kalmar Slott</t>
  </si>
  <si>
    <t xml:space="preserve">Karlštejn Hrad </t>
  </si>
  <si>
    <t>La Kasbah</t>
  </si>
  <si>
    <t>Kasselburg</t>
  </si>
  <si>
    <t>Neukatzelnbogeln</t>
  </si>
  <si>
    <t>Kenilworth Castle</t>
  </si>
  <si>
    <t>Qasr al-Kharanah</t>
  </si>
  <si>
    <t>Kilcoy Castle</t>
  </si>
  <si>
    <t>Kildrummy Castle</t>
  </si>
  <si>
    <t>Klein-Schelken</t>
  </si>
  <si>
    <t>Kost Hrad</t>
  </si>
  <si>
    <t>Kostel ob Kolpi (Grafenwarth)</t>
  </si>
  <si>
    <t>Krak des Chevaliers (Kalat el Hösn)</t>
  </si>
  <si>
    <t>Kremlin</t>
  </si>
  <si>
    <t>Burg Kriebstein</t>
  </si>
  <si>
    <t>Kronborg Slot</t>
  </si>
  <si>
    <t>Kumamoto</t>
  </si>
  <si>
    <t>Kyrenia</t>
  </si>
  <si>
    <t>Kasteel Laarne</t>
  </si>
  <si>
    <t>Läckö Slott</t>
  </si>
  <si>
    <t>Lahneck</t>
  </si>
  <si>
    <t>Burg Landsberg</t>
  </si>
  <si>
    <t>Landskron</t>
  </si>
  <si>
    <t xml:space="preserve">Château de Langeais </t>
  </si>
  <si>
    <t>Largoët-en-Elven</t>
  </si>
  <si>
    <t>Larissa</t>
  </si>
  <si>
    <t>Château de Larochette</t>
  </si>
  <si>
    <t>Château de Lassay</t>
  </si>
  <si>
    <t>Launceston Castle</t>
  </si>
  <si>
    <t>Leeds Castle</t>
  </si>
  <si>
    <t>Leidse Burcht</t>
  </si>
  <si>
    <t>Castelo de Leiria</t>
  </si>
  <si>
    <t>Castello di Lerici</t>
  </si>
  <si>
    <t>Lewes Castle</t>
  </si>
  <si>
    <t>Burg Lichtenberg</t>
  </si>
  <si>
    <t>Liebenfels</t>
  </si>
  <si>
    <t>Linlithgow</t>
  </si>
  <si>
    <t>Livadia</t>
  </si>
  <si>
    <t xml:space="preserve">Castillo de Loarre </t>
  </si>
  <si>
    <t>Loch Leven Castle</t>
  </si>
  <si>
    <t xml:space="preserve">Château de Loches </t>
  </si>
  <si>
    <t>Margat (Marqab)</t>
  </si>
  <si>
    <t>Radzyn Chelminski</t>
  </si>
  <si>
    <t>Safita (Chastel Blanc)</t>
  </si>
  <si>
    <r>
      <t>Château de Valen</t>
    </r>
    <r>
      <rPr>
        <sz val="10"/>
        <rFont val="Arial"/>
        <family val="2"/>
      </rPr>
      <t>çay</t>
    </r>
  </si>
  <si>
    <t>Godric</t>
  </si>
  <si>
    <t>Koning Heinrichs III</t>
  </si>
  <si>
    <t>King Heinrichs III</t>
  </si>
  <si>
    <t>Graaf Philip van den Elzas van Vlaanderen</t>
  </si>
  <si>
    <t>Count Philip of den Elzas of Flanders</t>
  </si>
  <si>
    <t>Gotschalk van Woerden</t>
  </si>
  <si>
    <t>Gotschalk of Woerden</t>
  </si>
  <si>
    <t>Vikingen</t>
  </si>
  <si>
    <t>Vikings</t>
  </si>
  <si>
    <t>Koning Edward II van Engeland</t>
  </si>
  <si>
    <t>King Edward II of England</t>
  </si>
  <si>
    <t>Graaf Aubrey de Vere van Oxford</t>
  </si>
  <si>
    <t>Count Aubrey de Vere of Oxford</t>
  </si>
  <si>
    <t>Hendrik van der Leck</t>
  </si>
  <si>
    <t>Paltsgraven van de Rijn</t>
  </si>
  <si>
    <t>Paltsgraven of de Rijn</t>
  </si>
  <si>
    <t>Heren van Berlaer</t>
  </si>
  <si>
    <t>Heren of Berlaer</t>
  </si>
  <si>
    <t>Alard van Driel</t>
  </si>
  <si>
    <t>Alard of Driel</t>
  </si>
  <si>
    <t>Norimura Akamatsu</t>
  </si>
  <si>
    <t>Archbishop van Salzburg</t>
  </si>
  <si>
    <t>Archbishop of Salzburg</t>
  </si>
  <si>
    <t>Herman Hoen</t>
  </si>
  <si>
    <t xml:space="preserve">Archbishop Gebhard I von Helffenstein </t>
  </si>
  <si>
    <t>Naruse daimyô</t>
  </si>
  <si>
    <t>Amedeo VI di Savoia</t>
  </si>
  <si>
    <t>Keizer Charles IV van het heilige roomse rijk</t>
  </si>
  <si>
    <t>Emperor Charles IV of the holy roman empire</t>
  </si>
  <si>
    <t>Karol Róbert</t>
  </si>
  <si>
    <t>Roger de Lacy</t>
  </si>
  <si>
    <t>Orde of Teutonische Ridders</t>
  </si>
  <si>
    <t>Markies Íñigo López de Mendoza</t>
  </si>
  <si>
    <t>Tokugawa Shogunate</t>
  </si>
  <si>
    <t>Graaf Floris V van Holland</t>
  </si>
  <si>
    <t>Count Floris V of Holland</t>
  </si>
  <si>
    <t>Koning Dagobert I van Merowingen</t>
  </si>
  <si>
    <t>King Dagobert I of Merowingen</t>
  </si>
  <si>
    <t>Dukes Radziwils</t>
  </si>
  <si>
    <t>Guillaume II Villehardouin</t>
  </si>
  <si>
    <t>Gwijde van Vlaanderen</t>
  </si>
  <si>
    <t>Gwijde of Flanders</t>
  </si>
  <si>
    <t>Foulques Nerra</t>
  </si>
  <si>
    <t>Hendrik van Gelre</t>
  </si>
  <si>
    <t>Robert III van Dreux</t>
  </si>
  <si>
    <t>Robert III of Dreux</t>
  </si>
  <si>
    <t>Koning Ludwig II van Bavaria</t>
  </si>
  <si>
    <t>King Ludwig II of Bavaria</t>
  </si>
  <si>
    <t>Gerard Splinter van Ruwiel</t>
  </si>
  <si>
    <t>Gerard Splinter of Ruwiel</t>
  </si>
  <si>
    <t>Keizer Frederick Barbarossa</t>
  </si>
  <si>
    <t>Emperor Frederick Barbarossa</t>
  </si>
  <si>
    <t>Tokugawa Ieyasu</t>
  </si>
  <si>
    <t>Keizer Frederick Barbarossa van het heilige roomse rijk</t>
  </si>
  <si>
    <t>Emperor Frederick Barbarossa of the holy roman empire</t>
  </si>
  <si>
    <t xml:space="preserve">Arnolfo da Cambio </t>
  </si>
  <si>
    <t>William Marshall</t>
  </si>
  <si>
    <t>Keizer Ludwig von Bavaria</t>
  </si>
  <si>
    <t>Emperor Ludwig of Bavaria</t>
  </si>
  <si>
    <t>Jean Bourré</t>
  </si>
  <si>
    <t>Riccardo da Lentini</t>
  </si>
  <si>
    <t>Thibaut van Champagne</t>
  </si>
  <si>
    <t>Thibaut of Champagne</t>
  </si>
  <si>
    <t>David de Rambures</t>
  </si>
  <si>
    <t>Rapoto van Kneuringer</t>
  </si>
  <si>
    <t>Rapoto of Kneuringer</t>
  </si>
  <si>
    <t>Herman en Roderik van Voorst</t>
  </si>
  <si>
    <t>Herman and Roderik of Voorst</t>
  </si>
  <si>
    <t>Renaud van Waimes</t>
  </si>
  <si>
    <t>Renaud of Waimes</t>
  </si>
  <si>
    <t>Robert van Mortain</t>
  </si>
  <si>
    <t>Robert of Mortain</t>
  </si>
  <si>
    <t>Diether von Katzenelnbogen</t>
  </si>
  <si>
    <t>Rüdiger</t>
  </si>
  <si>
    <t>Graaf William d'Albini van Sussex</t>
  </si>
  <si>
    <t>Count William d'Albini of Sussex</t>
  </si>
  <si>
    <t>Guy de la Roche</t>
  </si>
  <si>
    <t>Bisschop Gundulf van Rochester</t>
  </si>
  <si>
    <t>Bisschop Gundulf of Rochester</t>
  </si>
  <si>
    <t>Robert de Uffort</t>
  </si>
  <si>
    <t>Graven van Gelre</t>
  </si>
  <si>
    <t>Counts of Gelre</t>
  </si>
  <si>
    <t>Heren van Wanga</t>
  </si>
  <si>
    <t>Heren of Wanga</t>
  </si>
  <si>
    <t>Castelbarco</t>
  </si>
  <si>
    <t>Gregory I</t>
  </si>
  <si>
    <t>Koning Henry VIII van Engeland</t>
  </si>
  <si>
    <t>King Henry VIII of England</t>
  </si>
  <si>
    <t>Hertog Louis I van Anjou</t>
  </si>
  <si>
    <t>Duke Louis I of Anjou</t>
  </si>
  <si>
    <t>Mastino I</t>
  </si>
  <si>
    <t>Archbishop van Maagdenburg</t>
  </si>
  <si>
    <t>Archbishop of Maagdenburg</t>
  </si>
  <si>
    <t>Koning Alfonso VI de Castille</t>
  </si>
  <si>
    <t>King Alfonso VI de Castille</t>
  </si>
  <si>
    <t>Jacques de Bazoches</t>
  </si>
  <si>
    <t>Hertog Francesco Sforza van Milaan</t>
  </si>
  <si>
    <t>Duke Francesco Sforza of Milaan</t>
  </si>
  <si>
    <t>Koning Belo IV</t>
  </si>
  <si>
    <t>King Belo IV</t>
  </si>
  <si>
    <t>Stewarts of Appin</t>
  </si>
  <si>
    <t>Guy de la Témoïle</t>
  </si>
  <si>
    <t>Earls of Fife</t>
  </si>
  <si>
    <t>Hertog Louis II van Anjou</t>
  </si>
  <si>
    <t>Duke Louis II of Anjou</t>
  </si>
  <si>
    <t>Ralph Lord Cromwell (Treasurer for Henry VI)</t>
  </si>
  <si>
    <t>Geslacht Van Teylingen</t>
  </si>
  <si>
    <t>Family Van Teylingen</t>
  </si>
  <si>
    <t>Archibald the Grim (de Wrede)</t>
  </si>
  <si>
    <t>Hertog van Zähringen</t>
  </si>
  <si>
    <t>Duke of Zähringen</t>
  </si>
  <si>
    <t>Prince Richard Earl of Cornwall</t>
  </si>
  <si>
    <t>Koning William I van Engeland(Willem de Veroveraar)</t>
  </si>
  <si>
    <t>King William I of England(William de Veroveraar)</t>
  </si>
  <si>
    <t>Olavinlinna (Olofsburg)</t>
  </si>
  <si>
    <t>viborg</t>
  </si>
  <si>
    <t>borgeby</t>
  </si>
  <si>
    <t>vittskovle</t>
  </si>
  <si>
    <t>sjaelland</t>
  </si>
  <si>
    <t>Bollerup</t>
  </si>
  <si>
    <t>Vadstena</t>
  </si>
  <si>
    <t>Svaneholm</t>
  </si>
  <si>
    <t>Trolleholm</t>
  </si>
  <si>
    <t>Kastelholm</t>
  </si>
  <si>
    <t>Nyköpingshus</t>
  </si>
  <si>
    <t>nykopingshus</t>
  </si>
  <si>
    <t>vadstena</t>
  </si>
  <si>
    <t>trolleholm</t>
  </si>
  <si>
    <t>tosterup</t>
  </si>
  <si>
    <t>torpa</t>
  </si>
  <si>
    <t>svaneholm</t>
  </si>
  <si>
    <t>kuusto</t>
  </si>
  <si>
    <t>kastelholm</t>
  </si>
  <si>
    <t>bollerup</t>
  </si>
  <si>
    <t>Ceský Krumlov</t>
  </si>
  <si>
    <t>Cracow</t>
  </si>
  <si>
    <t>Torun</t>
  </si>
  <si>
    <t>Qila Rohtas (Rothas Fort)</t>
  </si>
  <si>
    <t>Kasteel van Valkenburg</t>
  </si>
  <si>
    <t>Krivoklát Hrad (Pürglitz)</t>
  </si>
  <si>
    <t>Koning Premysl Otakar II van Bohemië</t>
  </si>
  <si>
    <t>King Premysl Otakar II of Bohemië</t>
  </si>
  <si>
    <t>Hrad Strekov (Burg Schreckenstein)</t>
  </si>
  <si>
    <t xml:space="preserve">Hrad Kokorín </t>
  </si>
  <si>
    <t>Langste kasteel van Europa (&gt;1 km)</t>
  </si>
  <si>
    <t>Longest castle in Europe (&gt; 1 km)</t>
  </si>
  <si>
    <t>http://www.amorbach-odw.de/html/die_wildenburg.html</t>
  </si>
  <si>
    <t>Schloß Neuschwanstein</t>
  </si>
  <si>
    <t>Schloß Anif</t>
  </si>
  <si>
    <t>Schloß Lichtenstein</t>
  </si>
  <si>
    <t>http://www.valkhof.nl</t>
  </si>
  <si>
    <t>Midi-Pyrénées</t>
  </si>
  <si>
    <t>http://www.beersel.be/cat_06/scat_06_02/scat_06_02_02/kasteel_beersel.htm</t>
  </si>
  <si>
    <t>http://www.regione.vda.it/turismo/cultura/castelli/fenis_e.asp</t>
  </si>
  <si>
    <t>http://www.royal.gov.uk/output/page557.asp</t>
  </si>
  <si>
    <t>http://www.schloss-tarasp.ch/</t>
  </si>
  <si>
    <t>http://www.schlosstirol.it/content.php?id=6000&amp;lang=2</t>
  </si>
  <si>
    <t>http://www.turismocastillayleon.com/cm/setLocale?pgseed=1232288223398&amp;dvRegLocale=en_UK</t>
  </si>
  <si>
    <t>http://www.turismocastillayleon.com/cm/turcyl/tkContent?idContent=1257&amp;textOnly=false&amp;locale=en_EN</t>
  </si>
  <si>
    <t>http://www.kalmarslott.kalmar.se/sites/kalmarslott/t/default.aspx?id=19676</t>
  </si>
  <si>
    <t>http://www.bresciainvetrina.it/bresciaturismo/lagodigarda_sirmione_castello.htm</t>
  </si>
  <si>
    <t>http://www.zamek.malbork.pl/en/kwidzyn/indexk.php</t>
  </si>
  <si>
    <t>http://www.trifelsland.de/de/region/burgen/trifels.html</t>
  </si>
  <si>
    <t>http://www.carcassonne.culture.fr/</t>
  </si>
  <si>
    <t xml:space="preserve">http://www.burghausen.de/geschichte/burg.cfm </t>
  </si>
  <si>
    <t>Matúš Cák TrenCianský</t>
  </si>
  <si>
    <t>Ceský Šternberk</t>
  </si>
  <si>
    <t>Helfenburk u Úšteku</t>
  </si>
  <si>
    <t>Oravský hrad (árva)</t>
  </si>
  <si>
    <t>Hrad Kunetická</t>
  </si>
  <si>
    <t xml:space="preserve">Château des Comtes de Foix </t>
  </si>
  <si>
    <t>Lubovniansky hrad (Lubló)</t>
  </si>
  <si>
    <t>Trencianský hrad (Trencsén, Trencín)</t>
  </si>
  <si>
    <t>Trencín</t>
  </si>
  <si>
    <t>Trenciansko</t>
  </si>
  <si>
    <t>Matúš Cák Trencianský</t>
  </si>
  <si>
    <t>The castle is situated on the limestone cliff, and has been constructed in place of a Slavs settlement and from the 11th century it has become the king's guard castle of the town. The oldest part of the castle is probably the Romanesque tower. The rests of the tower are found in the advanced courtyard. The castle was owned by important royal and gentry families, of which the most famous was Matúš Cák of Trencín (from the beginning of the 14th century).</t>
  </si>
  <si>
    <t>Eén van de meest bezochte en fotogenieke kastelen in Bohemen is Karlštejn. Het kasteel bevindt zich 30 kilometer ten zuiden van Praag. Langs de hoofdstraat van het plaatsje Budnany aan de Berounka wandelt u geleidelijk omhoog naar het kasteel, dat zich als een tijdloze majesteit boven alles verheft op de krijtrots.
De burcht is gebouwd in 1348 door keizer Karel IV, zowel als een toevluchtsoord, als een veilige bewaarplaats voor de kroonjuwelen en andere kostbaren relieken van het Heilige Roomse Rijk. Het resultaat hiervan was een onneembare vesting. Dankzij gekantelde muren gebouwd op rotsen wordt het de vijand niet gemakkelijk gemaakt. Zelfs de hussieten werden afgeschrikt door de lange klim naar het kasteel, en na het zeven maanden belegerd te hebben, vertrokken zij weer. 
De burcht bestaat uit drie zelfstandige gebouwen en ze zijn naar ideologische en inhoudelijke rangorde in het landschap geplaatst. Op het laagste niveau bevindt zich het paleis. Op een niveau hoger staat de Maria-toren en de Maria-kerk die gewijd is aan de maagd Maria. Boven deze twee niveaus reikt de Heilige Kruiskapel in de Grote Toren, welke de kern van het gehele concept vormt. Volgens een decreet van 1357 mochten hier geen vrouwen komen. De kapel zelf was slechts toegankelijk voor de keizer en zijn hofpriester.</t>
  </si>
  <si>
    <t xml:space="preserve">Romantic castle, does not comply with the definition of a castle as used by topcastles.com, please refer to the menu &lt;a href="achtergrond.php"&gt;background&lt;/a&gt; and enquete in menu &lt;a href="bezoekers.php?SubMenu=enquetes"&gt;doe mee -&gt; enquetes&lt;/a&gt; </t>
  </si>
  <si>
    <t>bezocht</t>
  </si>
  <si>
    <t>aberystwyth</t>
  </si>
  <si>
    <t>bari</t>
  </si>
  <si>
    <t>bonaguil</t>
  </si>
  <si>
    <t>bury</t>
  </si>
  <si>
    <t>caetani</t>
  </si>
  <si>
    <t>calahorra</t>
  </si>
  <si>
    <t>cardona</t>
  </si>
  <si>
    <t>chambois</t>
  </si>
  <si>
    <t>combourg</t>
  </si>
  <si>
    <t>fayrac</t>
  </si>
  <si>
    <t>fougeres</t>
  </si>
  <si>
    <t>gruyeres</t>
  </si>
  <si>
    <t>jativa</t>
  </si>
  <si>
    <t>josselin</t>
  </si>
  <si>
    <t>lucera</t>
  </si>
  <si>
    <t>maniace</t>
  </si>
  <si>
    <t>miravet</t>
  </si>
  <si>
    <t>montmuran</t>
  </si>
  <si>
    <t>montsegur</t>
  </si>
  <si>
    <t>mur</t>
  </si>
  <si>
    <t>najac</t>
  </si>
  <si>
    <t>nantes</t>
  </si>
  <si>
    <t>niort</t>
  </si>
  <si>
    <t>olite</t>
  </si>
  <si>
    <t>partenay</t>
  </si>
  <si>
    <t>peniscola</t>
  </si>
  <si>
    <t>peratallada</t>
  </si>
  <si>
    <t>rambures</t>
  </si>
  <si>
    <t>rheinstein</t>
  </si>
  <si>
    <t>rouen</t>
  </si>
  <si>
    <t>simancas</t>
  </si>
  <si>
    <t>soncino</t>
  </si>
  <si>
    <t>sotomayor</t>
  </si>
  <si>
    <t>stahleck</t>
  </si>
  <si>
    <t>termoli</t>
  </si>
  <si>
    <t>trujillo</t>
  </si>
  <si>
    <t>vals</t>
  </si>
  <si>
    <t>villandraut</t>
  </si>
  <si>
    <t>United Kingdom</t>
  </si>
  <si>
    <t>trencsen</t>
  </si>
  <si>
    <t xml:space="preserve">Žužemberk's history goes back to the 13th century. Its defenses were reinforced with seven huge round towers in the 16th century. From 1538 until World War II, it was owned by the noble Auersperg family from Turjak and Šumberk. During the war, the castle was heavily bombarded, but restorations began in the 1960’s and the castle now hosts cultural and tourist events in the summer. </t>
  </si>
  <si>
    <t>http://www.dover-castle-friends.org</t>
  </si>
  <si>
    <t>bohus</t>
  </si>
  <si>
    <t>niedzica</t>
  </si>
  <si>
    <t>King’s castle where royal treasure was stored, also royal prison in XV century, destroyed during Polish - Swedish war in xvii century </t>
  </si>
  <si>
    <t>Swietokrzyskie</t>
  </si>
  <si>
    <t>swietokrzyskie</t>
  </si>
  <si>
    <t>Poolse koning</t>
  </si>
  <si>
    <t>Polish king</t>
  </si>
  <si>
    <t>Dunajec in Niedzica</t>
  </si>
  <si>
    <t>Niedzica</t>
  </si>
  <si>
    <t>Hungarian knight named Berzeviczy</t>
  </si>
  <si>
    <t>Hongaarse ridder genaamd Berzeviczy</t>
  </si>
  <si>
    <t>Noble’s castle of few families – Hungarian and then Polish. Rebuilt in renaissance style.</t>
  </si>
  <si>
    <t>Kwidzyn (Marienwerder)</t>
  </si>
  <si>
    <t>Kwidzyn</t>
  </si>
  <si>
    <t>Bishop’s castle with cathedral and world’s biggest dansker – water tower</t>
  </si>
  <si>
    <t>Malbork (Marienborg)</t>
  </si>
  <si>
    <t xml:space="preserve"> The biggest castle in Poland – occupies area of 25 hectares, the biggest brick castle of world. </t>
  </si>
  <si>
    <t xml:space="preserve">Capitol castle of Teutonic Order since XIII century to 1457, then owned by Polish kings. Destroyed during World War II, rebuilt since 1950. </t>
  </si>
  <si>
    <t>Polish king “Kazimierz the Great”</t>
  </si>
  <si>
    <t>Poolse koning “Kazimierz de Grote”</t>
  </si>
  <si>
    <t>Ruins of king’s castle from XIV century, part of system of city walls, abandoned in XVIII century and partially destroyed</t>
  </si>
  <si>
    <t>Radzyn Chelminski (Rehden)</t>
  </si>
  <si>
    <t>Castle where treasure of great master of Teutonic Order was stored, since 1466 owned by Polish King, destroyed in XIX century </t>
  </si>
  <si>
    <t>Bolkow (Bolkoburg)</t>
  </si>
  <si>
    <t>Bolkow</t>
  </si>
  <si>
    <t>Prince Boleslaw Rogatka</t>
  </si>
  <si>
    <t>Prins Boleslaw Rogatka</t>
  </si>
  <si>
    <t>Castle founded by Silesian and Cracow prince Boleslaw Rogatka (from piast dynasty), then owned by Czech kings and nobles families. </t>
  </si>
  <si>
    <t>Grodziec (Gröditzberg)</t>
  </si>
  <si>
    <t>Grodziec</t>
  </si>
  <si>
    <t>Henryk Brodaty (Prince of Cracow, Silesia and Polonia Major (Wielkopolska))</t>
  </si>
  <si>
    <t>Wooden castle rebuilt in stone castle in XIII century, owned by Silesian dukes and nobles</t>
  </si>
  <si>
    <t>Het kasteel werd gebruikt in het nederlands/belgische televisiespel "Oberon"</t>
  </si>
  <si>
    <t>Czocha (Tzschocha)</t>
  </si>
  <si>
    <t>czocha</t>
  </si>
  <si>
    <t>Lesna</t>
  </si>
  <si>
    <t>Czech King Vaclav I</t>
  </si>
  <si>
    <t>Tsjechische koning Vaclav I</t>
  </si>
  <si>
    <t>Castle built by Czech King, then owned by Silesian dukes and nobles, during World War II German’s headquarter of coders.</t>
  </si>
  <si>
    <t>Olsztyn</t>
  </si>
  <si>
    <t>Polish King Kazimierz Wielki (the Great)</t>
  </si>
  <si>
    <t>Poolse koning Kazimierz Wielki (de Grote)</t>
  </si>
  <si>
    <t xml:space="preserve"> Originally royal castle, then owned by nobles, destroyed during Swedish invasion in 1655 (II North War) </t>
  </si>
  <si>
    <t>Kaliningrad</t>
  </si>
  <si>
    <t>ciechanow</t>
  </si>
  <si>
    <t>Ciechanow (Zichenau)</t>
  </si>
  <si>
    <t>Royal castle, destroyed by fire and Swedish troops In XVII century, rebuilt in 1950</t>
  </si>
  <si>
    <t>Royal castle, destroyed by fire and Swedish troops In XVII century, rebuilt in 1951</t>
  </si>
  <si>
    <t xml:space="preserve">Prince Janusz I of Mazovia </t>
  </si>
  <si>
    <t xml:space="preserve">Prins Janusz I van Mazovia </t>
  </si>
  <si>
    <t>Originally capitol castle of Mazovia, since 1526 owned by Polish kings, destroyed by Swedish army In 1656</t>
  </si>
  <si>
    <t>Chojnik (Kynast)</t>
  </si>
  <si>
    <t>Sobieszow</t>
  </si>
  <si>
    <t>Silesian Prince Bolko I</t>
  </si>
  <si>
    <t>Silesische Prins Bolko I</t>
  </si>
  <si>
    <t>Silesian dukes castle, then owned by nobles, destroyed by fire In 1657</t>
  </si>
  <si>
    <t>Ogrodzieniec (Podzamcze)</t>
  </si>
  <si>
    <t>Knight’s Familly</t>
  </si>
  <si>
    <t>Ridder</t>
  </si>
  <si>
    <t>Biggest castle at Polish Jura with (32 000 cubic meters)</t>
  </si>
  <si>
    <t>Nobles castle, In XVI century enlarged and rebuilt in renaissance style by Boner familly, destroyed by Swedes In XVII century,</t>
  </si>
  <si>
    <t>Mazovia Price Janusz I Starszy</t>
  </si>
  <si>
    <t>Mazoviaanse prins Janusz I Starszy</t>
  </si>
  <si>
    <t>lodzkie</t>
  </si>
  <si>
    <t>Lodzkie (Central Poland)</t>
  </si>
  <si>
    <t>Bishop Of Gniezno – Maciej Drzewiecki</t>
  </si>
  <si>
    <t>Bischop Maciej Drzewiecki van Gniezno</t>
  </si>
  <si>
    <t>Castle build by Bishop Drzewiecki, then owned by his familly and other nobles, in XVIII used by female Bernandines Order, destroyed by fire In 1814</t>
  </si>
  <si>
    <t>golub</t>
  </si>
  <si>
    <t>Teutonic castle from XIII century, destroyed by mutined townsmans in 1454 during war with Poland</t>
  </si>
  <si>
    <t>Golub</t>
  </si>
  <si>
    <t>Teutonic castle from XIV centrury, since 1454 owned by Polish king, rebuilt after World War II</t>
  </si>
  <si>
    <t>novgorod</t>
  </si>
  <si>
    <t>Novgorod</t>
  </si>
  <si>
    <t xml:space="preserve">Bobolice </t>
  </si>
  <si>
    <t xml:space="preserve">Lublin </t>
  </si>
  <si>
    <t xml:space="preserve">Mirow </t>
  </si>
  <si>
    <t>Darlowo (Rugenwalde)</t>
  </si>
  <si>
    <t>Frombork (Frauenburg)</t>
  </si>
  <si>
    <t>Nidzica (Neidenburg)</t>
  </si>
  <si>
    <t>Reszel (Rössel)</t>
  </si>
  <si>
    <t>Swiny  (Schweinhaus)</t>
  </si>
  <si>
    <t>Szymbark (Schönberg)</t>
  </si>
  <si>
    <t>Teczyn (Rüdno)</t>
  </si>
  <si>
    <t>Zabkowice Slaskie (Frankenstein)</t>
  </si>
  <si>
    <t>zabkowice</t>
  </si>
  <si>
    <t>bobolice</t>
  </si>
  <si>
    <t>darlowo</t>
  </si>
  <si>
    <t>frombork</t>
  </si>
  <si>
    <t>lipowiec</t>
  </si>
  <si>
    <t>lublin</t>
  </si>
  <si>
    <t>mirow</t>
  </si>
  <si>
    <t>nidzica</t>
  </si>
  <si>
    <t>reszel</t>
  </si>
  <si>
    <t>swiny</t>
  </si>
  <si>
    <t>szymbark</t>
  </si>
  <si>
    <t>teczyn</t>
  </si>
  <si>
    <t>ojcow</t>
  </si>
  <si>
    <t>Ojcow (Ojcor)</t>
  </si>
  <si>
    <t>hallwyl</t>
  </si>
  <si>
    <t>Citadel Quait-Bay</t>
  </si>
  <si>
    <t>The Qaitbay Citadel in Alexandria is considered one of the most important defensive strongholds, not only in Egypt, but also along the Mediterranean Sea coast. It formed an important part of the fortification system of Alexandria in the 15th century A.D.</t>
  </si>
  <si>
    <t xml:space="preserve">The Citadel is situated at the entrance of the eastern harbour on the eastern point of the Pharos Island. It was erected on the exact site of the famous Lighthouse of Alexandria, which was one of the Seven Wonders of the Ancient World. </t>
  </si>
  <si>
    <t>Mameluke Sultan Al-Ashraf Qaitbay</t>
  </si>
  <si>
    <t>korycus</t>
  </si>
  <si>
    <t>Korycus (Kiz Kalesi "Maiden's Castle")</t>
  </si>
  <si>
    <t>Adanas</t>
  </si>
  <si>
    <t>Kantara</t>
  </si>
  <si>
    <t>Buffavento</t>
  </si>
  <si>
    <t>Nicosia (Lefkoşa)</t>
  </si>
  <si>
    <t>El Kerak (Al Karak)</t>
  </si>
  <si>
    <t>abo</t>
  </si>
  <si>
    <t>Åbo Slott</t>
  </si>
  <si>
    <t>steinvikholm</t>
  </si>
  <si>
    <t>Steinvikholm Slott (Stenviksholm)</t>
  </si>
  <si>
    <t>ballymote</t>
  </si>
  <si>
    <t>Ballymote Castle</t>
  </si>
  <si>
    <t>badajoz</t>
  </si>
  <si>
    <t>Albuquerque</t>
  </si>
  <si>
    <t>Castelo dos Mouros</t>
  </si>
  <si>
    <t>Nieuw kasteel, voldoet niet aan de definitie van kasteel voor de top 100, zie menu &lt;a href="achtergrond.php"&gt;achtergrond&lt;/a&gt;. In aanbouw, gereed 2005. Het is een vergrote replica van het belgische Château Jemeppe.</t>
  </si>
  <si>
    <t>Grafelijk paleis van Floris IV, voldoet niet aan de definitie van kasteel voor de top 100, zie menu &lt;a href="achtergrond.php"&gt;achtergrond&lt;/a&gt;.</t>
  </si>
  <si>
    <t>Keizerlijk paleis, voldoet niet aan de definitie van kasteel voor de top 100, zie menu &lt;a href="achtergrond.php"&gt;achtergrond&lt;/a&gt;</t>
  </si>
  <si>
    <t>Prehistorisch, voldoet niet aan de definitie van kasteel voor de top 100, zie menu &lt;a href="achtergrond.php"&gt;achtergrond&lt;/a&gt;</t>
  </si>
  <si>
    <t>Renaissancekasteel, voldoet niet aan de definitie van kasteel voor de top 100, zie menu &lt;a href="achtergrond.php"&gt;achtergrond&lt;/a&gt;</t>
  </si>
  <si>
    <t xml:space="preserve">Romantisch kasteel, voldoet niet aan de definitie van kasteel voor de top 100, zie menu &lt;a href="achtergrond.php"&gt;achtergrond&lt;/a&gt; en enquete 1 in menu &lt;a href="bezoekers.php?SubMenu=enquetes"&gt;doe mee -&gt; enquetes&lt;/a&gt; </t>
  </si>
  <si>
    <t>Stadsommuring, voldoet niet aan de definitie van kasteel voor de top 100, zie menu &lt;a href="achtergrond.php"&gt;achtergrond&lt;/a&gt;</t>
  </si>
  <si>
    <t>Ringburcht om plaatselijke bevolking te beschermen, voldoet niet aan definitie  van kasteel voor de top 100, zie menu &lt;a href="achtergrond.php"&gt;achtergrond&lt;/a&gt;</t>
  </si>
  <si>
    <t>Protected enclosure, does not comply with the definition of a castle as used by topcastles.com, please refer to the menu &lt;a href="achtergrond.php"&gt;background&lt;/a&gt;.</t>
  </si>
  <si>
    <t>Kidwelly Castle (Cydweli)</t>
  </si>
  <si>
    <t>Manorbier Castle (Mannorbeer)</t>
  </si>
  <si>
    <t>alba</t>
  </si>
  <si>
    <t>hautkoeningsbourg</t>
  </si>
  <si>
    <t>sanangelo</t>
  </si>
  <si>
    <t>sanmarino</t>
  </si>
  <si>
    <t>anadolihissar</t>
  </si>
  <si>
    <t>sangiorgiomantua</t>
  </si>
  <si>
    <t>eileandonan</t>
  </si>
  <si>
    <t>alterdochao</t>
  </si>
  <si>
    <t>yilankale</t>
  </si>
  <si>
    <t>velikanedelja</t>
  </si>
  <si>
    <t>saojorge</t>
  </si>
  <si>
    <t>fasilghebbi</t>
  </si>
  <si>
    <t>newcastleupontyne</t>
  </si>
  <si>
    <t>buonconsiglio</t>
  </si>
  <si>
    <t>rocheguyon</t>
  </si>
  <si>
    <t>sanleo</t>
  </si>
  <si>
    <t>rocheenardenne</t>
  </si>
  <si>
    <t>lochleven</t>
  </si>
  <si>
    <t>palazzovecchio</t>
  </si>
  <si>
    <t>carregcennen</t>
  </si>
  <si>
    <t>chastelrouge</t>
  </si>
  <si>
    <t>qilarohtas</t>
  </si>
  <si>
    <t>mantuaducale</t>
  </si>
  <si>
    <t>standrews</t>
  </si>
  <si>
    <t>plessisbourre</t>
  </si>
  <si>
    <t>Château de PlessisBourré</t>
  </si>
  <si>
    <t>quaitbay</t>
  </si>
  <si>
    <t>aiguesmortes</t>
  </si>
  <si>
    <t>beaufortlux</t>
  </si>
  <si>
    <t>eschsursure</t>
  </si>
  <si>
    <t>ecaussineslalaing</t>
  </si>
  <si>
    <t>montreuilbellay</t>
  </si>
  <si>
    <t>grootbijgaarden</t>
  </si>
  <si>
    <t>coudraysalbert</t>
  </si>
  <si>
    <t>kleinschelken</t>
  </si>
  <si>
    <t>ashbydelazouche</t>
  </si>
  <si>
    <t>drachenfelspfaltz</t>
  </si>
  <si>
    <t>mehunsuryevre</t>
  </si>
  <si>
    <t>fertemilon</t>
  </si>
  <si>
    <t>blandylestours</t>
  </si>
  <si>
    <t>montfortl</t>
  </si>
  <si>
    <t>neufalkenstein</t>
  </si>
  <si>
    <t>largoetenelven</t>
  </si>
  <si>
    <t>neslesendoles</t>
  </si>
  <si>
    <t>Kerkburcht</t>
  </si>
  <si>
    <t>Fortified church</t>
  </si>
  <si>
    <t>Kerkburcht, voldoet niet aan de definitie van kasteel voor de top 100, zie menu &lt;a href="achtergrond.php"&gt;achtergrond&lt;/a&gt;</t>
  </si>
  <si>
    <t>Fortified church, does not comply with the definition of a castle as used by topcastles.com, please refer to the menu &lt;a href="achtergrond.php"&gt;background&lt;/a&gt;.</t>
  </si>
  <si>
    <t>Lipowiec (Babice)</t>
  </si>
  <si>
    <t>lidzbark</t>
  </si>
  <si>
    <t>Sczydlow</t>
  </si>
  <si>
    <t>azaylerideau</t>
  </si>
  <si>
    <t>sangimignano</t>
  </si>
  <si>
    <t>score_total</t>
  </si>
  <si>
    <t>score_country</t>
  </si>
  <si>
    <t>chlemoutsi</t>
  </si>
  <si>
    <t>Citadel of Mycenae</t>
  </si>
  <si>
    <t>Argolis</t>
  </si>
  <si>
    <t>Achaia</t>
  </si>
  <si>
    <t>Karytaina</t>
  </si>
  <si>
    <t>Methoni (Modone Messenia)</t>
  </si>
  <si>
    <t>Troia (Troy Castle)</t>
  </si>
  <si>
    <t>troia</t>
  </si>
  <si>
    <t>Chlemoutzi (Clairmont, Castel Tornese)</t>
  </si>
  <si>
    <t>Levadeia</t>
  </si>
  <si>
    <t>centraal</t>
  </si>
  <si>
    <t>Centraal</t>
  </si>
  <si>
    <t>Patras</t>
  </si>
  <si>
    <t>Servantikar (Savouran Kale, Sarovantari)</t>
  </si>
  <si>
    <t>Diyarbakir Kalesi</t>
  </si>
  <si>
    <t>Urfa Kapi</t>
  </si>
  <si>
    <t>Hosap Kalesi</t>
  </si>
  <si>
    <t>Güzelsu</t>
  </si>
  <si>
    <t>Chastel Rouge (Qal'at Yahmur)</t>
  </si>
  <si>
    <t>Kreta</t>
  </si>
  <si>
    <t>kreta</t>
  </si>
  <si>
    <t>Spinalonga (Kalidonia)</t>
  </si>
  <si>
    <t>rumelihissar</t>
  </si>
  <si>
    <t>rumelikavak</t>
  </si>
  <si>
    <t>Rumeli Hissar</t>
  </si>
  <si>
    <t>Rumeli Kavak</t>
  </si>
  <si>
    <t>region_code</t>
  </si>
  <si>
    <t>leidseburcht</t>
  </si>
  <si>
    <t>http://www.burg-kriebstein.com/</t>
  </si>
  <si>
    <t>Kyrenia (Girne Kalesi)</t>
  </si>
  <si>
    <t>Burg Schlaining (Schlainig)</t>
  </si>
  <si>
    <t>Kollmitz (Kollnitz, Collmiz)</t>
  </si>
  <si>
    <t>Kuusisto (Kuustö)</t>
  </si>
  <si>
    <t>Castillo de Archidona (Sierra de Gracia)</t>
  </si>
  <si>
    <t>Frombork</t>
  </si>
  <si>
    <t xml:space="preserve">Castle and cathedral founded by Henryk Wogenap, owned by bishops of Varmia, Nicolas Copernicus has writen here “de revolutionibus orbium coelestium”, destroyed by Russians during WWII then rebuilt.
</t>
  </si>
  <si>
    <t>Bishop of Varmia: Henryk II Wogenap</t>
  </si>
  <si>
    <t>Knights familly: Swinka (ger. Swyn, schwein)</t>
  </si>
  <si>
    <t xml:space="preserve">Castle built by Silesian knights, rebuilt in renaissance in 16th century, ruined by Russians in 1726 and fire in 1876, duringWWII it was used as a German war factory
</t>
  </si>
  <si>
    <t>Swiny</t>
  </si>
  <si>
    <t xml:space="preserve">Teutonic castle from 13th century, then owned by Prussian prince, ruined during II north war, by fire in 18th century and Napoleon’s wars, bombed by Russians during World war II, rebuilt in 60’s
 </t>
  </si>
  <si>
    <t>Nidzica</t>
  </si>
  <si>
    <t>Wawel (Cracow, Krolewski)</t>
  </si>
  <si>
    <t>King Boleslaw Chrobry</t>
  </si>
  <si>
    <t>Residence of Polish kings and capitol castle since 1041 to 1596, cathedral with graves of Polish monarches and national heroes, rebuilt in renaissance style in16th century age, currently the biggest polish museum</t>
  </si>
  <si>
    <t>Lidzbark Warminski</t>
  </si>
  <si>
    <t>Lidzbark Warminski (Heilsberg)</t>
  </si>
  <si>
    <t>Bishop Jan I from Meissen and Order of Teutonic Knights</t>
  </si>
  <si>
    <t>Bisschop Jan I van  Meissen enOrde van Teutonische Ridders</t>
  </si>
  <si>
    <t>Bishop’s castle used by Teutons, after 1466 in Polish borders used by bishop’s of Warmia, in 17th century bishop Stefan Wydzga built palace next to castle.</t>
  </si>
  <si>
    <t>Dobrzyn (Golub)</t>
  </si>
  <si>
    <t>Rheinpfalz Hardenburg</t>
  </si>
  <si>
    <t>Château d'Haut-Koenigsbourg (Hohkönigsburg)</t>
  </si>
  <si>
    <t>Tannenburg</t>
  </si>
  <si>
    <t>Nentershausen</t>
  </si>
  <si>
    <t>Castello dei Conti Guidi (Poppi)</t>
  </si>
  <si>
    <t>Castello dell'Imperatore (Prato)</t>
  </si>
  <si>
    <t>Cucugnan</t>
  </si>
  <si>
    <t>Beynac et Cazenac</t>
  </si>
  <si>
    <t>Château de Commarque</t>
  </si>
  <si>
    <t>Pontgibaud</t>
  </si>
  <si>
    <t>Château de Dauphin (Pontgibaud)</t>
  </si>
  <si>
    <t>Saint Malo</t>
  </si>
  <si>
    <t>Neufelden</t>
  </si>
  <si>
    <t>Vinschgau</t>
  </si>
  <si>
    <t>Oberösterreich</t>
  </si>
  <si>
    <t>kaernten</t>
  </si>
  <si>
    <t>niederoesterreich</t>
  </si>
  <si>
    <t>oberoesterreich</t>
  </si>
  <si>
    <t>Kaja</t>
  </si>
  <si>
    <t>Nationalpark Thayatal</t>
  </si>
  <si>
    <t>http://castell.alaquas.org</t>
  </si>
  <si>
    <t>Alaquàs</t>
  </si>
  <si>
    <t>El Palau-Castell d'Alaquàs</t>
  </si>
  <si>
    <t>Alcázar de Molina</t>
  </si>
  <si>
    <t>Uzès</t>
  </si>
  <si>
    <t>THe largest tower in the CItadel is Burg al-Muqattam, built in 16th century. It is 24 m in diameter and designed to withstand artillery attacks.</t>
  </si>
  <si>
    <t>Al-Malik al-Nasir Salah al-Din al-Ayyubi (also known as Saladin, r. AD 1169–93).</t>
  </si>
  <si>
    <t>The Citadel of Salah al-Din al-Ayyubi, known also as Citadel of the Mountain (Qala'a al-Jabal), is one of the most important landmarks of Cairo and amongst the most imposing military citadels to be built in the Middle Ages. Having assumed power in Egypt Salah al-Din al-Ayyubi (Saladin) noted that despite its grandeur and vastness Cairo did not have a citadel to protect her like other great cities in the Levant such as Damascus and Aleppo. He therefore began to construct the citadel, ordering construction of its walls, semi-circular towers and its two gates: Bab al-Qarafa and Bab al-Mudarraj. Saladin's son, Al-Malik al-‘Adil (r. AH 596–615 / AD 1200–18) completed the building of the citadel and surrounded some of the towers with outer encasing towers, in order to increase their impregnability, these included three towers: Burg al-Imam, Burg al-Ramla and Burg al-Haddad. He also added two square towers: Burg al-Turfa and Burg al-Karkialan. These works were completed in AH 604 / AD 1207.</t>
  </si>
  <si>
    <t>Castillo de Cox (Castillo de Ayala, Castillo de Santa Bárbara)</t>
  </si>
  <si>
    <t>Şeica Mică (Kleinschelken)</t>
  </si>
  <si>
    <t>Luck (Lutsk, Lubart castle)</t>
  </si>
  <si>
    <t>Transylvanië (Siebenbürgen)</t>
  </si>
  <si>
    <t>Ridder Gotebert van Falkenstein</t>
  </si>
  <si>
    <t>Knight Gotebert of Falkenstein</t>
  </si>
  <si>
    <t>Hofkirchen</t>
  </si>
  <si>
    <t>falkensteinranna</t>
  </si>
  <si>
    <t>falkensteinharz</t>
  </si>
  <si>
    <t>Castillo de Játiva  (Xàtiva)</t>
  </si>
  <si>
    <t>Palacio de Aljafería</t>
  </si>
  <si>
    <t>Beaufort (Belfort, Qala'at ash-Shqif)</t>
  </si>
  <si>
    <t>Tughlaqabad Qila</t>
  </si>
  <si>
    <t>Ranthambhor Fort</t>
  </si>
  <si>
    <t>Baba Vista (Vidin, Widdin)</t>
  </si>
  <si>
    <t>famagusta</t>
  </si>
  <si>
    <t>paphos</t>
  </si>
  <si>
    <t>Fagusta (Magusa)</t>
  </si>
  <si>
    <t>Burg Falkenstein an der Ranna (Hofkirchen)</t>
  </si>
  <si>
    <t>Burg Falkenstein (Harz, Pansfelde)</t>
  </si>
  <si>
    <t>Zabkowice Slaskie</t>
  </si>
  <si>
    <t>Prince Bernard of Swidnica</t>
  </si>
  <si>
    <t>Prins Bernard van Swidnica</t>
  </si>
  <si>
    <t>Castle of Silesian dukes, then king of Czech, destroyed during 17th century warswith Sweden and Austria, finally abandoned in 1728</t>
  </si>
  <si>
    <t>Castle built by teutonic knights, then owned by bishops of Varmia, rebuilt in renaissance style in 16th century, transformed into prison by prussians in 18th century, then destroyed by fire in 1807, restored in 1829 by evangelic county and in 1980 museum and hotel by foundation “Pojezierze”.  </t>
  </si>
  <si>
    <t>Rudno</t>
  </si>
  <si>
    <t>Andrzej Teczynski</t>
  </si>
  <si>
    <t>Castle of knights familly Teczynski, rebuilt in 16th century in renaissance style, since 17th century owned by nobles familly: Lubomirscy, Sieniawscy, Czartoryscy. Destroyed by fire in 1768 then abandoned.</t>
  </si>
  <si>
    <t>Lipowiec Kościelny</t>
  </si>
  <si>
    <t>dolnoslaskie</t>
  </si>
  <si>
    <t>pomorsky</t>
  </si>
  <si>
    <t>Warmian-Masurian (Warminsko-Mazurskie)</t>
  </si>
  <si>
    <t>warminsko</t>
  </si>
  <si>
    <t>opolskie</t>
  </si>
  <si>
    <t>Opolskie (Silesia Superior, Oberschlesien)</t>
  </si>
  <si>
    <t>Dolnoslaskie (Silesia Inferior, Nederschlesien)</t>
  </si>
  <si>
    <t>Pomorsky (Pomerania, Pommern)</t>
  </si>
  <si>
    <t>Malopolskie (Lesser Poland)</t>
  </si>
  <si>
    <t>malopolskie</t>
  </si>
  <si>
    <t>Warminsko-Mazursky (Masuria)</t>
  </si>
  <si>
    <t>Kujawksko-Pomorskie</t>
  </si>
  <si>
    <t>kujawsko</t>
  </si>
  <si>
    <t>Lubelskie (Lublin)</t>
  </si>
  <si>
    <t>lubelskie</t>
  </si>
  <si>
    <t>Lublin</t>
  </si>
  <si>
    <t>Gniew</t>
  </si>
  <si>
    <t>Mirow</t>
  </si>
  <si>
    <t>Ojcow</t>
  </si>
  <si>
    <t>Darlowo</t>
  </si>
  <si>
    <t>Szymbark</t>
  </si>
  <si>
    <t>Zachodnio-Pomorskie</t>
  </si>
  <si>
    <t>zachodnio</t>
  </si>
  <si>
    <t>Ostschweiz</t>
  </si>
  <si>
    <t>ostschweiz</t>
  </si>
  <si>
    <t>Genfersee</t>
  </si>
  <si>
    <t>genfersee</t>
  </si>
  <si>
    <t>Aigle (Waadt)</t>
  </si>
  <si>
    <t>Tessin</t>
  </si>
  <si>
    <t>tessin</t>
  </si>
  <si>
    <t>nordwestschweiz</t>
  </si>
  <si>
    <t>Nordwestschweiz</t>
  </si>
  <si>
    <t>Mittelland</t>
  </si>
  <si>
    <t>mittelland</t>
  </si>
  <si>
    <t>Haldenstein</t>
  </si>
  <si>
    <t>Castello Visconteo (Locarno)</t>
  </si>
  <si>
    <t>Burg Sprechenstein (Castel Pietra)</t>
  </si>
  <si>
    <t>Château de la Bâtiaz</t>
  </si>
  <si>
    <t>Château de Romont</t>
  </si>
  <si>
    <t>Skutari (Shkodra)</t>
  </si>
  <si>
    <t>Shkodra</t>
  </si>
  <si>
    <t>shkodra</t>
  </si>
  <si>
    <t>Castello Svevo (Termoli)</t>
  </si>
  <si>
    <t>Trakai Island Castle (Trakų Salos Pilis, Troky)</t>
  </si>
  <si>
    <t>Haut-Andlau (Hohandlau)</t>
  </si>
  <si>
    <t>plzen</t>
  </si>
  <si>
    <t>Vyborg</t>
  </si>
  <si>
    <t>Vyborg Slott (Wiborg)</t>
  </si>
  <si>
    <t>Akkar el-Atika</t>
  </si>
  <si>
    <t>Muhriz ibn Akkar</t>
  </si>
  <si>
    <t>fontanellato</t>
  </si>
  <si>
    <t>Hugo I Embriaco van Giblet</t>
  </si>
  <si>
    <t>Hugo I Embriaco of Giblet</t>
  </si>
  <si>
    <t>Tripoli</t>
  </si>
  <si>
    <t>tripoli</t>
  </si>
  <si>
    <t>Byblos</t>
  </si>
  <si>
    <t>Gibelet (Byblos, Djebail, Gubla)</t>
  </si>
  <si>
    <t>Braslovče (Fraßlau)</t>
  </si>
  <si>
    <t>Štajerska (Untersteiermark, Lower Styria)</t>
  </si>
  <si>
    <t>stajerska</t>
  </si>
  <si>
    <t>Grad Hmeljnik (Hopfenbach)</t>
  </si>
  <si>
    <t>Koporýe (Kaprio)</t>
  </si>
  <si>
    <t>Rosenkrantzturm, Håkonshalle</t>
  </si>
  <si>
    <t>Tours de Merle</t>
  </si>
  <si>
    <t>Podčetrtek</t>
  </si>
  <si>
    <t>Castillo de Villarejo de Salvanés</t>
  </si>
  <si>
    <t>Sigulda (Segewold)</t>
  </si>
  <si>
    <t>Chocim (Khotyn)</t>
  </si>
  <si>
    <t>Turaida (Treiden)</t>
  </si>
  <si>
    <t>Dur-Sharrukin (Khorsabad, Sargon)</t>
  </si>
  <si>
    <t xml:space="preserve">Pawlowo </t>
  </si>
  <si>
    <t>Schloss Biedenegg (Bidenegg, Bideneck)</t>
  </si>
  <si>
    <t>Hawick (Borders)</t>
  </si>
  <si>
    <t>Rocca Flea (Gualdo Tadino)</t>
  </si>
  <si>
    <t>Rectangular or polygonal</t>
  </si>
  <si>
    <t>Rechthoekig of veelhoekig</t>
  </si>
  <si>
    <t>www.nationaltrust.org.uk/bodiamcastle/</t>
  </si>
  <si>
    <t>Toren of compact kasteel</t>
  </si>
  <si>
    <t>Tower or compact castle</t>
  </si>
  <si>
    <t>http://www.feelmadrid.com/manzanarescastle.html</t>
  </si>
  <si>
    <t>Castillo de los Mendoza (Castillo nuevo de Manzanares el Real)</t>
  </si>
  <si>
    <t>http://www.ville-aigues-mortes.fr/</t>
  </si>
  <si>
    <t>http://www.coburger-geschichte.de</t>
  </si>
  <si>
    <t>http://www.chateauaigle.ch/</t>
  </si>
  <si>
    <t>http://www.swisscastles.ch/Tessin/bellinzonacastelgrande.html</t>
  </si>
  <si>
    <t>http://www.hrad-pernstejn.cz/</t>
  </si>
  <si>
    <t>De Byzantijnen bouwden hier in de 10e eeuw een eerste verdedigingsconstructie. In het begin van de 12e eeuw - tijdens de Kruistochten - werd de burcht ingenomen door de kruisridders en verder uitgebouwd. In 1188 werd het kasteel veroverd door Saladin en het bleef daarna in moslimhanden. Saladin en zijn opvolgers, de Ajjoebiden, breidden het kasteel opnieuw verder uit.</t>
  </si>
  <si>
    <t xml:space="preserve"> Opvallend is de 28 m diepe gracht die in de rotsen rondom de burcht werd uitgehouwen, vermoedelijk door de Byzantijnen. Deze gracht is 156 m lang en 14 tot 20 m breed en heeft een 28 m hoge “naald” bedoeld om de ophaalbrug te ondersteunen. Deze “naald” wordt gevormd door een stuk “niet weggenomen rots”.</t>
  </si>
  <si>
    <t>One of the most magnificent features of the fortress is the 28 m deep ditch, which was cut into living rock probably by the Byzantines (it might have been completed by the Crusaders). This ditch, which runs 156 meters along the east side, is 14 to 20 meters wide and has a lonely 28 m high needle to support the drawbridge.</t>
  </si>
  <si>
    <t>http://www.akdn.org/publications/hcp_syria_brief2.pdf</t>
  </si>
  <si>
    <t>Bo Jonsson Grip</t>
  </si>
  <si>
    <t xml:space="preserve"> A fortress was built at the location around 1380 by Bo Jonsson Grip, and belonged to his family until the confiscation of mansions and castles by King Gustav I in 1526. The King tore it down, and built a fortified castle with circular corner towers and a wall, for defensive purposes. Of the original medieval fortress, only the façade of a wall remains.</t>
  </si>
  <si>
    <t>De bouw van het kasteel werd begonnen door Bo Jonsson Grip, naar wie het kasteel dan ook genoemd is (Zweeds: holme = klein eiland, grip = griffioen). Grip was een grootgrondbezitter die in zijn tijd meer land bezat dan de Zweedse koning.
Na de dood van Grip kwam het kasteel in handen van Margaretha I van Denemarken, die het kasteel verpandde aan een Duitse graaf. Die stelde een voogd aan om het kasteel en de omliggende landerijen te besturen.
Tijdens de Engelbrekt-opstand werd het kasteel in brand gestoken en grotendeels verwoest. Het werd echter weer opgebouwd en kwam aan het einde van de 15e eeuw in bezit van de Zweedse regent Sten Sture de Oudere.
Na zijn kroning nam Gustaaf I het kasteel in bezit. Hij brak het bijna in zijn geheel af en bouwde een nieuw kasteel. De bouw zou jaren duren en zelfs doorgaan onder de regering van Erik XIV van Zweden, Gustaafs opvolger.</t>
  </si>
  <si>
    <t>http://www.werbeka.com/vasteras/griphlme.htm</t>
  </si>
  <si>
    <t>Op de plaats waar de rivieren Moskva en Neglinnaja samenkomen, liet de Russische vorst Joerij Dolgoroekij in 1156 een houten fort (kremlin) bouwen. Al snel groeide deze verdedigingspost uit tot een bloeiende stad. De ommuring van het Kremlin was aanvankelijk van hout en werd in 1367 vervangen door muren van witte natuursteen, vooral om de stad te beschermen tegen de Mongolen.</t>
  </si>
  <si>
    <t>Until the 14th century, the site was known as the grad of Moscow. The word "kremlin" was first recorded in 1331 and its etymology is disputed (see Max Vasmer online (Russian)). The grad was greatly extended by Prince Yuri Dolgorukiy in 1156, destroyed by the Mongols in 1237 and rebuilt in oak in 1339.</t>
  </si>
  <si>
    <t>Koning Manuel I van Portugal</t>
  </si>
  <si>
    <t>King Manuel I of Portugal</t>
  </si>
  <si>
    <t>Koning James II van Aragon</t>
  </si>
  <si>
    <t>King James II of Aragon</t>
  </si>
  <si>
    <t xml:space="preserve">pawlowo </t>
  </si>
  <si>
    <t>Biedenegg (Oberinntal)</t>
  </si>
  <si>
    <t>Pays de la Loire</t>
  </si>
  <si>
    <t>Northern Ireland</t>
  </si>
  <si>
    <t>British isles, United Kingdom</t>
  </si>
  <si>
    <t>Britse Eilanden, Verenigd Koninkrijk</t>
  </si>
  <si>
    <t>Noord-Ierland</t>
  </si>
  <si>
    <t>Republic of Ireland</t>
  </si>
  <si>
    <t>mezbohemia</t>
  </si>
  <si>
    <t>Krivoklát (Ravoknik)</t>
  </si>
  <si>
    <t>sudmoravia</t>
  </si>
  <si>
    <t>Nedvedice (Brno)</t>
  </si>
  <si>
    <t>Zvikov Hrad (Klingenberg)</t>
  </si>
  <si>
    <t>sudbohemia</t>
  </si>
  <si>
    <t>Chebský Hrad (Burg Eger)</t>
  </si>
  <si>
    <t>Cheb (Karlsbad)</t>
  </si>
  <si>
    <t>karlovy_vary</t>
  </si>
  <si>
    <t>To¢nik (Beroun)</t>
  </si>
  <si>
    <t>Tábor</t>
  </si>
  <si>
    <t>Rabí (Klatovy)</t>
  </si>
  <si>
    <t>http://www.rabi.cz/</t>
  </si>
  <si>
    <t>Wenzel IV</t>
  </si>
  <si>
    <t>Premysl Otakar II</t>
  </si>
  <si>
    <t>De Kotnov toren is meest in het oog springende restant van het kasteel.</t>
  </si>
  <si>
    <t xml:space="preserve"> Major parts of the ancient fortifications and the ancient Kotnov tower and gate of Bechyně near the tower still exist.</t>
  </si>
  <si>
    <t>http://www.tocnik.com</t>
  </si>
  <si>
    <t>Markgraaf  Diepold II</t>
  </si>
  <si>
    <t>Count Diepold II</t>
  </si>
  <si>
    <t>Wenzel I</t>
  </si>
  <si>
    <t>liberec</t>
  </si>
  <si>
    <t>http://hrad-kost.cz/en</t>
  </si>
  <si>
    <t>Beneš von Wartenberg</t>
  </si>
  <si>
    <t>hradec_kralove</t>
  </si>
  <si>
    <t>Libosovice (nabij Podkost, Jičín district)</t>
  </si>
  <si>
    <t>http://hrady.dejiny.cz/tyrov/index.htm</t>
  </si>
  <si>
    <t>Wenceslas I</t>
  </si>
  <si>
    <t>Hrad Týrov (Angerbach)</t>
  </si>
  <si>
    <t>Český Krumlov Castle is unusually large for a town of Krumlov's size; within the Czech Republic it is second in extent only to the Hradčany castle complex of Prague. Inside its grounds are a large garden, an extensive bridge over a deep gap in the rock upon which the castle is built and the castle itself, which in turn consist of many defined parts dating from different periods of time.</t>
  </si>
  <si>
    <t>http://www.castle.ckrumlov.cz</t>
  </si>
  <si>
    <t>http://www.hradsvihov.cz/</t>
  </si>
  <si>
    <t>Hrad Švihov (Schwihau)</t>
  </si>
  <si>
    <t>usti_nad_labem</t>
  </si>
  <si>
    <t>Hrad Házmburk (Klapý, Hassenburg, Zajícuv Hhrad)</t>
  </si>
  <si>
    <t>Velhartice (Welhartitz)</t>
  </si>
  <si>
    <t>Velhartice</t>
  </si>
  <si>
    <t>Ceský Šternberk (Sternberg)</t>
  </si>
  <si>
    <t>Zdeslav z Divišova</t>
  </si>
  <si>
    <t>http://www.hradceskysternberk.cz</t>
  </si>
  <si>
    <t>Házmburk</t>
  </si>
  <si>
    <t>Švihov</t>
  </si>
  <si>
    <t>Týrov</t>
  </si>
  <si>
    <t>Bezdez</t>
  </si>
  <si>
    <t>Zvikov</t>
  </si>
  <si>
    <t>Karlstejn</t>
  </si>
  <si>
    <t>Kalich Hrad (Litomerice)</t>
  </si>
  <si>
    <t>Lestkov</t>
  </si>
  <si>
    <t>Herren von Egerberg</t>
  </si>
  <si>
    <t>Egerberk (Lestkov)</t>
  </si>
  <si>
    <t>Sloup (Skalni 'Hrad a poustevna, Bürgstein, Birkštejn)</t>
  </si>
  <si>
    <t>Sloup v Čechách (Bürgstein)</t>
  </si>
  <si>
    <t>http://www.hradsloup.cz/</t>
  </si>
  <si>
    <t>Bytóv Hrad (Bütow, Burg Vöttau)</t>
  </si>
  <si>
    <t>Bechyné</t>
  </si>
  <si>
    <t>Johann von Luxemburg</t>
  </si>
  <si>
    <t>http://www.hradstrekov.cz/</t>
  </si>
  <si>
    <t>Strekov</t>
  </si>
  <si>
    <t>Kokorín</t>
  </si>
  <si>
    <t>Hukvaldy Hrad (Hochwald)</t>
  </si>
  <si>
    <t>Hukvaldy</t>
  </si>
  <si>
    <t>Litomerice</t>
  </si>
  <si>
    <t>Sloup</t>
  </si>
  <si>
    <t>moravia-silezia</t>
  </si>
  <si>
    <t>Úštěk</t>
  </si>
  <si>
    <t>pardubice</t>
  </si>
  <si>
    <t>Staré Hradiště</t>
  </si>
  <si>
    <t>Kašperské Hory</t>
  </si>
  <si>
    <t>Hradište Hory Tábor (Kotnov)</t>
  </si>
  <si>
    <t>Karlovy Vary (Karlsbad)</t>
  </si>
  <si>
    <t>Jiho Ceský (Südböhmen)</t>
  </si>
  <si>
    <t>Liberec (Reichenberg)</t>
  </si>
  <si>
    <t>Moravia Slezský (Mährisch-Schlesien)</t>
  </si>
  <si>
    <t>Pardubice</t>
  </si>
  <si>
    <t>Plzen (Pilsen)</t>
  </si>
  <si>
    <t>Stredo Ceský (Mittelböhmen)</t>
  </si>
  <si>
    <t>Ústi nad Labem (Aussig)</t>
  </si>
  <si>
    <t>Jiho Moravia (Südmährien)</t>
  </si>
  <si>
    <t>Hradeck Králové (Königgrätz)</t>
  </si>
  <si>
    <t>Koning Knoet I van Zweden</t>
  </si>
  <si>
    <t>King Knoet I of Sweden</t>
  </si>
  <si>
    <t>Sydsverige (South Sweden)</t>
  </si>
  <si>
    <t>Kalmar (Skåne)</t>
  </si>
  <si>
    <t>sydsverige</t>
  </si>
  <si>
    <t>Östra Mellansverige (East Middle Sweden)</t>
  </si>
  <si>
    <t>ostra_mellansverige</t>
  </si>
  <si>
    <t>Mariefred (Södermanland)</t>
  </si>
  <si>
    <t>Pallas (Skåne)</t>
  </si>
  <si>
    <t>Kållandsö (Skåne)</t>
  </si>
  <si>
    <t>Helsingborg (Skåne)</t>
  </si>
  <si>
    <t>Simrishamn (Skåne)</t>
  </si>
  <si>
    <t>Glimmingehus, located in Simrishamn Municipality, Skåne County in southern Sweden, is the best preserved medieval castle in Scandinavia. It was built 1499-1506, during an era when Scania formed a vital part of Denmark, and contains many defensive arrangements of the era, such as parapets, false doors and dead-end corridors, 'murder-holes' for pouring boiling pitch over the attackers, moats, drawbridges and various other forms of death traps to surprise trespassers and protect the nobles against peasant uprisings. The lower part of the castle's stone walls are 2.4 meters (94 inches) thick and the upper part 1.8 meters (71 inches).</t>
  </si>
  <si>
    <t>Deense admiraal Jens Holgerson Ulfstand</t>
  </si>
  <si>
    <t>In de staat van eind 13e eeuw was Kalmar slott omgeven van een onregelmatige ringmuur. Voor een betere verdediging liet Magnus I van Zweden een omringde muur met vier torens rondom het oorspronkelijke verdedigingsbouwwerk bouwen. Eerst werd een donjon aan de zeezijde gebouwd en deze werd ondersteund door twee massieve ronde torens (naar Frans-Duits model). Twee vierkante torens beschermden de toegangsweg bij de poort. Gustaaf Wasa en zijn zonen bouwden het kasteel verder uit. Gustaaf veranderde de burcht drastisch. De oude donjon bleef behouden. De bijbehorende gebouwen werden paleisachtig ver- of gebouwd. Buiten de omringde muur bouwde hij een nederige maar massievere stenen- en aarden wallen bastion die als verdediging met en tegen het, in die tijd nieuw opkomende, artillerie diende.</t>
  </si>
  <si>
    <t>Located near the site of Kalmar's medieval harbor, it has played a crucial part in Swedish history since its initial construction as a fortified tower in the 12th century. King Magnus Ladulås ordered the construction of a fortress around the tower in the 1280s, and was further expanded in the centuries that followed.
One of the most significant political events in Scandinavia took place at Kalmar Castle in 1397, when the Kalmar Union was formed - a union of Denmark, Norway and Sweden, organized by Queen Margaret I of Denmark. During the Swedish rebellion against Denmark in 1520, the fortress was commanded by Anna Eriksdotter.
The fortress was improved during the 16th century under the direction of King Gustav I and his sons Eric XIV and John III, who turned the medieval fortress into a castle fit for a renaissance king. Today, it is one of Sweden's best preserved renaissance castles and is open to the public.</t>
  </si>
  <si>
    <t>Kärnan (Helsingborg)</t>
  </si>
  <si>
    <t>Kärnan (Swedish) or Kernen (Danish, both meaning The Core), is a medieval tower in Helsingborg, Scania, in southern Sweden. It is the only part remaining of a larger Danish fortress which, along with the fortress Kronborg on the opposite of Øresund, controlled the entranceway to the Baltic Sea.</t>
  </si>
  <si>
    <t>Svedala (Skåne)</t>
  </si>
  <si>
    <t>Visborg Slott</t>
  </si>
  <si>
    <t>Visby (Gotland)</t>
  </si>
  <si>
    <t>Småland</t>
  </si>
  <si>
    <t>smaland</t>
  </si>
  <si>
    <t>Eric van Pomerren, Koning van Noorwegen, Denemarken en Zweden</t>
  </si>
  <si>
    <t>Eric of Pomerania, king of Sweden, Denmark and Norway</t>
  </si>
  <si>
    <t xml:space="preserve"> Tomelilla (Skåne)</t>
  </si>
  <si>
    <t>Axel Eskilssen</t>
  </si>
  <si>
    <t>Österlen (Skåne)</t>
  </si>
  <si>
    <t>Skurup (Skåne)</t>
  </si>
  <si>
    <t>Danish knight and royal advisor Mourids Jepsen Sparre</t>
  </si>
  <si>
    <t>Original murder-holes in the oldest castle walls are still preserved.</t>
  </si>
  <si>
    <t>http://www.svaneholms-slott.se/</t>
  </si>
  <si>
    <t>Svalöv (Skåne)</t>
  </si>
  <si>
    <t>http://www.trolleholmsslott.se/</t>
  </si>
  <si>
    <t>Tage Ottesen Thott till Näs</t>
  </si>
  <si>
    <t>Jens Brahe</t>
  </si>
  <si>
    <t>http://www.lackoslott.se/</t>
  </si>
  <si>
    <t>Brynolf Algotsson, Bishop of Skara</t>
  </si>
  <si>
    <t>Gustav Vasas son Magnus</t>
  </si>
  <si>
    <t>http://www.vadstenadirect.se/</t>
  </si>
  <si>
    <t>Torpa Stenhus</t>
  </si>
  <si>
    <t>http://www.torpastenhus.se/english/</t>
  </si>
  <si>
    <t>Västsverige (West Sweden)</t>
  </si>
  <si>
    <t>vastsverige</t>
  </si>
  <si>
    <t>Tranemo (Västergötland)</t>
  </si>
  <si>
    <t>Arvid Knutsson</t>
  </si>
  <si>
    <t>Borgeby Slott</t>
  </si>
  <si>
    <t>Tosterup Slott</t>
  </si>
  <si>
    <t>Vadstena Slott</t>
  </si>
  <si>
    <t>Örebro Slott</t>
  </si>
  <si>
    <t>Hans Spiegel</t>
  </si>
  <si>
    <t>http://www.borgebyslott.com/</t>
  </si>
  <si>
    <t>Bohus Fästning</t>
  </si>
  <si>
    <t>Kungalv (Bohuslän)</t>
  </si>
  <si>
    <t>King Haakon V Magnuson of Norway</t>
  </si>
  <si>
    <t>Koning Haakon V Magnuson van Noorwegen</t>
  </si>
  <si>
    <t>Bohus Fortress (also Baahus or Båhus, originally: Bagahus) lies along the old Norwegian - Swedish border in Kungälv, Bohuslän, Sweden, north east from Hisingen where the Göta river splits into two branches (20 kilometres north of Gothenburg). It commands its surroundings from a 40 meter high cliff, with the river forming a natural moat about it.
According to Kavli, “by 1310 records show it was constructed, as normal for that period, out of granite and brick, perhaps under the guidance of Count Jacob of Halland. By 1450 it included a continuous surrounding wall, 3 meter thick at the base, with a height which varied from 8.5 to 13.5 meters, varying with the terrain. It was approximately rectangular, with four rectangular corner towers. At the eastern end there was a brick tower, and in the center of the west side a gate house and drawbridge. Along the inside of the surrounding wall buildings were located which among other things included the "Kings hall," the castle commander’s residence, the chapel, the guardroom, the barracks and the kitchen. The fortress had secure vaulted positions, partly cut into the mountain, and beyond that strong outer-works. At the time Båhus was Norway's strongest fortress. The approaches were very difficult and the area to be defended was small, only 250 x 150 meters, so it did not require a large defensive force.</t>
  </si>
  <si>
    <t>Het fort werd in 1308 gebouwd door Haakon V van Noorwegen om de zuidgrens van Noorwegen te beschermen tegen Zweden. Magnus Eriksson hield er later zijn hof. 
Het centrale deel van het fort heeft een trapezoïde vorm, met op de vier hoeken een toren. Rondom dit centrale deel bevind zich een tweede muur met puntige bastions.</t>
  </si>
  <si>
    <t>The castle is mostly known for the ghastly Nyköping Banquet which took place here in 1317. The Nyköping banquet was king Birger of Sweden's Christmas celebration December 11, 1317 at the Nyköping Castle. Among the guests were his two brothers Duke Valdemar and Duke Eric, who later that night were imprisoned and starved to death in the dungeon of Nyköping Castle.</t>
  </si>
  <si>
    <t>Nyköping Kasteel is vooral bekend om het gruwelijke "Nyköping Banquet" dat hier plaatsvond in 1317. Op dit banket vierde koning Birger I van Zweden 's Kerst op het Kasteel Nyköping. Onder de gasten waren zijn twee broers Duke Valdemar en hertog Eric , die later die nacht werden opgesloten en uitgehongerd tot de dood in de kerker van het kasteel van Nyköping.</t>
  </si>
  <si>
    <t>Nyköping (Södermanland)</t>
  </si>
  <si>
    <t>Uexkull (Ikškile)</t>
  </si>
  <si>
    <t>luynes</t>
  </si>
  <si>
    <t>Château de Luynes</t>
  </si>
  <si>
    <t>Luynes (Indre-et-Loire)</t>
  </si>
  <si>
    <t>ani</t>
  </si>
  <si>
    <t>arco</t>
  </si>
  <si>
    <t>Armenië</t>
  </si>
  <si>
    <t>dalkeith</t>
  </si>
  <si>
    <t>falkenberg</t>
  </si>
  <si>
    <t>falkensteinniederoesterreich</t>
  </si>
  <si>
    <t>feira</t>
  </si>
  <si>
    <t>ijsselstein</t>
  </si>
  <si>
    <t>kilchurn</t>
  </si>
  <si>
    <t>kleve</t>
  </si>
  <si>
    <t>kolossi</t>
  </si>
  <si>
    <t>lanhoso</t>
  </si>
  <si>
    <t>loket</t>
  </si>
  <si>
    <t>masyaf</t>
  </si>
  <si>
    <t>melfi</t>
  </si>
  <si>
    <t>oxford</t>
  </si>
  <si>
    <t>polignac</t>
  </si>
  <si>
    <t>pombal</t>
  </si>
  <si>
    <t>portodemos</t>
  </si>
  <si>
    <t>roetteln</t>
  </si>
  <si>
    <t>ross</t>
  </si>
  <si>
    <t>sabugal</t>
  </si>
  <si>
    <t>tiflis</t>
  </si>
  <si>
    <t>tighina</t>
  </si>
  <si>
    <t>trosky</t>
  </si>
  <si>
    <t>Dalkey</t>
  </si>
  <si>
    <t>prag</t>
  </si>
  <si>
    <t>deva</t>
  </si>
  <si>
    <t>tortosa</t>
  </si>
  <si>
    <t>aledo</t>
  </si>
  <si>
    <t>Bedzin (Bentschin)</t>
  </si>
  <si>
    <t>Thessalonica (Beyaz Kule, Thessaloniki, Selonica)</t>
  </si>
  <si>
    <t>bodonitza</t>
  </si>
  <si>
    <t>budatin</t>
  </si>
  <si>
    <t>detreko</t>
  </si>
  <si>
    <t>Detrekö</t>
  </si>
  <si>
    <t>evora</t>
  </si>
  <si>
    <t>grobnik</t>
  </si>
  <si>
    <t>gyula</t>
  </si>
  <si>
    <t>transylvania</t>
  </si>
  <si>
    <t>maglic</t>
  </si>
  <si>
    <t>Servië</t>
  </si>
  <si>
    <t>maqueda</t>
  </si>
  <si>
    <t>naupaktos</t>
  </si>
  <si>
    <t>Naupaktos (Lepanto)</t>
  </si>
  <si>
    <t>nauplia</t>
  </si>
  <si>
    <t>nehaj</t>
  </si>
  <si>
    <t>ochrid</t>
  </si>
  <si>
    <t>Ochrid (Ohrid)</t>
  </si>
  <si>
    <t>penela</t>
  </si>
  <si>
    <t>ribnik</t>
  </si>
  <si>
    <t>burgos</t>
  </si>
  <si>
    <t>samobor</t>
  </si>
  <si>
    <t>sisak</t>
  </si>
  <si>
    <t>Sisak (Sissek)</t>
  </si>
  <si>
    <t>Dalmatia</t>
  </si>
  <si>
    <t>szigliget</t>
  </si>
  <si>
    <t>trani</t>
  </si>
  <si>
    <t>Turnu Severin</t>
  </si>
  <si>
    <t>velikikalnik</t>
  </si>
  <si>
    <t>velikitabor</t>
  </si>
  <si>
    <t>Veliki Tabor</t>
  </si>
  <si>
    <t>Vidtskövle Slott</t>
  </si>
  <si>
    <t>Serbia</t>
  </si>
  <si>
    <t>kyburg</t>
  </si>
  <si>
    <t>boymont</t>
  </si>
  <si>
    <t>emmerberg</t>
  </si>
  <si>
    <t>glopper</t>
  </si>
  <si>
    <t>hermannstein</t>
  </si>
  <si>
    <t>wetzlar</t>
  </si>
  <si>
    <t>hohlandsberg</t>
  </si>
  <si>
    <t>hohlenfels</t>
  </si>
  <si>
    <t>lenzburg</t>
  </si>
  <si>
    <t>lutzelburg</t>
  </si>
  <si>
    <t>madenburg</t>
  </si>
  <si>
    <t>mammertshofen</t>
  </si>
  <si>
    <t>marschlins</t>
  </si>
  <si>
    <t>istria</t>
  </si>
  <si>
    <t>neuleiningen</t>
  </si>
  <si>
    <t>neuscharfeneck</t>
  </si>
  <si>
    <t>petersberg</t>
  </si>
  <si>
    <t>raabs</t>
  </si>
  <si>
    <t>rapperswyl</t>
  </si>
  <si>
    <t>rauhenstein</t>
  </si>
  <si>
    <t>rodeneck</t>
  </si>
  <si>
    <t>rosenburg</t>
  </si>
  <si>
    <t>saalburg</t>
  </si>
  <si>
    <t>schachenstein</t>
  </si>
  <si>
    <t>thomasberg</t>
  </si>
  <si>
    <t>verres</t>
  </si>
  <si>
    <t>Castello de Verrés</t>
  </si>
  <si>
    <t>Kasteel Horst (Rode)</t>
  </si>
  <si>
    <t>Raabs an der Thaya</t>
  </si>
  <si>
    <t>Schachenstein (Schachenturm bei Scheifling)</t>
  </si>
  <si>
    <t>Hrad Kašperk (Karlsberg)</t>
  </si>
  <si>
    <t>Petersberg bei Friesach</t>
  </si>
  <si>
    <t>strakonice</t>
  </si>
  <si>
    <t>calascio</t>
  </si>
  <si>
    <t>Narikala (Tbilisi, Tiflis)</t>
  </si>
  <si>
    <t>Georgia</t>
  </si>
  <si>
    <t>Castel Boymont (Boimont)</t>
  </si>
  <si>
    <t>cachtice</t>
  </si>
  <si>
    <t>reifenstein</t>
  </si>
  <si>
    <t>kelling</t>
  </si>
  <si>
    <t>Câlnic (Alba)</t>
  </si>
  <si>
    <t>Burg Kelling (Cilnic)</t>
  </si>
  <si>
    <t>Ceský Krumlov (Krumlovski Zamek, Dívčí Kámen)</t>
  </si>
  <si>
    <t>dobra</t>
  </si>
  <si>
    <t>Trnava</t>
  </si>
  <si>
    <t>trnava</t>
  </si>
  <si>
    <t>Dobra Voda (Guttenstein)</t>
  </si>
  <si>
    <t>herodium</t>
  </si>
  <si>
    <t>Herodium</t>
  </si>
  <si>
    <t>masada</t>
  </si>
  <si>
    <t>Masada</t>
  </si>
  <si>
    <t>Koning Herodes de Grote (73 v.Chr. – Jericho, 4 v.Chr.)</t>
  </si>
  <si>
    <t>antonia</t>
  </si>
  <si>
    <t>Antonia</t>
  </si>
  <si>
    <t>Jericho</t>
  </si>
  <si>
    <t>King Herod the Great (74 BC - 4 BC)</t>
  </si>
  <si>
    <t>Eckartsberga</t>
  </si>
  <si>
    <t>Château de Fère-en-Tardenois</t>
  </si>
  <si>
    <t>hainburg</t>
  </si>
  <si>
    <t>Burg Hainburg</t>
  </si>
  <si>
    <t>Hainburg an der Dona</t>
  </si>
  <si>
    <t>ham</t>
  </si>
  <si>
    <t>Vleuten</t>
  </si>
  <si>
    <t>Ridderhofstad den Ham</t>
  </si>
  <si>
    <t>Het voor het eerst in een oorkonde uit 1325 vermeldde kasteel is in eerste instantie als woontoren gebouwd. Later werden er vleugels aan toegevoegd. In 1536 erkende de Staten van Utrecht het gebouw als ridderhofstad, de bewoners werden dan tot de Ridderschap toegelaten. In 1872 zijn de vleugels afgebroken. De 27,5 meter hoge toren is privé-bezit en is dan ook niet te bezichtigen.</t>
  </si>
  <si>
    <t>helfstejn</t>
  </si>
  <si>
    <t>olomouc</t>
  </si>
  <si>
    <t>Olomouc</t>
  </si>
  <si>
    <t>Týn nad Bečvou</t>
  </si>
  <si>
    <t>Ridder Friduš von Linavy</t>
  </si>
  <si>
    <t>Knight Friduš von Linavy</t>
  </si>
  <si>
    <t>www.helfstyn.cz</t>
  </si>
  <si>
    <t>Hrad Helfstejn (Helfenštejn, Helfinstain)</t>
  </si>
  <si>
    <t>konopiste</t>
  </si>
  <si>
    <t>Hrad Konopiste</t>
  </si>
  <si>
    <t>http://www.zamek-konopiste.cz/</t>
  </si>
  <si>
    <t>Benešov</t>
  </si>
  <si>
    <t>Het kasteel is beroemd geworden als de laatste verblijfplaats van aartshertog Franz Ferdinand van Oostenrijk , de erfgenaam van de Oostenrijks-Hongaarse troon, waarvan de moord in Sarajevo leverde de Eerste Wereldoorlog .</t>
  </si>
  <si>
    <t>The castle has become famous as the last residence of Archduke Franz Ferdinand of Austria , heir of the Austro-Hungarian throne, whose assassination in Sarajevo triggered World War I</t>
  </si>
  <si>
    <t>Arensburg (Kuressaare)</t>
  </si>
  <si>
    <t>landsee</t>
  </si>
  <si>
    <t>Burg Landsee</t>
  </si>
  <si>
    <t>Graaf Ekbert III</t>
  </si>
  <si>
    <t>Count Ekbert III</t>
  </si>
  <si>
    <t>landstejn</t>
  </si>
  <si>
    <t>http://www.hrad-landstejn.eu/en/</t>
  </si>
  <si>
    <t>Hrad Landštejn</t>
  </si>
  <si>
    <t>Lipnice nad Sázavou</t>
  </si>
  <si>
    <t>Hrad Lipnice nad Sázavou (Lipnitz)</t>
  </si>
  <si>
    <t>vysocina</t>
  </si>
  <si>
    <t>lipnice</t>
  </si>
  <si>
    <t>Keizer Barbarossa</t>
  </si>
  <si>
    <t>Emperor Barbarossa</t>
  </si>
  <si>
    <t>Burg Nanstein (Landstuhl)</t>
  </si>
  <si>
    <t>nanstein</t>
  </si>
  <si>
    <t>brancaleone</t>
  </si>
  <si>
    <t>Brancaleone (Ravenna)</t>
  </si>
  <si>
    <t>siklos</t>
  </si>
  <si>
    <t>vischering</t>
  </si>
  <si>
    <t>Burg Vischering</t>
  </si>
  <si>
    <t>Bishop Gerhard von der Mark</t>
  </si>
  <si>
    <t>Bischop Gerhard von der Mark</t>
  </si>
  <si>
    <t>http://www.burgvischering.luedinghausen.de</t>
  </si>
  <si>
    <t>Hermannstein (Hermannstadt)</t>
  </si>
  <si>
    <t>Rocca Brancaleone (Ravenna)</t>
  </si>
  <si>
    <t>Rocca Calascio</t>
  </si>
  <si>
    <t>Shlisselburg (Krepkyj Oreshek)</t>
  </si>
  <si>
    <t>shlisselburg</t>
  </si>
  <si>
    <t>Castelo de Lanhoso</t>
  </si>
  <si>
    <t>Póvoa de Lanhoso</t>
  </si>
  <si>
    <t>Koning Wenceslas I</t>
  </si>
  <si>
    <t>King Wenceslas I</t>
  </si>
  <si>
    <t>http://www.hradloket.cz/</t>
  </si>
  <si>
    <t>Masyaf</t>
  </si>
  <si>
    <t>Sinan</t>
  </si>
  <si>
    <t>Castello di Arco</t>
  </si>
  <si>
    <t>Ross Castle (Caisleán an Rois, O'Donoghue Castle)</t>
  </si>
  <si>
    <t>Lough Leane</t>
  </si>
  <si>
    <t>kerry</t>
  </si>
  <si>
    <t>Kerry</t>
  </si>
  <si>
    <t>Moldavië</t>
  </si>
  <si>
    <t>Bender (Citatea Tighina)</t>
  </si>
  <si>
    <t>Moldova</t>
  </si>
  <si>
    <t>Albert, aartsbischop van Riga, Orde van Teutonische Ridders</t>
  </si>
  <si>
    <t>Albert, archibishop of Riga, Order of Teutonic Knights</t>
  </si>
  <si>
    <t>Paphos (Castle of Forty Columns)</t>
  </si>
  <si>
    <t>Georgië</t>
  </si>
  <si>
    <t>Tbilisi</t>
  </si>
  <si>
    <t>Château de Polignac</t>
  </si>
  <si>
    <t>Prazsky Hrad</t>
  </si>
  <si>
    <t>Praha</t>
  </si>
  <si>
    <t>prago</t>
  </si>
  <si>
    <t>Rovensko pod Troskami</t>
  </si>
  <si>
    <t>Hrad Strakonice (Strakonitz)</t>
  </si>
  <si>
    <t>Hrad Trosky</t>
  </si>
  <si>
    <t>Vysočina (Hochland)</t>
  </si>
  <si>
    <t>Hlavní město Praha</t>
  </si>
  <si>
    <t>Oost Europa, Heilige Roomse Rijk, Kruistochten</t>
  </si>
  <si>
    <t>Eastern Europe, Holy Roman Empire, Crusades</t>
  </si>
  <si>
    <t>Oxford Castle</t>
  </si>
  <si>
    <t>loo</t>
  </si>
  <si>
    <t>Kasteel Het Oude Loo</t>
  </si>
  <si>
    <t>waardenburg</t>
  </si>
  <si>
    <t>Ijsselstein</t>
  </si>
  <si>
    <t>Apeldoorn</t>
  </si>
  <si>
    <t>Waardenburg</t>
  </si>
  <si>
    <t>Only the "Burgtor" tower and barbican remains of the town castle.</t>
  </si>
  <si>
    <t>Van het oorspronkelijke stadskasteel zijn alleen de "Burgtor" (toren en de voorburcht) over.</t>
  </si>
  <si>
    <t>http://www.burgschaenke-neuleiningen.de/</t>
  </si>
  <si>
    <t>Burg Neuleiningen</t>
  </si>
  <si>
    <t>Burg Falkenberg</t>
  </si>
  <si>
    <t>Hrad Loket Burg Elbogen an der Eger, Elnbogen)</t>
  </si>
  <si>
    <t>Sie Saalburg</t>
  </si>
  <si>
    <t>Burg Glopper (Neu-Ems)</t>
  </si>
  <si>
    <t>Hohenems</t>
  </si>
  <si>
    <t>http://www.burg-hohlenfels.de</t>
  </si>
  <si>
    <t>Madenburg</t>
  </si>
  <si>
    <t>Burg Neuscharfeneck</t>
  </si>
  <si>
    <t>Burg Hohlenfels</t>
  </si>
  <si>
    <t>Burg Röteln</t>
  </si>
  <si>
    <t>eckartsburg</t>
  </si>
  <si>
    <t>Eckartsburg (Eckartsberga)</t>
  </si>
  <si>
    <t>Falkenberg</t>
  </si>
  <si>
    <t>http://www.forum-falkenberg.de/</t>
  </si>
  <si>
    <t>Ružica Grad (Orahovica)</t>
  </si>
  <si>
    <t>ruzica</t>
  </si>
  <si>
    <t>armenia</t>
  </si>
  <si>
    <t>Kars</t>
  </si>
  <si>
    <t>http://www.virtualani.org/citadel/index.htm</t>
  </si>
  <si>
    <t>At the southern end of Ani the ground rises up to form a flat-topped hill. This part of Ani is known as the "Inner Fortress" (Midjnaberd in Armenian), or simply as the "citadel". As well as having natural defences of steep cliffs on three sides, the citadel was encircled by a single line of ramparts. This wall had towers on its north facing section, and an entrance gateway at its north-western corner.</t>
  </si>
  <si>
    <t>Citadel of Ani (Palace of the Bagratids)</t>
  </si>
  <si>
    <t>A thousand years ago Ani was the  capital of an Armenian kingdom that covered much of present day Armenia and eastern Turkey.</t>
  </si>
  <si>
    <t>Kolossi (Kastro tou Kolossiou)</t>
  </si>
  <si>
    <t>Limassol</t>
  </si>
  <si>
    <t>Genovevaburg</t>
  </si>
  <si>
    <t>genoveva</t>
  </si>
  <si>
    <t>runkel</t>
  </si>
  <si>
    <t>Burg Runkel (an der Lahn)</t>
  </si>
  <si>
    <t>Runkel an der Lahn</t>
  </si>
  <si>
    <t>montealegre</t>
  </si>
  <si>
    <t>jadraque</t>
  </si>
  <si>
    <t>berlanga</t>
  </si>
  <si>
    <t>iruela</t>
  </si>
  <si>
    <t>molinaaragon</t>
  </si>
  <si>
    <t>Castillo de Berlanga de Duero</t>
  </si>
  <si>
    <t>Castillo de La Iruela</t>
  </si>
  <si>
    <t>Castillo de Montealegre</t>
  </si>
  <si>
    <t>sadaba</t>
  </si>
  <si>
    <t>mombeltran</t>
  </si>
  <si>
    <t>Castillo de La Sádaba</t>
  </si>
  <si>
    <t>Castillo de Mombeltrán</t>
  </si>
  <si>
    <t>(Valladolid)</t>
  </si>
  <si>
    <t>(Granada)</t>
  </si>
  <si>
    <t>moya</t>
  </si>
  <si>
    <t>Castillo de Moya</t>
  </si>
  <si>
    <t>atienza</t>
  </si>
  <si>
    <t>Castillo de Atienza</t>
  </si>
  <si>
    <t>Castillo de la Mota (Medina del Campo)</t>
  </si>
  <si>
    <t>ampudia</t>
  </si>
  <si>
    <t>Castillo de Ampudia</t>
  </si>
  <si>
    <t>belvis</t>
  </si>
  <si>
    <t>Castillo de Belvís de Monroy</t>
  </si>
  <si>
    <t>zafra</t>
  </si>
  <si>
    <t>Ampudia (Palencia)</t>
  </si>
  <si>
    <t>Belvís de Monroy (Cáceres)</t>
  </si>
  <si>
    <t>Aledo</t>
  </si>
  <si>
    <t>Castillo de Aledo</t>
  </si>
  <si>
    <t>Castillo de Maqueda</t>
  </si>
  <si>
    <t>Maqueda (Toledo)</t>
  </si>
  <si>
    <t>Tortosa (Tarragona)</t>
  </si>
  <si>
    <t>Palacio de los Duques de Feria (Zafra)</t>
  </si>
  <si>
    <t>Zafra (Badajoz)</t>
  </si>
  <si>
    <t>Sádaba (Zaragoza)</t>
  </si>
  <si>
    <t>Turégano (Segovia)</t>
  </si>
  <si>
    <t>Montemayor del Rio (Jaén)</t>
  </si>
  <si>
    <t>Molina de Aragón(Guadalajara)</t>
  </si>
  <si>
    <t>Jadraque (Guadalajara)</t>
  </si>
  <si>
    <t>Atienza (Guadalajara)</t>
  </si>
  <si>
    <t>Moya (Cuenca)</t>
  </si>
  <si>
    <t>Mombeltrán (Ávila)</t>
  </si>
  <si>
    <t>Játiva</t>
  </si>
  <si>
    <t>Olite</t>
  </si>
  <si>
    <t>Javier</t>
  </si>
  <si>
    <t>Ulldecona</t>
  </si>
  <si>
    <t>Burg Taufers (Sandner Schloß)</t>
  </si>
  <si>
    <t>somlo</t>
  </si>
  <si>
    <t>Várpalota</t>
  </si>
  <si>
    <t>varpalota</t>
  </si>
  <si>
    <t>tata</t>
  </si>
  <si>
    <t>Tata</t>
  </si>
  <si>
    <t>simontornya</t>
  </si>
  <si>
    <t>Simontornya</t>
  </si>
  <si>
    <t>esztergom</t>
  </si>
  <si>
    <t>boldogko</t>
  </si>
  <si>
    <t>fuzer</t>
  </si>
  <si>
    <t>Füzér</t>
  </si>
  <si>
    <t>kisvarda</t>
  </si>
  <si>
    <t>Kisvárda</t>
  </si>
  <si>
    <t>eszakmagyar</t>
  </si>
  <si>
    <t>eszakalfold</t>
  </si>
  <si>
    <t>delalfold</t>
  </si>
  <si>
    <t>Észak Magyaroszág (Northern Hungary)</t>
  </si>
  <si>
    <t>Közép Magyarország (Central Hungary)</t>
  </si>
  <si>
    <t>Dél Alföld (Southern Great Plain)</t>
  </si>
  <si>
    <t>Észak Alföld (Northern Great Plain)</t>
  </si>
  <si>
    <t>kozep</t>
  </si>
  <si>
    <t>kozepmagyar</t>
  </si>
  <si>
    <t>Közép Dunántúl (Central Transdanubia)</t>
  </si>
  <si>
    <t>kozepdunan</t>
  </si>
  <si>
    <t>Nyugat Dunántúl (Western Transdanubia)</t>
  </si>
  <si>
    <t>nyugatdunan</t>
  </si>
  <si>
    <t>Dél Dunántúl (Southern Transdanubia)</t>
  </si>
  <si>
    <t>deldunan</t>
  </si>
  <si>
    <t>The original 13th-century castle was developed between the 15th and 17th centuries and given Romantic additions in the 19th century. Recent restoration work helps to conjure up the atmosphere of the border castles</t>
  </si>
  <si>
    <t>Baron Jakab Cseszneky</t>
  </si>
  <si>
    <t>Csesznek (Veszprém)</t>
  </si>
  <si>
    <t>Esztergom (Komárom-Esztergom)</t>
  </si>
  <si>
    <t>Siroki vár árnyékában</t>
  </si>
  <si>
    <t>Gyula</t>
  </si>
  <si>
    <t>Tokaj vár</t>
  </si>
  <si>
    <t>Visegrád vár (Plintenburg)</t>
  </si>
  <si>
    <t>Sümegi vár</t>
  </si>
  <si>
    <t>Siklósi vár</t>
  </si>
  <si>
    <t>Hollókõ vár</t>
  </si>
  <si>
    <t>http://www.sumegvar.hu/</t>
  </si>
  <si>
    <t>Croatia</t>
  </si>
  <si>
    <t>ilok</t>
  </si>
  <si>
    <t>Kisvárdai vár</t>
  </si>
  <si>
    <t>Ilok</t>
  </si>
  <si>
    <t>Salgó vára</t>
  </si>
  <si>
    <t>Kinizsi-vár (Nagyvázsony)</t>
  </si>
  <si>
    <t>Cseszneki vár (Zeßnegg)</t>
  </si>
  <si>
    <t>Diósgyõri vár</t>
  </si>
  <si>
    <t>Somlói vár (Doba)</t>
  </si>
  <si>
    <t>Doba</t>
  </si>
  <si>
    <t>Esztergomi vár (Gran)</t>
  </si>
  <si>
    <t>Füzéri vár</t>
  </si>
  <si>
    <t>Gyulai vár</t>
  </si>
  <si>
    <t>Pataki vár (Sárospatak, Rákóczi)</t>
  </si>
  <si>
    <t>Sárospatak</t>
  </si>
  <si>
    <t>Várpalotai vár</t>
  </si>
  <si>
    <t>Szigligeti vár</t>
  </si>
  <si>
    <t>Szigliget</t>
  </si>
  <si>
    <t>Siklós</t>
  </si>
  <si>
    <t>Simontornyai vár</t>
  </si>
  <si>
    <t>Visegrád</t>
  </si>
  <si>
    <t>somosko</t>
  </si>
  <si>
    <t>koszeg</t>
  </si>
  <si>
    <t>kisnana</t>
  </si>
  <si>
    <t>Kisnánai vár</t>
  </si>
  <si>
    <t>Kisnána</t>
  </si>
  <si>
    <t>csokako</t>
  </si>
  <si>
    <t>csobanc</t>
  </si>
  <si>
    <t>Csobánc (Veszprém)</t>
  </si>
  <si>
    <t>Tatai vár (Dotis)</t>
  </si>
  <si>
    <t>carlisle</t>
  </si>
  <si>
    <t>Carlisle Castle</t>
  </si>
  <si>
    <t>Cardiff</t>
  </si>
  <si>
    <t>coch</t>
  </si>
  <si>
    <t>Castle Stalker</t>
  </si>
  <si>
    <t>cawdor</t>
  </si>
  <si>
    <t>Cawdor Castle</t>
  </si>
  <si>
    <t>duart</t>
  </si>
  <si>
    <t>Duart Castle</t>
  </si>
  <si>
    <t>Craignure (Argyll &amp; Bute)</t>
  </si>
  <si>
    <t>huntingtower</t>
  </si>
  <si>
    <t>huntly</t>
  </si>
  <si>
    <t>Huntley (Aberdeenshire)</t>
  </si>
  <si>
    <t>Kilchurn Castle</t>
  </si>
  <si>
    <t>laugharne</t>
  </si>
  <si>
    <t>Laugharne (Carmarthensire)</t>
  </si>
  <si>
    <t>lincoln</t>
  </si>
  <si>
    <t>Lincoln Castle</t>
  </si>
  <si>
    <t>Lincoln (Lincolnshire)</t>
  </si>
  <si>
    <t>skipton</t>
  </si>
  <si>
    <t>Skipton Castle</t>
  </si>
  <si>
    <t>Skipton (North Yorkshire)</t>
  </si>
  <si>
    <t>De Waardenburg</t>
  </si>
  <si>
    <t>Castelo de Pombal</t>
  </si>
  <si>
    <t>Castelo de Feira</t>
  </si>
  <si>
    <t>Castelo de Penéla (Penella)</t>
  </si>
  <si>
    <t>Castelo de Porto de Mos</t>
  </si>
  <si>
    <t>Castelo de Palmela</t>
  </si>
  <si>
    <t>Castelo de Obidos</t>
  </si>
  <si>
    <t>Castelo de Evora-Monte</t>
  </si>
  <si>
    <t>Burg Raabs</t>
  </si>
  <si>
    <t>Maglic</t>
  </si>
  <si>
    <t>Thomasberg</t>
  </si>
  <si>
    <t>Burg Rauhenstein</t>
  </si>
  <si>
    <t>Castello di Melfi</t>
  </si>
  <si>
    <t>Burg Falkenstein (NO)</t>
  </si>
  <si>
    <t>Kasteel Keverberg (Motte van Kessel)</t>
  </si>
  <si>
    <t>Kasteel het Valkhof (Pfalz Nymwegen)</t>
  </si>
  <si>
    <t>westerlo</t>
  </si>
  <si>
    <t>chimay</t>
  </si>
  <si>
    <t>rixensart</t>
  </si>
  <si>
    <t>jehay</t>
  </si>
  <si>
    <t>rumbeke</t>
  </si>
  <si>
    <t>leefdaal</t>
  </si>
  <si>
    <t>oberranna</t>
  </si>
  <si>
    <t>Burg Oberranna</t>
  </si>
  <si>
    <t>hardegg</t>
  </si>
  <si>
    <t>Burg Hardegg</t>
  </si>
  <si>
    <t>rabenstein</t>
  </si>
  <si>
    <t>strechau</t>
  </si>
  <si>
    <t>Burg Strechau</t>
  </si>
  <si>
    <t>strassburg</t>
  </si>
  <si>
    <t>tratzberg</t>
  </si>
  <si>
    <t>friedberg</t>
  </si>
  <si>
    <t>landecktirol</t>
  </si>
  <si>
    <t>Burg Schwanau</t>
  </si>
  <si>
    <t>murten</t>
  </si>
  <si>
    <t>Burg Murten</t>
  </si>
  <si>
    <t>estavayer</t>
  </si>
  <si>
    <t>lucens</t>
  </si>
  <si>
    <t>neuenburg</t>
  </si>
  <si>
    <t>champvent</t>
  </si>
  <si>
    <t>Burg Champvent</t>
  </si>
  <si>
    <t>zwingen</t>
  </si>
  <si>
    <t>Burg Zwingen</t>
  </si>
  <si>
    <t>pfeffingen</t>
  </si>
  <si>
    <t>Burg Pfeffingen</t>
  </si>
  <si>
    <t>laupen</t>
  </si>
  <si>
    <t>Burg Laupen</t>
  </si>
  <si>
    <t>grasburg</t>
  </si>
  <si>
    <t>burgdorf</t>
  </si>
  <si>
    <t>Die Aarburg</t>
  </si>
  <si>
    <t>lemberg</t>
  </si>
  <si>
    <t>rifnik</t>
  </si>
  <si>
    <t>mokrice</t>
  </si>
  <si>
    <t>kamen</t>
  </si>
  <si>
    <t>sneznik</t>
  </si>
  <si>
    <t>prem</t>
  </si>
  <si>
    <t>vipava</t>
  </si>
  <si>
    <t>vipavskikriz</t>
  </si>
  <si>
    <t>rihemberk</t>
  </si>
  <si>
    <t>Gorenjsko</t>
  </si>
  <si>
    <t>gorenjsko</t>
  </si>
  <si>
    <t>Notranjsko</t>
  </si>
  <si>
    <t>notranjsko</t>
  </si>
  <si>
    <t>Gorisko und die Brda</t>
  </si>
  <si>
    <t>gorisko</t>
  </si>
  <si>
    <t>Kocevsko und die Bela Krajina</t>
  </si>
  <si>
    <t>krocevsko</t>
  </si>
  <si>
    <t>Zasavje und Posavje</t>
  </si>
  <si>
    <t>zasavje</t>
  </si>
  <si>
    <t>Krka</t>
  </si>
  <si>
    <t>krka</t>
  </si>
  <si>
    <t>Burg Kufstein (Geroldseck)</t>
  </si>
  <si>
    <t>Branik</t>
  </si>
  <si>
    <t>Grad Rihemberk (Richenberg, Branik)</t>
  </si>
  <si>
    <t>Château de Chimay</t>
  </si>
  <si>
    <t>Kasteel Leefdaal</t>
  </si>
  <si>
    <t>Conway Castle (Conwy)</t>
  </si>
  <si>
    <t>Caernarfon Castle (Caernarvon)</t>
  </si>
  <si>
    <t>Middleham Castle</t>
  </si>
  <si>
    <t>chirk</t>
  </si>
  <si>
    <t>dinefwr</t>
  </si>
  <si>
    <t>grosmont</t>
  </si>
  <si>
    <t>powis</t>
  </si>
  <si>
    <t>Schloss Thun (Zähringen-Kyburg)</t>
  </si>
  <si>
    <t>ronneburg</t>
  </si>
  <si>
    <t>breuburg</t>
  </si>
  <si>
    <t>narva</t>
  </si>
  <si>
    <t>Burg Ronneburg (Raneberg, Roneberg)</t>
  </si>
  <si>
    <t>Kasteel IJsselstein</t>
  </si>
  <si>
    <t>Breuberg (Odenwald)</t>
  </si>
  <si>
    <t>jemeppe</t>
  </si>
  <si>
    <t>Leefdaal</t>
  </si>
  <si>
    <t>Jehay</t>
  </si>
  <si>
    <t>Rixenhart</t>
  </si>
  <si>
    <t>Waals Brabant</t>
  </si>
  <si>
    <t>wallon</t>
  </si>
  <si>
    <t>Kasteel Merode (Westerlo)</t>
  </si>
  <si>
    <t>Westerlo</t>
  </si>
  <si>
    <t>Chimay</t>
  </si>
  <si>
    <t>Rumbeke</t>
  </si>
  <si>
    <t>Kasteel van Rumbeke</t>
  </si>
  <si>
    <t>Powis Castle</t>
  </si>
  <si>
    <t xml:space="preserve"> Robert FitzHamon</t>
  </si>
  <si>
    <t>http://www.cardiffcastle.com</t>
  </si>
  <si>
    <t>Robert III, hertog van Normandië werd hier door zijn jongere broer, koning Hendrik I gevangengehouden van 1106 tot hij stierf, in 1134.</t>
  </si>
  <si>
    <t>Cardiff Castle werd gebouwd voor Robert FitzHamon in 1091, op de restanten van het voorgaande Romeinse fort (en ook gebruikmakend van enige van de muren die nog overeind stonden). Het grootste deel van dit Cardiff Castle werd opgetrokken uit hout, in de gebruikelijke motte-en-bailey stijl. De schoonzoon van Robert Fitzhamon, Robert van Gloucester herbouwde het kasteel in steen, inclusief de twaalfzijdige slottoren die heden ten dage nog zichtbaar is.
n het begin van de 19e eeuw werd het kasteel vergroot en aangepast aan de Neogotische stijl voor John Crichton-Stuart, 2e markies van Bute, door architect Henry Holland. De grootste transformatie begon echter in 1868 toen de 3e markies aan architect William Burges opdracht gaf tot een grootse herbouw, dat het kasteel veranderde in een 19e eeuwse fantasie van een middeleeuws paleis.</t>
  </si>
  <si>
    <t>The Norman keep was built on a high motte on the site of a Roman castra, first uncovered during the third Marquess of Bute's building campaign. The Norman keep, of which the shell remains, was constructed about 1091 by Robert Fitzhamon, lord of Gloucester and conqueror of Glamorgan. 
In the early 19th century the castle was enlarged and refashioned in an early Gothic Revival style for John Crichton-Stuart, 2nd Marquess of Bute by Henry Holland. But its transformation began in 1868 when 3rd Marquess of Bute commissioned William Burges to undertake a massive rebuilding which turned the castle into a 19th century fantasy of a medieval palace, with a series of rooms that, perhaps, constitute the highest achievement of later Victorian Gothic Revival design.</t>
  </si>
  <si>
    <t>thurandt</t>
  </si>
  <si>
    <t>Burg Thurandt</t>
  </si>
  <si>
    <t>marvao</t>
  </si>
  <si>
    <t>hieron</t>
  </si>
  <si>
    <t>Bodrum (St. Petersburcht, Halikarnassos)</t>
  </si>
  <si>
    <t>Castelo de Marvão</t>
  </si>
  <si>
    <t>Welshpool</t>
  </si>
  <si>
    <t>Burg Wildenberg (Kirchzell)</t>
  </si>
  <si>
    <t>Burg Heinfels (Heimfels, Heunfels)</t>
  </si>
  <si>
    <t>Limerick Castle (King John's Castle)</t>
  </si>
  <si>
    <t>La Fortezza di Sarzanello</t>
  </si>
  <si>
    <t>Alcazar de Sevilla</t>
  </si>
  <si>
    <t>Hämeen linna (Tavestehus slott)</t>
  </si>
  <si>
    <t>Hämeen</t>
  </si>
  <si>
    <t>Ljubljanski grad (Laibach)</t>
  </si>
  <si>
    <t>score_alg</t>
  </si>
  <si>
    <t>Château de Fayrac (Castelnaud-la-Chapelle)</t>
  </si>
  <si>
    <t>Château de Rathsamhausen (Ottrott)</t>
  </si>
  <si>
    <t>Located next to Chateau de Lützelbourg.</t>
  </si>
  <si>
    <t>Ligt naast kasteel Lützelbourg.</t>
  </si>
  <si>
    <t>Ligt naast kasteel Ratsamhausen.</t>
  </si>
  <si>
    <t>Located next to Chateau de Ratsamhausen.</t>
  </si>
  <si>
    <t>Lützelbourg (Lützelstein, Ottrott)</t>
  </si>
  <si>
    <t>Polignac (Auvergne)</t>
  </si>
  <si>
    <t>Château Saint-Ulrich (Gross Rapoltstein, Grand Ribeaupierre)</t>
  </si>
  <si>
    <t>Ribeauvillé</t>
  </si>
  <si>
    <t>Castello di Ussel</t>
  </si>
  <si>
    <t>Castello di Hocheppan</t>
  </si>
  <si>
    <t>Castello di Prösels</t>
  </si>
  <si>
    <t>Castello di Trostburg (Sublavio)</t>
  </si>
  <si>
    <t>Castello di Sigmundskron</t>
  </si>
  <si>
    <t>Castel Tasso (Burg Reifenstein)</t>
  </si>
  <si>
    <t>Castello di Maretsch</t>
  </si>
  <si>
    <t>Castello di Vigoleno</t>
  </si>
  <si>
    <t>Castello di Torrechiara</t>
  </si>
  <si>
    <t>Castello di Tirol</t>
  </si>
  <si>
    <t>basilicata</t>
  </si>
  <si>
    <t>Basilicata (Lucania)</t>
  </si>
  <si>
    <t>Melfi</t>
  </si>
  <si>
    <t>Veneto (Venetia)</t>
  </si>
  <si>
    <t>Trani</t>
  </si>
  <si>
    <t>Zuid Europa, Alpen, Heilige Roomse Rijk</t>
  </si>
  <si>
    <t>South Europe, Alps, Holy Roman Empire</t>
  </si>
  <si>
    <t>Zuid Europa, Heilige Roomse Rijk</t>
  </si>
  <si>
    <t>South Europe, Holy Roman Empire</t>
  </si>
  <si>
    <t>sardegna</t>
  </si>
  <si>
    <t>Sardegna (Sardinia)</t>
  </si>
  <si>
    <t>Alpen</t>
  </si>
  <si>
    <t>Alps</t>
  </si>
  <si>
    <t>Oost Europa, Balkan, Heilige Roomse Rijk</t>
  </si>
  <si>
    <t>Eastern Europe, Balkans, Holy Roman Empire</t>
  </si>
  <si>
    <t>Oxford</t>
  </si>
  <si>
    <t>Baron Robert de Romille</t>
  </si>
  <si>
    <t>http://www.skiptoncastle.co.uk/</t>
  </si>
  <si>
    <t>Narva</t>
  </si>
  <si>
    <t>Grosmont Castle</t>
  </si>
  <si>
    <t>Palais des Rois de Majorque (Perpignan)</t>
  </si>
  <si>
    <t>The castle was first built in 1068 to help William the Conqueror maintain control over the city. It is perched on an ancient volcanic plug, overlaying remains of the Roman city of Isca Dumnoniorum. The castle is named after the red stone found in the hill, and used in the construction of the original buildings, of which only ruins of the gatehouse remain.</t>
  </si>
  <si>
    <t>Het kasteel werd gebouwd in 1068 om te helpen Willem de Veroveraar de controle behouden over de stad. Het is gelegen op een oude vulkanische plug , overlaying overblijfselen van de Romeinse stad van Isca Dumnoniorum . Het kasteel is vernoemd naar de rode steen gevonden in de heuvel, en worden gebruikt in de bouw van de oorspronkelijke gebouwen, waarvan slechts ruïnes van het poortgebouw resteren.</t>
  </si>
  <si>
    <t>Santa Maria de Marvão</t>
  </si>
  <si>
    <t>Portalegre</t>
  </si>
  <si>
    <t>portalegre</t>
  </si>
  <si>
    <t>Les Iffs</t>
  </si>
  <si>
    <t>http://www.chateau-montmuran.com</t>
  </si>
  <si>
    <t>Schloss Straßburg</t>
  </si>
  <si>
    <t>Straßburg</t>
  </si>
  <si>
    <t>Schloss Lenzburg</t>
  </si>
  <si>
    <t>Schloss Aggstein</t>
  </si>
  <si>
    <t>Schloss Heidelberg</t>
  </si>
  <si>
    <t>Schloss Bürresheim</t>
  </si>
  <si>
    <t>Schloss Büdingen</t>
  </si>
  <si>
    <t>Schloss Durnstein</t>
  </si>
  <si>
    <t>Schloss Hallwyl (Hallwill)</t>
  </si>
  <si>
    <t>Schloss Tarasp</t>
  </si>
  <si>
    <t>Schloss Anholt</t>
  </si>
  <si>
    <t>Schloss Borl (Ankenstein)</t>
  </si>
  <si>
    <t>Schloss Hülchrath</t>
  </si>
  <si>
    <t>Schloss Vaduz (Schlossberg)</t>
  </si>
  <si>
    <t>http://www.schlosskyburg.ch</t>
  </si>
  <si>
    <t>http://www.schlossfriedberg.com</t>
  </si>
  <si>
    <t>Count of Andechs</t>
  </si>
  <si>
    <t>Graaf van Andechs</t>
  </si>
  <si>
    <t>Schloss Friedberg (Wittelsbacher Schloss)</t>
  </si>
  <si>
    <t>Volders</t>
  </si>
  <si>
    <t>http://www.salzburg-burgen.at/de/mauterndorf/</t>
  </si>
  <si>
    <t>http://www.rosenburg.at</t>
  </si>
  <si>
    <t>Schloss Rosenburg am Kampf</t>
  </si>
  <si>
    <t>Rosenburg am Kampf</t>
  </si>
  <si>
    <t>Schloss Tratzberg</t>
  </si>
  <si>
    <t>http://www.schloss-tratzberg.at/</t>
  </si>
  <si>
    <t>Schloss Sargans (Sarganz)</t>
  </si>
  <si>
    <t>sargans</t>
  </si>
  <si>
    <t>Kyburg (Kanton Zürich)</t>
  </si>
  <si>
    <t>Mesocco ((Kanton Graubünden)</t>
  </si>
  <si>
    <t>Dornach ((Kanton Solothurn)</t>
  </si>
  <si>
    <t>Stein am Rhein ((Kanton Staffhausen)</t>
  </si>
  <si>
    <t>Locarno ((Kanton Ticino)</t>
  </si>
  <si>
    <t>((Kanton St. Gallen)</t>
  </si>
  <si>
    <t>(Kanton Graubünden)</t>
  </si>
  <si>
    <t>http://schloss-sargans.blogspot.com/</t>
  </si>
  <si>
    <t>Bratislavský hrad (Pressburg)</t>
  </si>
  <si>
    <t>bratislava</t>
  </si>
  <si>
    <t>Freyburg (Unstrut)</t>
  </si>
  <si>
    <t>Schloss von Neuenburg (Freyburg an der Unstrut)</t>
  </si>
  <si>
    <t>Landgraven van Thüringen</t>
  </si>
  <si>
    <t>Counts of Thüringen</t>
  </si>
  <si>
    <t>neuchatel</t>
  </si>
  <si>
    <t>http://www.schloss-neuenburg.de/</t>
  </si>
  <si>
    <t>Lenz (Kanton Graubünden)</t>
  </si>
  <si>
    <t>Tarasp ((Kanton Graubünden)</t>
  </si>
  <si>
    <t>Čachtický hrad (Burg Schächtitz, Csejte vára)</t>
  </si>
  <si>
    <t>Malé Karpaty</t>
  </si>
  <si>
    <t>De Hongaarse gravin Elisabeth Báthory (17 augustus 1560-21 aug. 1614) was een gravin uit de befaamde Báthory familie leefde het grootste deel van haar leven op dit kasteel. Hoewel in de moderne tijd is ze bestempeld als de meest productieve vrouwelijke seriemoordenaar in de geschiedenis, het bewijs van haar vermeende misdaden schaars en haar schuld wordt gedebatteerd. Toch is ze bekend als de "Bloedgravin" en "Gravin Dracula".
Na de man de dood van haar, en vier medewerkers werden ze beschuldigd van het martelen en doden van honderden meisjes en jonge vrouwen, met een getuige aan hen meer dan 600 slachtoffers, hoewel het aantal waarvoor zij werden veroordeeld was 80.Elizabeth was zelf niet aangeklaagd, noch veroordeeld . In 1610 echter, werd ze opgesloten in het kasteel Csejte , waar ze bleef opgesloten tot haar dood vier jaar later. 
Ze is berucht geworden als 's-werelds ergste vrouwelijke seriemoordenaar, en ze zou hebben gebaden in het bloed van de 650 dienstmeisjes nadat ze waren gemarteld en vermoord. Haar reputatie als lesbische vampier en heks en haar schokkende verhaal is al honderden jaren een inspiratiebron voor zowel de gebroeders Grimm, Bram Stoker als gothic-horrorfans wereldwijd.</t>
  </si>
  <si>
    <t xml:space="preserve"> Countess Elizabeth Báthory de Ecsed (17 August 1560 – 21 August 1614) was a countess from the renowned Báthory family. Although in modern times she has been labeled the most prolific female serial killer in history, evidence of her alleged crimes is scant and her guilt is debated. Nevertheless, she is remembered as the "Blood Countess" and as the "Bloody Lady of Čachtice", after the castle near Trencsén (today Trenčín) in the Kingdom of Hungary (today's Slovakia), where she spent most of her adult life.
After her husband's death, she and four collaborators were accused of torturing and killing hundreds of girls and young women, with one witness attributing to them over 600 victims, though the number for which they were convicted was 80. Elizabeth herself was neither tried nor convicted. In 1610, however, she was imprisoned in the Csejte Castle, where she remained bricked in a set of rooms until her death four years later. Reviled as the World's Worst Female Serial Killer, Countess Báthory is said to have bathed in the blood of the 650 servant girls she tortured and murdered. Reputed to be a vampire, lesbian, and witch, her shocking story inspired the Brothers Grimm, Bram Stoker, and gothic horror fans around the world for the past four hundred years.</t>
  </si>
  <si>
    <t>mauterndorf</t>
  </si>
  <si>
    <t>Burg Mauterndorf (Mautendorf)</t>
  </si>
  <si>
    <t>http://www.chateaujosselin.fr</t>
  </si>
  <si>
    <t>Château de Rohan (Pontivy)</t>
  </si>
  <si>
    <t>Schloss Rapperswil (Rapperswyl)</t>
  </si>
  <si>
    <t>Rapperswil( Kantons St. Gallen)</t>
  </si>
  <si>
    <t>Vogt Rudolf von Rapperswil</t>
  </si>
  <si>
    <t>http://www.schloss-restaurant.ch/</t>
  </si>
  <si>
    <t>Gradina Kamerlengo (Trogir, Traú)</t>
  </si>
  <si>
    <t>kamerlengo</t>
  </si>
  <si>
    <t>http://www.burg-breuberg.de/</t>
  </si>
  <si>
    <t>Burg Breuburg (Odenwald)</t>
  </si>
  <si>
    <t>Murten (Canton of Fribourg)</t>
  </si>
  <si>
    <t>Koning Henry I van England</t>
  </si>
  <si>
    <t>gracarjev</t>
  </si>
  <si>
    <t>Grad Gracarjev turn (Feistenberg)</t>
  </si>
  <si>
    <t>Schwanenburg (Kleve)</t>
  </si>
  <si>
    <t>Kleve</t>
  </si>
  <si>
    <t>Het kasteel heeft twee hoofdtorens ("Bergfried")</t>
  </si>
  <si>
    <t>The castle has two donjons ("Bergfried").</t>
  </si>
  <si>
    <t>Pfeffingen (Kanton Basel-Landschaft)</t>
  </si>
  <si>
    <t>Burgdorf (Kanton Bern)</t>
  </si>
  <si>
    <t>Roggwil (Kanton Thurgau)</t>
  </si>
  <si>
    <t>Schloss Mammertshofen</t>
  </si>
  <si>
    <t>Schloss Marschlins</t>
  </si>
  <si>
    <t>Igis (Kanton Graubünden)</t>
  </si>
  <si>
    <t>Ruine Thomasberg</t>
  </si>
  <si>
    <t>Herren von Königsberg</t>
  </si>
  <si>
    <t>Schloss Landeck</t>
  </si>
  <si>
    <t>Landeck (Tiroler Oberland)</t>
  </si>
  <si>
    <t>St. Paul</t>
  </si>
  <si>
    <t>Burg Rabenstein bei Rothleiten</t>
  </si>
  <si>
    <t>http://www.burg-rabenstein.at</t>
  </si>
  <si>
    <t>De ruines van Alt Rabenstein boven de burgt dateren uit de 12de eeuw.</t>
  </si>
  <si>
    <t>The ruins of Old Rabenstein above the castle date from the 12th century.</t>
  </si>
  <si>
    <t>Spišský Hrad (Zips, Scepus)</t>
  </si>
  <si>
    <t>Winzendorf-Muthmannsdorf</t>
  </si>
  <si>
    <t>Burg Emmerberg (Emerberg)</t>
  </si>
  <si>
    <t>tesanj</t>
  </si>
  <si>
    <t>Bosnia</t>
  </si>
  <si>
    <t>Bosnië</t>
  </si>
  <si>
    <t>Tesanj</t>
  </si>
  <si>
    <t>Doboj</t>
  </si>
  <si>
    <t>doboj</t>
  </si>
  <si>
    <t>Srebrenik</t>
  </si>
  <si>
    <t>srebrenik</t>
  </si>
  <si>
    <t>ostrozac</t>
  </si>
  <si>
    <t>http://www.burg-ronneburg.de/</t>
  </si>
  <si>
    <t>Diósgyor</t>
  </si>
  <si>
    <t>Csókako vára</t>
  </si>
  <si>
    <t>Csókako</t>
  </si>
  <si>
    <t>Somosko</t>
  </si>
  <si>
    <t>Koszeg</t>
  </si>
  <si>
    <t>Somoskő vártörténet</t>
  </si>
  <si>
    <t>Buda vára (Ofen)</t>
  </si>
  <si>
    <t>ossana</t>
  </si>
  <si>
    <t>Ossana (Val di Sole)</t>
  </si>
  <si>
    <t>http://www.burg-strechau.at/</t>
  </si>
  <si>
    <t>http://hardegg.museum.com</t>
  </si>
  <si>
    <t>Thörl</t>
  </si>
  <si>
    <t>moosham</t>
  </si>
  <si>
    <t>Schloss Moosham</t>
  </si>
  <si>
    <t>http://www.schloss-moosham.info</t>
  </si>
  <si>
    <t>Schloss Herberstein</t>
  </si>
  <si>
    <t>herberstein</t>
  </si>
  <si>
    <t>Herberstein (Stubenberg)</t>
  </si>
  <si>
    <t>Burg Riegersburg</t>
  </si>
  <si>
    <t>Mühldorf</t>
  </si>
  <si>
    <t>http://www.burg-oberranna.at</t>
  </si>
  <si>
    <t>Momenteel in gebruik als hotel.</t>
  </si>
  <si>
    <t>Currently a hotel.</t>
  </si>
  <si>
    <t>Huntingtower Castle</t>
  </si>
  <si>
    <t>Clan Ruthven</t>
  </si>
  <si>
    <t>Huntly Castle (Strathbogie)</t>
  </si>
  <si>
    <t>Clan Gordon, Earl of Huntly</t>
  </si>
  <si>
    <t>Clan Gordon, Graaf van Huntly</t>
  </si>
  <si>
    <t>A mound in the grounds of the castle is all that remains of an earlier 12th century motte. The 14th century keep is ruined. What remains is the 15th century castle.</t>
  </si>
  <si>
    <t>Van het oorspronkelijke mottekasteel uit de 12de eeuw resteert slechts een  heuvel op het kasteelterrein. Van de 14de eeuwse ridderzaal resteren nog slechts de fundamenten. Het kasteel dat nu resteert is uit de 15de eeuw.</t>
  </si>
  <si>
    <t>The castle is perhaps best known for its literary connection to William Shakespeare's tragedy Macbeth, the title character of which was made Thane of Cawdor. However, the story is highly fictionalised, and the castle itself was built many years after the events of the play.</t>
  </si>
  <si>
    <t>Het kasteel is misschien het best bekend vanwege zijn literaire verbinding met William Shakespeare's tragedie Macbeth. De hoofdpersoon werd edelman van Cawdor gemaakt. Maar het verhaal is sterk geromantiseerd en het kasteel zelf is pas vele jaren na de gebeurtenissen van het stuk gebouwd.</t>
  </si>
  <si>
    <t>http://www.cawdorcastle.com</t>
  </si>
  <si>
    <t>northeastern end of Loch Awe, Oban 29 km (Argyll &amp; Bute)</t>
  </si>
  <si>
    <t>Clan MacLean</t>
  </si>
  <si>
    <t>http://www.duartcastle.com/</t>
  </si>
  <si>
    <t>Grosmont (Monmouthshire)</t>
  </si>
  <si>
    <t>Chirk (Wrexham, Powis)</t>
  </si>
  <si>
    <t>Roger Mortimer, 1st Earl of March</t>
  </si>
  <si>
    <t>Roger Mortimer, 1ste Graaf van March</t>
  </si>
  <si>
    <t>Chirk Castle (Castell d'Y Waun)</t>
  </si>
  <si>
    <t>Dinefwr Castle (Dynevor)</t>
  </si>
  <si>
    <t>Llandeilo (Carmarthenshire)</t>
  </si>
  <si>
    <t>Rhys ap Gruffydd, ruler of Deheubarth from 1155 to 1197</t>
  </si>
  <si>
    <t>Laugharne Castle (Castell Talacharn)</t>
  </si>
  <si>
    <t xml:space="preserve"> Emperor John I Tzimiskes gained control of the place from the Aleppan Hamdanid dynasty, and built the first of its defensive structures. It then fell in the hands of the Crusaders at around the beginning of the 12th century. It is mentioned that in 1119 it was owned by Robert of Saone who was given control of it by Roger, Prince of Antioch. Most of what is evident today was built at this time. The fortress was notable as being one of the few which were not entrusted to the major military orders of the Hospitaller and the Templars. The Crusader walls were breached by the armies of Muslim leader Salah ed-Din in July 1188, and it is from this victory that the castle takes its present name.</t>
  </si>
  <si>
    <t>Stari grad Veliki Kalnik</t>
  </si>
  <si>
    <t>dalmatia</t>
  </si>
  <si>
    <t>Tvrdava Nehaj</t>
  </si>
  <si>
    <t>petrapilosa</t>
  </si>
  <si>
    <t>Istria</t>
  </si>
  <si>
    <t>pazin</t>
  </si>
  <si>
    <t>Gradina Ilock (Újlak)</t>
  </si>
  <si>
    <t>smederevo</t>
  </si>
  <si>
    <t>Smederevo (Semendria)</t>
  </si>
  <si>
    <t>Durad Brankovic</t>
  </si>
  <si>
    <t>Smederevska tvrdava (Semendria)</t>
  </si>
  <si>
    <t>golubac</t>
  </si>
  <si>
    <t>bac</t>
  </si>
  <si>
    <t>Golubac</t>
  </si>
  <si>
    <t>Bac (Vacia)</t>
  </si>
  <si>
    <t>frankopane</t>
  </si>
  <si>
    <t>medved</t>
  </si>
  <si>
    <t>Medvedgrad (Bärenburg)</t>
  </si>
  <si>
    <t>Dvorac Pazin (Mitterburg, Montecuccoli)</t>
  </si>
  <si>
    <t>Kula Nehaj, Nehajgrad</t>
  </si>
  <si>
    <t>Golubački grad</t>
  </si>
  <si>
    <t>novigrad</t>
  </si>
  <si>
    <t>Novigrad</t>
  </si>
  <si>
    <t>Castillo de Jadraque (Castello del Cid)</t>
  </si>
  <si>
    <t>Rodrigo Diaz de Vivar y Mendoza</t>
  </si>
  <si>
    <t>Ethiopia</t>
  </si>
  <si>
    <t>Kaštel Grobnik</t>
  </si>
  <si>
    <t>Kaštel Petrapilosa (Kosmati kastel, Pietropesola)</t>
  </si>
  <si>
    <t>Senj</t>
  </si>
  <si>
    <t>Zagreb</t>
  </si>
  <si>
    <t>zagreb</t>
  </si>
  <si>
    <t>King Ottokar II of Bohemia</t>
  </si>
  <si>
    <t>Koning Ottokar II van Bohemia</t>
  </si>
  <si>
    <t>Stari grad Samobor</t>
  </si>
  <si>
    <t>Ogulin</t>
  </si>
  <si>
    <t>Kaštel Frankopanski (Stari grad Ogulin)</t>
  </si>
  <si>
    <t>Stari grad Ozalj</t>
  </si>
  <si>
    <t>Stari grad Ribnik (Razbor)</t>
  </si>
  <si>
    <t>Karlovac</t>
  </si>
  <si>
    <t>Sarajevo</t>
  </si>
  <si>
    <t>sarajevo</t>
  </si>
  <si>
    <t>tags</t>
  </si>
  <si>
    <t>kuressaare</t>
  </si>
  <si>
    <t>biedenegg</t>
  </si>
  <si>
    <t>bolkow</t>
  </si>
  <si>
    <t>sloup</t>
  </si>
  <si>
    <t>conway</t>
  </si>
  <si>
    <t>dalkey</t>
  </si>
  <si>
    <t>lestkov</t>
  </si>
  <si>
    <t>foix</t>
  </si>
  <si>
    <t>heinfels</t>
  </si>
  <si>
    <t>Heinfels</t>
  </si>
  <si>
    <t>schwanenburg</t>
  </si>
  <si>
    <t>mesocco</t>
  </si>
  <si>
    <t>valkhof</t>
  </si>
  <si>
    <t>rapperswil</t>
  </si>
  <si>
    <t>ottrott</t>
  </si>
  <si>
    <t>sigulda</t>
  </si>
  <si>
    <t>turaida</t>
  </si>
  <si>
    <t>velhartice</t>
  </si>
  <si>
    <t>cesis</t>
  </si>
  <si>
    <t>tower+of+london</t>
  </si>
  <si>
    <t>del+monte</t>
  </si>
  <si>
    <t>segovia+alcazar</t>
  </si>
  <si>
    <t>bruck+lienz</t>
  </si>
  <si>
    <t>wildenberg+kirchzell</t>
  </si>
  <si>
    <t>eilean+donan</t>
  </si>
  <si>
    <t>san+giorgio+mantua</t>
  </si>
  <si>
    <t>frauenburg+steiermark</t>
  </si>
  <si>
    <t>san+marino</t>
  </si>
  <si>
    <t>falkenstein+ranna</t>
  </si>
  <si>
    <t>aalholm+laaland</t>
  </si>
  <si>
    <t>beaufort+luxemburg</t>
  </si>
  <si>
    <t>sao+jorge</t>
  </si>
  <si>
    <t>roche+guyon</t>
  </si>
  <si>
    <t>segura+de+leon</t>
  </si>
  <si>
    <t>montfort+israel</t>
  </si>
  <si>
    <t>golub+dobrzyn</t>
  </si>
  <si>
    <t>hieron+yoros</t>
  </si>
  <si>
    <t>san+leo</t>
  </si>
  <si>
    <t>yilan+kale</t>
  </si>
  <si>
    <t>velika+nedelja</t>
  </si>
  <si>
    <t>glopper+ems</t>
  </si>
  <si>
    <t>falkenstein+harz</t>
  </si>
  <si>
    <t>agadir+casbah</t>
  </si>
  <si>
    <t>klein+schelken</t>
  </si>
  <si>
    <t>chastel+rouge</t>
  </si>
  <si>
    <t>veliki+tabor</t>
  </si>
  <si>
    <t>san+michelle+ossana</t>
  </si>
  <si>
    <t>falkenstein+nieder+&amp;ouml;sterreich</t>
  </si>
  <si>
    <t>achaia+kefalonia</t>
  </si>
  <si>
    <t>vipavski+kriz</t>
  </si>
  <si>
    <t>rumeli+kavak</t>
  </si>
  <si>
    <t>velik+ikalnik</t>
  </si>
  <si>
    <t>montfort+limburg</t>
  </si>
  <si>
    <t>jadraque+cid</t>
  </si>
  <si>
    <t>montalto+dora</t>
  </si>
  <si>
    <t>druyes+fontaines</t>
  </si>
  <si>
    <t>mount+saint+michael</t>
  </si>
  <si>
    <t>montmuran+iffs</t>
  </si>
  <si>
    <t>belvis+monroy</t>
  </si>
  <si>
    <t>pontivy+rohan</t>
  </si>
  <si>
    <t>ani+citadel</t>
  </si>
  <si>
    <t>rumeli+hisari</t>
  </si>
  <si>
    <t>anadoli+hisari</t>
  </si>
  <si>
    <t>haut-k&amp;ouml;ningsbourg</t>
  </si>
  <si>
    <t>aigues-mortes</t>
  </si>
  <si>
    <t>saint-ulrich</t>
  </si>
  <si>
    <t>rudelsburg-an-der-saale</t>
  </si>
  <si>
    <t>ashby-de-la-zouche</t>
  </si>
  <si>
    <t>montreuil-bellay</t>
  </si>
  <si>
    <t>roche-en-ardenne</t>
  </si>
  <si>
    <t>Haut-Andlau</t>
  </si>
  <si>
    <t>blandy-les-tours</t>
  </si>
  <si>
    <t>Kaub</t>
  </si>
  <si>
    <t>(East Lothian)</t>
  </si>
  <si>
    <t>(Kirkcudbrightshire)</t>
  </si>
  <si>
    <t>Vittskövle (Skåne)</t>
  </si>
  <si>
    <t>(Nagyvázsony)</t>
  </si>
  <si>
    <t>(Carmarthenshire)</t>
  </si>
  <si>
    <t>Athlit</t>
  </si>
  <si>
    <t>Montfort</t>
  </si>
  <si>
    <t>(Perth &amp; Kinross)</t>
  </si>
  <si>
    <t>Karlštejn</t>
  </si>
  <si>
    <t>Sant'Angelo</t>
  </si>
  <si>
    <t>Spišský</t>
  </si>
  <si>
    <t>Krivoklát</t>
  </si>
  <si>
    <t>visborg</t>
  </si>
  <si>
    <t>Àlmodóvar</t>
  </si>
  <si>
    <t>cheb</t>
  </si>
  <si>
    <t>Pernštejn</t>
  </si>
  <si>
    <t>Åbo</t>
  </si>
  <si>
    <t>bürresheim</t>
  </si>
  <si>
    <t>büdingen</t>
  </si>
  <si>
    <t>kärnan</t>
  </si>
  <si>
    <t>Étampes</t>
  </si>
  <si>
    <t>Rabí</t>
  </si>
  <si>
    <t>nagyvázsony</t>
  </si>
  <si>
    <t>königstein</t>
  </si>
  <si>
    <t>Túregano</t>
  </si>
  <si>
    <t>Baños+encina</t>
  </si>
  <si>
    <t>Šternberk</t>
  </si>
  <si>
    <t>vélez-blanco</t>
  </si>
  <si>
    <t>beaufort+lebanon</t>
  </si>
  <si>
    <t>plessisbourré</t>
  </si>
  <si>
    <t>vitré</t>
  </si>
  <si>
    <t>Bytóv</t>
  </si>
  <si>
    <t>Oravský</t>
  </si>
  <si>
    <t>quait-bay</t>
  </si>
  <si>
    <t>Lipnice+Sázavou</t>
  </si>
  <si>
    <t>saladin+cairo</t>
  </si>
  <si>
    <t>Montségur</t>
  </si>
  <si>
    <t>Esch-sur-sûr</t>
  </si>
  <si>
    <t>saint+andrews</t>
  </si>
  <si>
    <t>Čachtice</t>
  </si>
  <si>
    <t>brömserburg</t>
  </si>
  <si>
    <t>Predjama</t>
  </si>
  <si>
    <t>loch+leven</t>
  </si>
  <si>
    <t>Vêves</t>
  </si>
  <si>
    <t>helfštejn</t>
  </si>
  <si>
    <t>celje</t>
  </si>
  <si>
    <t>uzès</t>
  </si>
  <si>
    <t>Somoskő</t>
  </si>
  <si>
    <t>molina+aragón</t>
  </si>
  <si>
    <t>hülchrath</t>
  </si>
  <si>
    <t>mombeltrán</t>
  </si>
  <si>
    <t>Rötteln</t>
  </si>
  <si>
    <t>kuusisto</t>
  </si>
  <si>
    <t>sádaba</t>
  </si>
  <si>
    <t>orahovica</t>
  </si>
  <si>
    <t>Orahovica</t>
  </si>
  <si>
    <t>oude+loo</t>
  </si>
  <si>
    <t>berzé</t>
  </si>
  <si>
    <t>tonquédec</t>
  </si>
  <si>
    <t>Castillo de San Juan de la Suda de Tortosa</t>
  </si>
  <si>
    <t>Ruines de Montaigle</t>
  </si>
  <si>
    <t>maps</t>
  </si>
  <si>
    <t>Mühltal</t>
  </si>
  <si>
    <t>yedikule</t>
  </si>
  <si>
    <t>5666332454564023411</t>
  </si>
  <si>
    <t>5562742626742008026</t>
  </si>
  <si>
    <t>5417031941500162822</t>
  </si>
  <si>
    <t>8530392718159601915</t>
  </si>
  <si>
    <t>4199452512069614431</t>
  </si>
  <si>
    <t>2434451820762097620</t>
  </si>
  <si>
    <t>2464156953963587784</t>
  </si>
  <si>
    <t>14362433277072637321</t>
  </si>
  <si>
    <t>5494526086270810380</t>
  </si>
  <si>
    <t>741301259398482667</t>
  </si>
  <si>
    <t>3314463221043878846</t>
  </si>
  <si>
    <t>5146500751697623760</t>
  </si>
  <si>
    <t>17799505289730524532</t>
  </si>
  <si>
    <t>14260356540059595386</t>
  </si>
  <si>
    <t>6372451789096931153</t>
  </si>
  <si>
    <t>14119892690765266210</t>
  </si>
  <si>
    <t>8914438299242954402</t>
  </si>
  <si>
    <t>9183157410819507145</t>
  </si>
  <si>
    <t>6845852612572866143</t>
  </si>
  <si>
    <t>8160786951444061414</t>
  </si>
  <si>
    <t>1025284904394031008</t>
  </si>
  <si>
    <t>13168297013526926651</t>
  </si>
  <si>
    <t>2979592776009511813</t>
  </si>
  <si>
    <t>11914199793875058417</t>
  </si>
  <si>
    <t>17088641599906110771</t>
  </si>
  <si>
    <t>16430062778526573764</t>
  </si>
  <si>
    <t>6018287050297538568</t>
  </si>
  <si>
    <t>16729218762570419659</t>
  </si>
  <si>
    <t>14292497048339631672</t>
  </si>
  <si>
    <t>5393867138272828791</t>
  </si>
  <si>
    <t>18202462460137020579</t>
  </si>
  <si>
    <t>11704780919169352771</t>
  </si>
  <si>
    <t>13809470277671318679</t>
  </si>
  <si>
    <t>17843727821093922499</t>
  </si>
  <si>
    <t>4901500993129965171</t>
  </si>
  <si>
    <t>4487320412858319369</t>
  </si>
  <si>
    <t>10319198974737369767</t>
  </si>
  <si>
    <t>16514290578494605786</t>
  </si>
  <si>
    <t>1541086279549657026</t>
  </si>
  <si>
    <t>9693491192283292107</t>
  </si>
  <si>
    <t>Yedikule Hisari (Golden Gate Castle, Catle of Seven Towers)</t>
  </si>
  <si>
    <t>9787025623597051096</t>
  </si>
  <si>
    <t>9660943846115397191</t>
  </si>
  <si>
    <t>8494673285006761159</t>
  </si>
  <si>
    <t>6302245647581078754</t>
  </si>
  <si>
    <t>http://www.kasteel-ammersoyen.nl</t>
  </si>
  <si>
    <t>14320909128298062268</t>
  </si>
  <si>
    <t>http://www.kasteelduurstede.nl</t>
  </si>
  <si>
    <t>http://www.bilderberg.nl/kasteel-doorwerth/</t>
  </si>
  <si>
    <t>Burcht van Oostvoorne</t>
  </si>
  <si>
    <t>13087568565699253865</t>
  </si>
  <si>
    <t>4090107722772526917</t>
  </si>
  <si>
    <t>10089011473620359755</t>
  </si>
  <si>
    <t>Castel Roncolo (Schloss Runkelstein)</t>
  </si>
  <si>
    <t>17766502916456780253</t>
  </si>
  <si>
    <t>12269863085034129739</t>
  </si>
  <si>
    <t>16904466282591241645</t>
  </si>
  <si>
    <t>1422668021551100983</t>
  </si>
  <si>
    <t>11369639012617027396</t>
  </si>
  <si>
    <t>5674833829580537429</t>
  </si>
  <si>
    <t>3403568592169299214</t>
  </si>
  <si>
    <t>10989163450732438151</t>
  </si>
  <si>
    <t>Kasteel de Borrekens (Vorselaar)</t>
  </si>
  <si>
    <t>18198242706185764313</t>
  </si>
  <si>
    <t>Château de Jehay-Bodegnée</t>
  </si>
  <si>
    <t>8922332972137276886</t>
  </si>
  <si>
    <t>Kasteel Gaasbeek</t>
  </si>
  <si>
    <t>Château d'Ecaussines-Lalaing</t>
  </si>
  <si>
    <t>5257119182340738169</t>
  </si>
  <si>
    <t>ecaussines</t>
  </si>
  <si>
    <t>Kasteel van Groot-Bijgaarden (Château de Grand-Bigard)</t>
  </si>
  <si>
    <t>bigard</t>
  </si>
  <si>
    <t>2364814170400877652</t>
  </si>
  <si>
    <t>Château de la Roche En Ardenne</t>
  </si>
  <si>
    <t>Château de Lavaux-Sainte-Anne</t>
  </si>
  <si>
    <t>Broechem</t>
  </si>
  <si>
    <t>http://inventaris.vioe.be/dibe/relict/13889</t>
  </si>
  <si>
    <t>Château de Carondelet (Crupet)</t>
  </si>
  <si>
    <t>Château de Rixensart</t>
  </si>
  <si>
    <t>Dréhance (Dinant)</t>
  </si>
  <si>
    <t>Hoog boven de rechteroever van de Lesse, voordat deze in de Maas stroomt, staat op een steile rots dit neogotische kasteel. Op dit strategisch punt in de Lesse, een doorwaadbare plaats, werd in de 11de en 12de eeuw reeds een burcht gesignaleerd. Tot viermaal toe werd dit adelaarsnest vanaf het land verwoest. Alleen het 11de-eeuwse donjon is bewaard gebleven. In 1850 kocht Alfred Brugman de ruine en liet het restaureren in een soort Spaans-Vlaamse stijl. In 1930-1932 herbouwde baron Frédérie Brugman het kasteel, nu in Maaslandse stijl.</t>
  </si>
  <si>
    <t>5152759092075520218</t>
  </si>
  <si>
    <t>Château de Jemeppe (Hargimont)</t>
  </si>
  <si>
    <t>8830045717984333648</t>
  </si>
  <si>
    <t>0,501228643274</t>
  </si>
  <si>
    <t>37,383611</t>
  </si>
  <si>
    <t>-5,991111</t>
  </si>
  <si>
    <t>36,238889</t>
  </si>
  <si>
    <t>137,969167</t>
  </si>
  <si>
    <t>35,276389</t>
  </si>
  <si>
    <t>136,251667</t>
  </si>
  <si>
    <t>35,185524</t>
  </si>
  <si>
    <t>136,8987</t>
  </si>
  <si>
    <t>34,07996</t>
  </si>
  <si>
    <t>136,170044</t>
  </si>
  <si>
    <t>32,806063</t>
  </si>
  <si>
    <t>130,705972</t>
  </si>
  <si>
    <t>4349349732344189237</t>
  </si>
  <si>
    <t>http://city.hirosaki.aomori.jp</t>
  </si>
  <si>
    <t>40,591667</t>
  </si>
  <si>
    <t>140,475</t>
  </si>
  <si>
    <t>17161565663193041968</t>
  </si>
  <si>
    <t>9866118772985642639</t>
  </si>
  <si>
    <t>34,227628</t>
  </si>
  <si>
    <t>135,171622</t>
  </si>
  <si>
    <t>17822853242108161441</t>
  </si>
  <si>
    <t>34,775417</t>
  </si>
  <si>
    <t>138,014733</t>
  </si>
  <si>
    <t>Latitude</t>
  </si>
  <si>
    <t>Longitude</t>
  </si>
  <si>
    <t>7269791071261967203</t>
  </si>
  <si>
    <t>5079243085334653466</t>
  </si>
  <si>
    <t>5313028842570833970</t>
  </si>
  <si>
    <t>41,902668</t>
  </si>
  <si>
    <t>13430183142717695716</t>
  </si>
  <si>
    <t>49,196514</t>
  </si>
  <si>
    <t>http://www.castelsantangelo.com</t>
  </si>
  <si>
    <t>6938935285970815609</t>
  </si>
  <si>
    <t>50,271906</t>
  </si>
  <si>
    <t>12042988690133168513</t>
  </si>
  <si>
    <t>http://www.jesoutienslechateaudangers.fr</t>
  </si>
  <si>
    <t>47,470411</t>
  </si>
  <si>
    <t>-0,559139</t>
  </si>
  <si>
    <t>857317020672187266</t>
  </si>
  <si>
    <t>47,324669</t>
  </si>
  <si>
    <t>0,405968</t>
  </si>
  <si>
    <t>7552635138988960609</t>
  </si>
  <si>
    <t>45,737069</t>
  </si>
  <si>
    <t>7,489607</t>
  </si>
  <si>
    <t>12001625146638820552</t>
  </si>
  <si>
    <t>48,999493</t>
  </si>
  <si>
    <t>20,768816</t>
  </si>
  <si>
    <t>3601118162730673673</t>
  </si>
  <si>
    <t>40,838392</t>
  </si>
  <si>
    <t>14,253049</t>
  </si>
  <si>
    <t>10699600800657530292</t>
  </si>
  <si>
    <t>7,765167</t>
  </si>
  <si>
    <t>50,083568</t>
  </si>
  <si>
    <t>7133004997564824679</t>
  </si>
  <si>
    <t>45,4923044421</t>
  </si>
  <si>
    <t>10,6085882694</t>
  </si>
  <si>
    <t>1592109743010696315</t>
  </si>
  <si>
    <t>18,980384</t>
  </si>
  <si>
    <t>47,793741</t>
  </si>
  <si>
    <t>13677860600154138793</t>
  </si>
  <si>
    <t>49,280331</t>
  </si>
  <si>
    <t>1,773847</t>
  </si>
  <si>
    <t>10752463144896183822</t>
  </si>
  <si>
    <t>53,554179</t>
  </si>
  <si>
    <t>-6,788607</t>
  </si>
  <si>
    <t>11423927629282597296</t>
  </si>
  <si>
    <t>55,0037</t>
  </si>
  <si>
    <t>-3,571329</t>
  </si>
  <si>
    <t>5782929205404643771</t>
  </si>
  <si>
    <t>48,313969</t>
  </si>
  <si>
    <t>15,421951</t>
  </si>
  <si>
    <t>41,308793</t>
  </si>
  <si>
    <t>-4,908721</t>
  </si>
  <si>
    <t>50,26362</t>
  </si>
  <si>
    <t>10,98253</t>
  </si>
  <si>
    <t>Veste Coburg</t>
  </si>
  <si>
    <t>8448149817079800998</t>
  </si>
  <si>
    <t>45,439636</t>
  </si>
  <si>
    <t>10,987777</t>
  </si>
  <si>
    <t>13398638177749616052</t>
  </si>
  <si>
    <t>36,840275</t>
  </si>
  <si>
    <t>-2,470744</t>
  </si>
  <si>
    <t>11655866186949159163</t>
  </si>
  <si>
    <t>53,735947</t>
  </si>
  <si>
    <t>5648953979234590620</t>
  </si>
  <si>
    <t>54,713534</t>
  </si>
  <si>
    <t>Saone (Citadel of Salah Ed-Din, Saladin's Burcht)</t>
  </si>
  <si>
    <t>35,595833</t>
  </si>
  <si>
    <t>36,057222</t>
  </si>
  <si>
    <t>6044729965618092898</t>
  </si>
  <si>
    <t>50,037762</t>
  </si>
  <si>
    <t>13,87194</t>
  </si>
  <si>
    <t>43,568467</t>
  </si>
  <si>
    <t>57,643041</t>
  </si>
  <si>
    <t>18,298422</t>
  </si>
  <si>
    <t>11510249056114477076</t>
  </si>
  <si>
    <t>55,501161</t>
  </si>
  <si>
    <t>14,230621</t>
  </si>
  <si>
    <t>41,706289</t>
  </si>
  <si>
    <t>-4,767364</t>
  </si>
  <si>
    <t>1575713911307802494</t>
  </si>
  <si>
    <t>42,325556</t>
  </si>
  <si>
    <t>-0,611944</t>
  </si>
  <si>
    <t>2869650531612818303</t>
  </si>
  <si>
    <t>49,410809</t>
  </si>
  <si>
    <t>8,715211</t>
  </si>
  <si>
    <t>9190599759601272516</t>
  </si>
  <si>
    <t>40,727153</t>
  </si>
  <si>
    <t>-3,862343</t>
  </si>
  <si>
    <t>41,085032</t>
  </si>
  <si>
    <t>29,056676</t>
  </si>
  <si>
    <t>41,082174</t>
  </si>
  <si>
    <t>29,06696</t>
  </si>
  <si>
    <t>48,3158004167</t>
  </si>
  <si>
    <t>45,515053</t>
  </si>
  <si>
    <t>25,366917</t>
  </si>
  <si>
    <t>http://www.brancastlemuseum.ro</t>
  </si>
  <si>
    <t>50,320556</t>
  </si>
  <si>
    <t>10,23</t>
  </si>
  <si>
    <t>1052718430847246188</t>
  </si>
  <si>
    <t>47,16797</t>
  </si>
  <si>
    <t>0,237252</t>
  </si>
  <si>
    <t>48,561318</t>
  </si>
  <si>
    <t>3,290089</t>
  </si>
  <si>
    <t>48,097716</t>
  </si>
  <si>
    <t>20,689455</t>
  </si>
  <si>
    <t>16220806835121443990</t>
  </si>
  <si>
    <t>45,749135</t>
  </si>
  <si>
    <t>22,888309</t>
  </si>
  <si>
    <t>St. Nicola (Collachium‎)</t>
  </si>
  <si>
    <t>18181159532935965776</t>
  </si>
  <si>
    <t>36,445473</t>
  </si>
  <si>
    <t>28,22422</t>
  </si>
  <si>
    <t>35,151859</t>
  </si>
  <si>
    <t>35,949814</t>
  </si>
  <si>
    <t>4146795898742316986</t>
  </si>
  <si>
    <t>50,837993</t>
  </si>
  <si>
    <t>-1,11479</t>
  </si>
  <si>
    <t>1000686431931820392</t>
  </si>
  <si>
    <t>46,192888</t>
  </si>
  <si>
    <t>9,022458</t>
  </si>
  <si>
    <t>46,191321</t>
  </si>
  <si>
    <t>9,026588</t>
  </si>
  <si>
    <t>1018198510135265850</t>
  </si>
  <si>
    <t>37,807288</t>
  </si>
  <si>
    <t>-5,023579</t>
  </si>
  <si>
    <t>52,347662</t>
  </si>
  <si>
    <t>-1,591966</t>
  </si>
  <si>
    <t>3496924941083033992</t>
  </si>
  <si>
    <t>45,46995</t>
  </si>
  <si>
    <t>9,179957</t>
  </si>
  <si>
    <t>9940997833182025602</t>
  </si>
  <si>
    <t>46,9822875632</t>
  </si>
  <si>
    <t>17,2825646074</t>
  </si>
  <si>
    <t>16988234534166124629</t>
  </si>
  <si>
    <t>39,563808</t>
  </si>
  <si>
    <t>2,619359</t>
  </si>
  <si>
    <t>47,482967</t>
  </si>
  <si>
    <t>13,189044</t>
  </si>
  <si>
    <t>51,890579</t>
  </si>
  <si>
    <t>0,903046</t>
  </si>
  <si>
    <t>2878917441875260821</t>
  </si>
  <si>
    <t>51,644222</t>
  </si>
  <si>
    <t>-2,674602</t>
  </si>
  <si>
    <t>12988353647062109848</t>
  </si>
  <si>
    <t>Château du Roy René (Tarascon)</t>
  </si>
  <si>
    <t>756766166832125218</t>
  </si>
  <si>
    <t>43,806365</t>
  </si>
  <si>
    <t>4,654888</t>
  </si>
  <si>
    <t>Name</t>
  </si>
  <si>
    <t>45,8520130936</t>
  </si>
  <si>
    <t>21,568607543</t>
  </si>
  <si>
    <t>18,2956940239</t>
  </si>
  <si>
    <t>46,6458898085</t>
  </si>
  <si>
    <t>21,2857500397</t>
  </si>
  <si>
    <t>48,3460479679</t>
  </si>
  <si>
    <t>21,230521438</t>
  </si>
  <si>
    <t>Boldogkőváralja ('Blessed Rock')</t>
  </si>
  <si>
    <t>48,131009478</t>
  </si>
  <si>
    <t>21,41303333</t>
  </si>
  <si>
    <t>48,5414008553</t>
  </si>
  <si>
    <t>21,4589804944</t>
  </si>
  <si>
    <t>47,3599913389</t>
  </si>
  <si>
    <t>18,2771385233</t>
  </si>
  <si>
    <t>47,9384965429</t>
  </si>
  <si>
    <t>20,1961769678</t>
  </si>
  <si>
    <t>47,8513667337</t>
  </si>
  <si>
    <t>20,1442000042</t>
  </si>
  <si>
    <t>47,6499725718</t>
  </si>
  <si>
    <t>18,3179999959</t>
  </si>
  <si>
    <t>48,1445301222</t>
  </si>
  <si>
    <t>19,8475233419</t>
  </si>
  <si>
    <t>47,997567093</t>
  </si>
  <si>
    <t>19,5825166695</t>
  </si>
  <si>
    <t>48,2308420681</t>
  </si>
  <si>
    <t>22,0715999929</t>
  </si>
  <si>
    <t>46,7528336943</t>
  </si>
  <si>
    <t>18,5526666689</t>
  </si>
  <si>
    <t>47,3883153762</t>
  </si>
  <si>
    <t>16,5385166683</t>
  </si>
  <si>
    <t>Jurisits vár (Koszeg)</t>
  </si>
  <si>
    <t>Csobánc vára (Gyulakeszi)</t>
  </si>
  <si>
    <t>46,8716687084</t>
  </si>
  <si>
    <t>17,5054344737</t>
  </si>
  <si>
    <t>47,20043258</t>
  </si>
  <si>
    <t>18,1393815166</t>
  </si>
  <si>
    <t>46,8048782678</t>
  </si>
  <si>
    <t>17,4358048766</t>
  </si>
  <si>
    <t>46,9844027462</t>
  </si>
  <si>
    <t>17,6953093723</t>
  </si>
  <si>
    <t>47,3504375159</t>
  </si>
  <si>
    <t>17,8663809191</t>
  </si>
  <si>
    <t>47,4869444</t>
  </si>
  <si>
    <t>19,0463888</t>
  </si>
  <si>
    <t>47,801167</t>
  </si>
  <si>
    <t>18,733833</t>
  </si>
  <si>
    <t>48,1713581244</t>
  </si>
  <si>
    <t>19,857060619</t>
  </si>
  <si>
    <t>47,1505444152</t>
  </si>
  <si>
    <t>17,3702242349</t>
  </si>
  <si>
    <t>50,3263993021</t>
  </si>
  <si>
    <t>19,129013052</t>
  </si>
  <si>
    <t>50,076805</t>
  </si>
  <si>
    <t>19,445028</t>
  </si>
  <si>
    <t>50,921703</t>
  </si>
  <si>
    <t>16,097801</t>
  </si>
  <si>
    <t>50,7974201609</t>
  </si>
  <si>
    <t>20,4597596511</t>
  </si>
  <si>
    <t>52,884064</t>
  </si>
  <si>
    <t>20,618808</t>
  </si>
  <si>
    <t>51,957977</t>
  </si>
  <si>
    <t>21,233826</t>
  </si>
  <si>
    <t>51,02914</t>
  </si>
  <si>
    <t>15,303183</t>
  </si>
  <si>
    <t>54,4191080561</t>
  </si>
  <si>
    <t>16,4124247286</t>
  </si>
  <si>
    <t>54,35742</t>
  </si>
  <si>
    <t>19,683411</t>
  </si>
  <si>
    <t>50,054474</t>
  </si>
  <si>
    <t>19,936155</t>
  </si>
  <si>
    <t>54,125557</t>
  </si>
  <si>
    <t>20,582993</t>
  </si>
  <si>
    <t>51,250542</t>
  </si>
  <si>
    <t>22,571625</t>
  </si>
  <si>
    <t>53,8343459722</t>
  </si>
  <si>
    <t>18,8272845768</t>
  </si>
  <si>
    <t>53,3596140194</t>
  </si>
  <si>
    <t>20,4291603715</t>
  </si>
  <si>
    <t>49,4224888178</t>
  </si>
  <si>
    <t>20,3195550513</t>
  </si>
  <si>
    <t>53,7775765946</t>
  </si>
  <si>
    <t>20,4743729354</t>
  </si>
  <si>
    <t>53,388447</t>
  </si>
  <si>
    <t>18,935366</t>
  </si>
  <si>
    <t>54,04837</t>
  </si>
  <si>
    <t>21,147194</t>
  </si>
  <si>
    <t>51,226423</t>
  </si>
  <si>
    <t>20,853448</t>
  </si>
  <si>
    <t>53,01038</t>
  </si>
  <si>
    <t>18,60421</t>
  </si>
  <si>
    <t>50,586523</t>
  </si>
  <si>
    <t>16,808253</t>
  </si>
  <si>
    <t>50,453407</t>
  </si>
  <si>
    <t>19,551888</t>
  </si>
  <si>
    <t>50,83358724</t>
  </si>
  <si>
    <t>15,643366929</t>
  </si>
  <si>
    <t>51,4493318141</t>
  </si>
  <si>
    <t>20,4782998519</t>
  </si>
  <si>
    <t>53,11536111</t>
  </si>
  <si>
    <t>19,04972222</t>
  </si>
  <si>
    <t>51,1686615099</t>
  </si>
  <si>
    <t>15,7747083893</t>
  </si>
  <si>
    <t>50,61438</t>
  </si>
  <si>
    <t>19,475482</t>
  </si>
  <si>
    <t>50,21184</t>
  </si>
  <si>
    <t>19,830424</t>
  </si>
  <si>
    <t>50,939372</t>
  </si>
  <si>
    <t>16,113841</t>
  </si>
  <si>
    <t>53,6451439156</t>
  </si>
  <si>
    <t>19,4818649148</t>
  </si>
  <si>
    <t>50,101713</t>
  </si>
  <si>
    <t>19,581545</t>
  </si>
  <si>
    <t>50,613209</t>
  </si>
  <si>
    <t>19,493256</t>
  </si>
  <si>
    <t>49,1871721272</t>
  </si>
  <si>
    <t>-0,363121077928</t>
  </si>
  <si>
    <t>44,4925489215</t>
  </si>
  <si>
    <t>44,6791666</t>
  </si>
  <si>
    <t>Château de Val</t>
  </si>
  <si>
    <t>val</t>
  </si>
  <si>
    <t>45,442793216</t>
  </si>
  <si>
    <t>2,5055166552</t>
  </si>
  <si>
    <t>48,3813666914</t>
  </si>
  <si>
    <t>-4,49409839689</t>
  </si>
  <si>
    <t>47,2157932167</t>
  </si>
  <si>
    <t>-1,54940211372</t>
  </si>
  <si>
    <t>Château des ducs de Bretagne (Nantes)</t>
  </si>
  <si>
    <t>49,335096071</t>
  </si>
  <si>
    <t>3,35958296908</t>
  </si>
  <si>
    <t>44,4597222</t>
  </si>
  <si>
    <t>-0,3727777</t>
  </si>
  <si>
    <t>48,9914850822</t>
  </si>
  <si>
    <t>9,46022232139</t>
  </si>
  <si>
    <t>51,6823077821</t>
  </si>
  <si>
    <t>11,2645851845</t>
  </si>
  <si>
    <t>48,5319444</t>
  </si>
  <si>
    <t>12,1522222</t>
  </si>
  <si>
    <t>49,0447222</t>
  </si>
  <si>
    <t>7,7719444</t>
  </si>
  <si>
    <t>49,1085</t>
  </si>
  <si>
    <t>7,8627</t>
  </si>
  <si>
    <t>51,7867666</t>
  </si>
  <si>
    <t>6,1390861</t>
  </si>
  <si>
    <t>49,881</t>
  </si>
  <si>
    <t>10,869</t>
  </si>
  <si>
    <t>51,1091666</t>
  </si>
  <si>
    <t>11,7069444</t>
  </si>
  <si>
    <t>49,5426647696</t>
  </si>
  <si>
    <t>8,1401648715</t>
  </si>
  <si>
    <t>49,1686678892</t>
  </si>
  <si>
    <t>8,00882812873</t>
  </si>
  <si>
    <t>49,555990254</t>
  </si>
  <si>
    <t>7,35745600379</t>
  </si>
  <si>
    <t>49,725530364</t>
  </si>
  <si>
    <t>7,78098767819</t>
  </si>
  <si>
    <t>49,7929180469</t>
  </si>
  <si>
    <t>8,66911396866</t>
  </si>
  <si>
    <t>49,122</t>
  </si>
  <si>
    <t>7,828</t>
  </si>
  <si>
    <t>49,7565946702</t>
  </si>
  <si>
    <t>8,65651596758</t>
  </si>
  <si>
    <t>48,6726110654</t>
  </si>
  <si>
    <t>8,73724979106</t>
  </si>
  <si>
    <t>48,5390620112</t>
  </si>
  <si>
    <t>8,09495707413</t>
  </si>
  <si>
    <t>47,6376837656</t>
  </si>
  <si>
    <t>7,66723069933</t>
  </si>
  <si>
    <t>48,7558065474</t>
  </si>
  <si>
    <t>9,78215620226</t>
  </si>
  <si>
    <t>48,4439350632</t>
  </si>
  <si>
    <t>7,97225893622</t>
  </si>
  <si>
    <t>Burg Hornberg am Neckar (Götzenburg)</t>
  </si>
  <si>
    <t>49,3140399572</t>
  </si>
  <si>
    <t>9,14645761004</t>
  </si>
  <si>
    <t>48,1166666</t>
  </si>
  <si>
    <t>7,9005555</t>
  </si>
  <si>
    <t>49,280391898</t>
  </si>
  <si>
    <t>9,13448554364</t>
  </si>
  <si>
    <t>49,2672897155</t>
  </si>
  <si>
    <t>9,14548319418</t>
  </si>
  <si>
    <t>50,0580555</t>
  </si>
  <si>
    <t>7,7655555</t>
  </si>
  <si>
    <t>11,559859278</t>
  </si>
  <si>
    <t>51,1214805523</t>
  </si>
  <si>
    <t>49,8592461475</t>
  </si>
  <si>
    <t>12,2252771088</t>
  </si>
  <si>
    <t>11,6803214907</t>
  </si>
  <si>
    <t>48,960756383</t>
  </si>
  <si>
    <t>49,3765458826</t>
  </si>
  <si>
    <t>10,1746418505</t>
  </si>
  <si>
    <t>11,26338957</t>
  </si>
  <si>
    <t>50,6905856611</t>
  </si>
  <si>
    <t>50,2381</t>
  </si>
  <si>
    <t>9,0606</t>
  </si>
  <si>
    <t>50,1400578422</t>
  </si>
  <si>
    <t>8,39284878051</t>
  </si>
  <si>
    <t>51,04240042</t>
  </si>
  <si>
    <t>13,0175676404</t>
  </si>
  <si>
    <t>50,2925483174</t>
  </si>
  <si>
    <t>9,11927374968</t>
  </si>
  <si>
    <t>50,6851166</t>
  </si>
  <si>
    <t>7,150675</t>
  </si>
  <si>
    <t>50,3465102077</t>
  </si>
  <si>
    <t>6,95413887301</t>
  </si>
  <si>
    <t>49,40977923</t>
  </si>
  <si>
    <t>7,57300970787</t>
  </si>
  <si>
    <t>50,2391666</t>
  </si>
  <si>
    <t>6,6852777</t>
  </si>
  <si>
    <t>49,1501591909</t>
  </si>
  <si>
    <t>7,80239892767</t>
  </si>
  <si>
    <t>50,2848609895</t>
  </si>
  <si>
    <t>8,08050608003</t>
  </si>
  <si>
    <t>48,1561111</t>
  </si>
  <si>
    <t>12,8288888</t>
  </si>
  <si>
    <t>47,6938888</t>
  </si>
  <si>
    <t>9,2702777</t>
  </si>
  <si>
    <t>49,2146743278</t>
  </si>
  <si>
    <t>8,87729601187</t>
  </si>
  <si>
    <t>50,1827811384</t>
  </si>
  <si>
    <t>8,46027511091</t>
  </si>
  <si>
    <t>49,8208810788</t>
  </si>
  <si>
    <t>9,04057306904</t>
  </si>
  <si>
    <t>49,596514029</t>
  </si>
  <si>
    <t>9,19486022765</t>
  </si>
  <si>
    <t>49,7896393</t>
  </si>
  <si>
    <t>9,91918047357</t>
  </si>
  <si>
    <t>50,1422899311</t>
  </si>
  <si>
    <t>7,16702773869</t>
  </si>
  <si>
    <t>50,664961519</t>
  </si>
  <si>
    <t>7,2100801288</t>
  </si>
  <si>
    <t>50,2478006419</t>
  </si>
  <si>
    <t>7,45325067391</t>
  </si>
  <si>
    <t>50,3062888</t>
  </si>
  <si>
    <t>7,6124638</t>
  </si>
  <si>
    <t>50,2120387484</t>
  </si>
  <si>
    <t>7,63477801264</t>
  </si>
  <si>
    <t>50,1716666</t>
  </si>
  <si>
    <t>7,6961111</t>
  </si>
  <si>
    <t>50,1541666</t>
  </si>
  <si>
    <t>7,7044444</t>
  </si>
  <si>
    <t>50,1516666</t>
  </si>
  <si>
    <t>7,7241666</t>
  </si>
  <si>
    <t>50,1006061713</t>
  </si>
  <si>
    <t>7,73305395932</t>
  </si>
  <si>
    <t>50,0878055</t>
  </si>
  <si>
    <t>7,7656111</t>
  </si>
  <si>
    <t>50,0417222</t>
  </si>
  <si>
    <t>7,7873888</t>
  </si>
  <si>
    <t>49,9936944</t>
  </si>
  <si>
    <t>7,8584277</t>
  </si>
  <si>
    <t>49,9752931163</t>
  </si>
  <si>
    <t>7,87987599618</t>
  </si>
  <si>
    <t>50,3265912187</t>
  </si>
  <si>
    <t>7,22072397394</t>
  </si>
  <si>
    <t>50,3527602017</t>
  </si>
  <si>
    <t>7,17958667885</t>
  </si>
  <si>
    <t>51,8446722</t>
  </si>
  <si>
    <t>6,4271638</t>
  </si>
  <si>
    <t>48,3219444</t>
  </si>
  <si>
    <t>7,3997222</t>
  </si>
  <si>
    <t>49,9905724619</t>
  </si>
  <si>
    <t>7,86515854412</t>
  </si>
  <si>
    <t>Eltville-am-Rhein</t>
  </si>
  <si>
    <t>50,024875928</t>
  </si>
  <si>
    <t>8,12283906741</t>
  </si>
  <si>
    <t>48,784969</t>
  </si>
  <si>
    <t>10,686961</t>
  </si>
  <si>
    <t>49,462219</t>
  </si>
  <si>
    <t>8,121697</t>
  </si>
  <si>
    <t>47,6138</t>
  </si>
  <si>
    <t>10,5877</t>
  </si>
  <si>
    <t>47,764722</t>
  </si>
  <si>
    <t>8,818889</t>
  </si>
  <si>
    <t>48,06</t>
  </si>
  <si>
    <t>7,269167</t>
  </si>
  <si>
    <t>50,2904</t>
  </si>
  <si>
    <t>8,031</t>
  </si>
  <si>
    <t>51,123243</t>
  </si>
  <si>
    <t>6,658415</t>
  </si>
  <si>
    <t>Schloss Lauf (Wenzelschloss)</t>
  </si>
  <si>
    <t>Lauf an der Pegnitz</t>
  </si>
  <si>
    <t>49,51</t>
  </si>
  <si>
    <t>11,2821</t>
  </si>
  <si>
    <t>Pfronten</t>
  </si>
  <si>
    <t>47,612778</t>
  </si>
  <si>
    <t>10,590278</t>
  </si>
  <si>
    <t>48,401389</t>
  </si>
  <si>
    <t>7,4125</t>
  </si>
  <si>
    <t>48,7325</t>
  </si>
  <si>
    <t>7,25361111111</t>
  </si>
  <si>
    <t>50,810222</t>
  </si>
  <si>
    <t>8,767017</t>
  </si>
  <si>
    <t>Mildenburg (Miltenberg)</t>
  </si>
  <si>
    <t>49,698577</t>
  </si>
  <si>
    <t>9,25074</t>
  </si>
  <si>
    <t>50,451667</t>
  </si>
  <si>
    <t>8,775833</t>
  </si>
  <si>
    <t>51,208544</t>
  </si>
  <si>
    <t>11,775478</t>
  </si>
  <si>
    <t>Ramberg</t>
  </si>
  <si>
    <t>49,252722</t>
  </si>
  <si>
    <t>8,021819</t>
  </si>
  <si>
    <t>50,688611</t>
  </si>
  <si>
    <t>6,477222</t>
  </si>
  <si>
    <t>48,295833</t>
  </si>
  <si>
    <t>7,392222</t>
  </si>
  <si>
    <t>49,7874620929</t>
  </si>
  <si>
    <t>9,41357136359</t>
  </si>
  <si>
    <t>Die Henneburg (Stadtprozelten)</t>
  </si>
  <si>
    <t>48,4609673089</t>
  </si>
  <si>
    <t>7,40679831229</t>
  </si>
  <si>
    <t>44,5878138928</t>
  </si>
  <si>
    <t>4,69900997413</t>
  </si>
  <si>
    <t>50,405344</t>
  </si>
  <si>
    <t>8,155889</t>
  </si>
  <si>
    <t>51,776111</t>
  </si>
  <si>
    <t>7,443056</t>
  </si>
  <si>
    <t>48,96</t>
  </si>
  <si>
    <t>7,616</t>
  </si>
  <si>
    <t>49,758611</t>
  </si>
  <si>
    <t>9,52</t>
  </si>
  <si>
    <t>48,055556</t>
  </si>
  <si>
    <t>9,013889</t>
  </si>
  <si>
    <t>10,3064222222222</t>
  </si>
  <si>
    <t>46,7791113195</t>
  </si>
  <si>
    <t>6.57132945857</t>
  </si>
  <si>
    <t>chateaudelucens.ch</t>
  </si>
  <si>
    <t>Château de Lucens</t>
  </si>
  <si>
    <t>6,83647172611</t>
  </si>
  <si>
    <t>46,710869876</t>
  </si>
  <si>
    <t>Château de Chenaux (Estavayer-le-Lac)</t>
  </si>
  <si>
    <t>Estavayer-le-Lac (Kanton Fribourg)</t>
  </si>
  <si>
    <t>46,8515943386</t>
  </si>
  <si>
    <t>6,8490034133</t>
  </si>
  <si>
    <t>46,9021752074</t>
  </si>
  <si>
    <t>7,24194484845</t>
  </si>
  <si>
    <t>Laupen (Kanton Bern)</t>
  </si>
  <si>
    <t>Wahlern (Kanton Bern)</t>
  </si>
  <si>
    <t>7,331944</t>
  </si>
  <si>
    <t>46,833611</t>
  </si>
  <si>
    <t>Die Grasburg</t>
  </si>
  <si>
    <t>47,437472</t>
  </si>
  <si>
    <t>7,540694</t>
  </si>
  <si>
    <t>Zwingen im Laufental (Kanton Basel-Landschaft)</t>
  </si>
  <si>
    <t>Novo Mesto</t>
  </si>
  <si>
    <t>45,8381317624</t>
  </si>
  <si>
    <t>15,2349493131</t>
  </si>
  <si>
    <t>Grad Sneznik (Schneeberg)</t>
  </si>
  <si>
    <t>45,6829041669</t>
  </si>
  <si>
    <t>14,4691104739</t>
  </si>
  <si>
    <t>45,6052670501</t>
  </si>
  <si>
    <t>14,1848497728</t>
  </si>
  <si>
    <t>Vipava</t>
  </si>
  <si>
    <t>Grad Vipava (Wippach)</t>
  </si>
  <si>
    <t>Grad Planina pri Sevnici (Montpreis)</t>
  </si>
  <si>
    <t>Grad Velenje (Wöllan)</t>
  </si>
  <si>
    <t>Grad Lemberg pri Novi Cerkvi (Löwenberg)</t>
  </si>
  <si>
    <t>Grad Prem</t>
  </si>
  <si>
    <t>Grad Mokrice (Mokritz)</t>
  </si>
  <si>
    <t>Grad Zovnek (Sannegg)</t>
  </si>
  <si>
    <t>Grad Kamnik (Stein)</t>
  </si>
  <si>
    <t>Grad Rifnik (Reichenegg)</t>
  </si>
  <si>
    <t>Grad Kamen (Stain)</t>
  </si>
  <si>
    <t>Grad Celje (Cilli)</t>
  </si>
  <si>
    <t>Grad Podcetrtek (Windischlandsberg, Landsperch)</t>
  </si>
  <si>
    <t>Grad Velika Nedelja (Groß-Sonntag)</t>
  </si>
  <si>
    <t>Grad Predjama (Luegg)</t>
  </si>
  <si>
    <t>Grad Bizeljsko (Wisell)</t>
  </si>
  <si>
    <t>Grad Zuzemberk (Seisenberg)</t>
  </si>
  <si>
    <t>45,85058</t>
  </si>
  <si>
    <t>13,96432</t>
  </si>
  <si>
    <t>45,858616324</t>
  </si>
  <si>
    <t>15,6753437546</t>
  </si>
  <si>
    <t>45,8807144603</t>
  </si>
  <si>
    <t>13,8624051858</t>
  </si>
  <si>
    <t>Grad Vipavski kriz (Heiliges Kreuz)</t>
  </si>
  <si>
    <t>46,2059638889</t>
  </si>
  <si>
    <t>15,4022972222</t>
  </si>
  <si>
    <t>Stari grad Otocec (Otoccu (Altenburg, Wördl)</t>
  </si>
  <si>
    <t>Al-Qala'a al-Gabal (Citadel of the Mountain, Al Muqattam)</t>
  </si>
  <si>
    <t>Yoros Kalesi (Anadolu Kavagi, Hieron Castle, Genoese Castle)</t>
  </si>
  <si>
    <t>Château de du Hohlandsbourg (Landsberg, Heiligenstein)</t>
  </si>
  <si>
    <t>Achaia (Kefalonia, Venetian castle of Agios Georgios)</t>
  </si>
  <si>
    <t>Quala'at Masyaf (Assassin's Castle, Hashshashin or Nizari)</t>
  </si>
  <si>
    <t>37,5625030534</t>
  </si>
  <si>
    <t>22,8028031053</t>
  </si>
  <si>
    <t>Nafplion (Nauplia)</t>
  </si>
  <si>
    <t>Palamidi (Nafplion, Napoli di Romania)</t>
  </si>
  <si>
    <t>38,2452137257</t>
  </si>
  <si>
    <t>21,7419920125</t>
  </si>
  <si>
    <t>Nafpaktos</t>
  </si>
  <si>
    <t>38,39682</t>
  </si>
  <si>
    <t>21,82388</t>
  </si>
  <si>
    <t>Mendenitsa</t>
  </si>
  <si>
    <t>38,752082346</t>
  </si>
  <si>
    <t>22,6109466378</t>
  </si>
  <si>
    <t>http://cog.50webs.com/331.htm</t>
  </si>
  <si>
    <t>Sabugal</t>
  </si>
  <si>
    <t>40,351367</t>
  </si>
  <si>
    <t>-7,094033</t>
  </si>
  <si>
    <t>Castelo do Sabugal (Castelo das Cinco Quinas)</t>
  </si>
  <si>
    <t>40,031233</t>
  </si>
  <si>
    <t>-8,38995</t>
  </si>
  <si>
    <t>38,771806</t>
  </si>
  <si>
    <t>-7,716111</t>
  </si>
  <si>
    <t>http://castelodevoramonte.com</t>
  </si>
  <si>
    <t>Evoramonte</t>
  </si>
  <si>
    <t>43,993056</t>
  </si>
  <si>
    <t>22,886667</t>
  </si>
  <si>
    <t>41,1158607887</t>
  </si>
  <si>
    <t>20,7912368493</t>
  </si>
  <si>
    <t>43,0795366001</t>
  </si>
  <si>
    <t>25,6323339169</t>
  </si>
  <si>
    <t>Macedonië</t>
  </si>
  <si>
    <t>Macedonia</t>
  </si>
  <si>
    <t>Ajfelova Kula (Samuilovata Krepost, Ochrid)</t>
  </si>
  <si>
    <t>44,904</t>
  </si>
  <si>
    <t>15,937</t>
  </si>
  <si>
    <t>44,737</t>
  </si>
  <si>
    <t>18,088</t>
  </si>
  <si>
    <t>44,1</t>
  </si>
  <si>
    <t>19,302</t>
  </si>
  <si>
    <t>44,613</t>
  </si>
  <si>
    <t>17,989</t>
  </si>
  <si>
    <t>Stari grad Ostrozac</t>
  </si>
  <si>
    <t>44,9867490243</t>
  </si>
  <si>
    <t>14,9037276388</t>
  </si>
  <si>
    <t>Stari grad Sarajevo</t>
  </si>
  <si>
    <t>49,2365464371</t>
  </si>
  <si>
    <t>18,7335924848</t>
  </si>
  <si>
    <t>Zilina</t>
  </si>
  <si>
    <t>Budatin vára (Zilina)</t>
  </si>
  <si>
    <t>Jerinin grad (Maglic)</t>
  </si>
  <si>
    <t>severin</t>
  </si>
  <si>
    <t>Severin</t>
  </si>
  <si>
    <t>Cetatea Severinului</t>
  </si>
  <si>
    <t>44,6226083333</t>
  </si>
  <si>
    <t>22,6835916667</t>
  </si>
  <si>
    <t>Suceava (Cetatea de Scaun, Suczawa)</t>
  </si>
  <si>
    <t>Suczawa</t>
  </si>
  <si>
    <t>Citate Deva</t>
  </si>
  <si>
    <t>Castelul Corvinestilor‎ (Hunedoara, Huniazilor, Vajdahunyad)</t>
  </si>
  <si>
    <t>37,4705683426</t>
  </si>
  <si>
    <t>-5,64331261345</t>
  </si>
  <si>
    <t>Alcázar puerta de Sevilla (Carmona)</t>
  </si>
  <si>
    <t>Castillo de Cardona</t>
  </si>
  <si>
    <t>Carmona</t>
  </si>
  <si>
    <t>41,656472</t>
  </si>
  <si>
    <t>-0,89675</t>
  </si>
  <si>
    <t>38,8768325927</t>
  </si>
  <si>
    <t>-1,09755432987</t>
  </si>
  <si>
    <t>41,9125</t>
  </si>
  <si>
    <t>-4,783333</t>
  </si>
  <si>
    <t>37,02445</t>
  </si>
  <si>
    <t>39,820172</t>
  </si>
  <si>
    <t>-5,612533</t>
  </si>
  <si>
    <t>38,7399877781</t>
  </si>
  <si>
    <t>-3,86538707586</t>
  </si>
  <si>
    <t>41,914425</t>
  </si>
  <si>
    <t>1,685558</t>
  </si>
  <si>
    <t>39,466667</t>
  </si>
  <si>
    <t>-3,6</t>
  </si>
  <si>
    <t>38,349</t>
  </si>
  <si>
    <t>-0,478</t>
  </si>
  <si>
    <t>39,810316</t>
  </si>
  <si>
    <t>-4,146266</t>
  </si>
  <si>
    <t>40,926597</t>
  </si>
  <si>
    <t>-2,922943</t>
  </si>
  <si>
    <t>38,982823</t>
  </si>
  <si>
    <t>-0,519623</t>
  </si>
  <si>
    <t>42,587624</t>
  </si>
  <si>
    <t>-1,207616</t>
  </si>
  <si>
    <t>36,721</t>
  </si>
  <si>
    <t>-4,416</t>
  </si>
  <si>
    <t>40,065067</t>
  </si>
  <si>
    <t>-4,369404</t>
  </si>
  <si>
    <t>41,033333</t>
  </si>
  <si>
    <t>0,6</t>
  </si>
  <si>
    <t>-1,888703</t>
  </si>
  <si>
    <t>41,9025</t>
  </si>
  <si>
    <t>-4,899722</t>
  </si>
  <si>
    <t>42,483889</t>
  </si>
  <si>
    <t>-1,65</t>
  </si>
  <si>
    <t>40,358871</t>
  </si>
  <si>
    <t>0.40827</t>
  </si>
  <si>
    <t>40,483333</t>
  </si>
  <si>
    <t>-5,516667</t>
  </si>
  <si>
    <t>Simancas (Valladolid)</t>
  </si>
  <si>
    <t>41,591582</t>
  </si>
  <si>
    <t>-4.828977</t>
  </si>
  <si>
    <t>39,858084</t>
  </si>
  <si>
    <t>-4,020631</t>
  </si>
  <si>
    <t>41,650758</t>
  </si>
  <si>
    <t>-5,025859</t>
  </si>
  <si>
    <t>39,462116</t>
  </si>
  <si>
    <t>-5,882932</t>
  </si>
  <si>
    <t>41,158285</t>
  </si>
  <si>
    <t>-4,005461</t>
  </si>
  <si>
    <t>39,457904</t>
  </si>
  <si>
    <t>-0,456828</t>
  </si>
  <si>
    <t>Castello de Luna (Albuquerque)</t>
  </si>
  <si>
    <t>39,217309</t>
  </si>
  <si>
    <t>-7,002132</t>
  </si>
  <si>
    <t>http://www.alburquerque.es</t>
  </si>
  <si>
    <t>41,048434</t>
  </si>
  <si>
    <t>-0,1325</t>
  </si>
  <si>
    <t>37,791693</t>
  </si>
  <si>
    <t>-1,573362</t>
  </si>
  <si>
    <t>41,912753</t>
  </si>
  <si>
    <t>-4,783859</t>
  </si>
  <si>
    <t>37,100201</t>
  </si>
  <si>
    <t>-4,386248</t>
  </si>
  <si>
    <t>39,56117</t>
  </si>
  <si>
    <t>-2,702465</t>
  </si>
  <si>
    <t>41,198126</t>
  </si>
  <si>
    <t>-2,872546</t>
  </si>
  <si>
    <t>41,4668456825</t>
  </si>
  <si>
    <t>-2,85805734287</t>
  </si>
  <si>
    <t>40,994622</t>
  </si>
  <si>
    <t>-3,633664</t>
  </si>
  <si>
    <t>36,721378</t>
  </si>
  <si>
    <t>-4,415538</t>
  </si>
  <si>
    <t>38,424193</t>
  </si>
  <si>
    <t>-6,416745</t>
  </si>
  <si>
    <t>38,29903</t>
  </si>
  <si>
    <t>-2,64998</t>
  </si>
  <si>
    <t>37,691063</t>
  </si>
  <si>
    <t>-2,098464</t>
  </si>
  <si>
    <t>37,183501</t>
  </si>
  <si>
    <t>-3,065786</t>
  </si>
  <si>
    <t>38,170295</t>
  </si>
  <si>
    <t>-3,775606</t>
  </si>
  <si>
    <t>Castillo de Burgalimar (Baños de la Encina)</t>
  </si>
  <si>
    <t>Baños de la Encina (Jaén)</t>
  </si>
  <si>
    <t>40,16492</t>
  </si>
  <si>
    <t>-4,401484</t>
  </si>
  <si>
    <t>37,335216</t>
  </si>
  <si>
    <t>-5,855209</t>
  </si>
  <si>
    <t>40,34921</t>
  </si>
  <si>
    <t>-5,892422</t>
  </si>
  <si>
    <t>Guadaira (Seville)</t>
  </si>
  <si>
    <t>(Álava)</t>
  </si>
  <si>
    <t>42,859876</t>
  </si>
  <si>
    <t>-2,77378</t>
  </si>
  <si>
    <t>40,845892</t>
  </si>
  <si>
    <t>40,847691</t>
  </si>
  <si>
    <t>-1,885827</t>
  </si>
  <si>
    <t>Castillo de Molina</t>
  </si>
  <si>
    <t>40,2666666</t>
  </si>
  <si>
    <t>-5,0166666</t>
  </si>
  <si>
    <t>40,6196111</t>
  </si>
  <si>
    <t>-0,1017222</t>
  </si>
  <si>
    <t>39,948931</t>
  </si>
  <si>
    <t>-1,365652</t>
  </si>
  <si>
    <t>42,1054595</t>
  </si>
  <si>
    <t>0,8560766</t>
  </si>
  <si>
    <t>Castell de Mur (Lérida)</t>
  </si>
  <si>
    <t>38,589833</t>
  </si>
  <si>
    <t>-6,754267</t>
  </si>
  <si>
    <t>Nogeles (Badajoz)</t>
  </si>
  <si>
    <t>42,281262</t>
  </si>
  <si>
    <t>-1,26523</t>
  </si>
  <si>
    <t>42,32964</t>
  </si>
  <si>
    <t>-8,568124</t>
  </si>
  <si>
    <t>Soutomaior (Pontevedra)</t>
  </si>
  <si>
    <t>Castillo de Soutomaior (Sotomayor)</t>
  </si>
  <si>
    <t>40,8161359667</t>
  </si>
  <si>
    <t>0,527866657722</t>
  </si>
  <si>
    <t>40,595055</t>
  </si>
  <si>
    <t>0,430698</t>
  </si>
  <si>
    <t>42,29458</t>
  </si>
  <si>
    <t>-5,52063</t>
  </si>
  <si>
    <t>40,167839</t>
  </si>
  <si>
    <t>-3,274462</t>
  </si>
  <si>
    <t>36,838902</t>
  </si>
  <si>
    <t>-5,390711</t>
  </si>
  <si>
    <t>51,915409</t>
  </si>
  <si>
    <t>-2,866056</t>
  </si>
  <si>
    <t>46,923333</t>
  </si>
  <si>
    <t>11,948611</t>
  </si>
  <si>
    <t>52,696667</t>
  </si>
  <si>
    <t>-8,811667</t>
  </si>
  <si>
    <t>46,834538</t>
  </si>
  <si>
    <t>12,738132</t>
  </si>
  <si>
    <t>46,3149</t>
  </si>
  <si>
    <t>6,9756</t>
  </si>
  <si>
    <t>56,123788</t>
  </si>
  <si>
    <t>-3,948298</t>
  </si>
  <si>
    <t>59,9066111111111</t>
  </si>
  <si>
    <t>10,7361666666667</t>
  </si>
  <si>
    <t>palanok</t>
  </si>
  <si>
    <t>palanok mukachevo</t>
  </si>
  <si>
    <t>Palanok (Mukachevo)</t>
  </si>
  <si>
    <t>Mukachevo</t>
  </si>
  <si>
    <t>sudak</t>
  </si>
  <si>
    <t>Sudak (Genoese Fortress)</t>
  </si>
  <si>
    <t>akkerman</t>
  </si>
  <si>
    <t>Akkerman (Bilhorod-Dnistrovskyi)</t>
  </si>
  <si>
    <t>Kamieniec Podolski (Kamianets-Podolskyi)</t>
  </si>
  <si>
    <t>olesko</t>
  </si>
  <si>
    <t>Olesko</t>
  </si>
  <si>
    <t>Khmelnitskyi</t>
  </si>
  <si>
    <t>khmelnitskyi</t>
  </si>
  <si>
    <t>score_visitors_calculated</t>
  </si>
  <si>
    <t>coldiz</t>
  </si>
  <si>
    <t>http://www.zamek.malbork.pl</t>
  </si>
  <si>
    <t>42,870556</t>
  </si>
  <si>
    <t>2,557222</t>
  </si>
  <si>
    <t>http://www.chateau-peyrepertuse.com/</t>
  </si>
  <si>
    <t>42,80375</t>
  </si>
  <si>
    <t>2,299444</t>
  </si>
  <si>
    <t>Château de Quéribus</t>
  </si>
  <si>
    <t>42,836667</t>
  </si>
  <si>
    <t>2,621667</t>
  </si>
  <si>
    <t>Château d'Uzès</t>
  </si>
  <si>
    <t>44,013056</t>
  </si>
  <si>
    <t>4,42</t>
  </si>
  <si>
    <t>42,693905</t>
  </si>
  <si>
    <t>2,895678</t>
  </si>
  <si>
    <t>http://www.cg66.fr/99-palais-des-rois-de-majorque.htm</t>
  </si>
  <si>
    <t>http://www.duche-uzes.fr/index-en.html</t>
  </si>
  <si>
    <t>http://www.sesta.fr/chateau-de-foix.html</t>
  </si>
  <si>
    <t>42,96556</t>
  </si>
  <si>
    <t>1,605</t>
  </si>
  <si>
    <t>42,87556</t>
  </si>
  <si>
    <t>1,8325</t>
  </si>
  <si>
    <t>Château de Najac</t>
  </si>
  <si>
    <t>44,21833</t>
  </si>
  <si>
    <t>1,97333</t>
  </si>
  <si>
    <t>Hertog Alphonse van Poitiers en Toulouse</t>
  </si>
  <si>
    <t>Count Alphonse of Poitiers and Toulouse</t>
  </si>
  <si>
    <t>Kasteel Radboud (Medemblik)</t>
  </si>
  <si>
    <t>http://www.kasteelradboud.nl/</t>
  </si>
  <si>
    <t>Åland</t>
  </si>
  <si>
    <t>The castle was purposefully build on an small rocky island in the middle of a deep and very rapidly flowing straight between 2 lake systems, which was frequently used as a waterway for trading and war during history. This also meant that the castle's "moat" (the straight itself) would not freeze over during even the harshest of winters. There was a well for sweetwater on the island, though it had to be dug unseemly deep and was even then prone to drying up at times.
The castle had originally 5 nearly equally tall round towers built to similar design like those on your picture (cannon towers), of which 1 was partially dismantled due to perceived danger of imminent collapse and the other one in fact did collapse due to neglect, they were located on the castle's "backside" where the water was wider (upper lake) and so were not rebuilt but were replaced with bastion defences later on.
The original castle was triangular (not square) in shape and had 3 towers in each of it corners 2 remain and 1 was destroyed.
Later on the castle was expanded first by adding 2 more towers and curtain walls to cover the islands only water source (the well) now covered by the huge white canvas. This also allowed more substantial storage space and accommodations to be placed secure on the island. One of the additional round towers is still seen on the upper-right corner of the castle here, the other (named the "fat tower" due its originally 5 meter thick walls, since it was intended to be used, as a second "keep" at the time) is now covered by the huge bastion seen in the lower-right corner of the castle, the defences facing the upper lake were later on strengthened with further 2 large bastions and 2 additional small ones added in the upper left-corner and the middle of the right flank of the castle closely adjoining the original "Fat Tower" or the "Grand Bastion" as it became known. The original triangular Medieval Castle served as the "Keep" for the whole complex, with its walls maintained as clearly the highest in all the castle. 
"The Castle Front" side facing the town of Savonlinna (meaning "the castle of Savolax", the town was named after the province this castle and its town administered and protected). 
[Text: Ilari Rahja]</t>
  </si>
  <si>
    <t>43,206667</t>
  </si>
  <si>
    <t>2,363611</t>
  </si>
  <si>
    <t>Description2</t>
  </si>
  <si>
    <t>rocca flea</t>
  </si>
  <si>
    <t>46,414167</t>
  </si>
  <si>
    <t>6,9275</t>
  </si>
  <si>
    <t>47,4625</t>
  </si>
  <si>
    <t>8,180833</t>
  </si>
  <si>
    <t>46,595222</t>
  </si>
  <si>
    <t>11,534147</t>
  </si>
  <si>
    <t>http://www.hocheppan.com/</t>
  </si>
  <si>
    <t>46,49275</t>
  </si>
  <si>
    <t>11,242131</t>
  </si>
  <si>
    <t>47,323194</t>
  </si>
  <si>
    <t>8,194167</t>
  </si>
  <si>
    <t>46,480278</t>
  </si>
  <si>
    <t>11,305278</t>
  </si>
  <si>
    <t>46,503486</t>
  </si>
  <si>
    <t>11,350425</t>
  </si>
  <si>
    <t>46,878056</t>
  </si>
  <si>
    <t>11,444444</t>
  </si>
  <si>
    <t>46,524722</t>
  </si>
  <si>
    <t>6,476389</t>
  </si>
  <si>
    <t>Castello di Rodeneck (Schloss Rodenegg)</t>
  </si>
  <si>
    <t>46,772991</t>
  </si>
  <si>
    <t>11,686981</t>
  </si>
  <si>
    <t>46,071583</t>
  </si>
  <si>
    <t>11,127167</t>
  </si>
  <si>
    <t>http://www.chateau-gruyeres.ch</t>
  </si>
  <si>
    <t>46,584818</t>
  </si>
  <si>
    <t>7,083988</t>
  </si>
  <si>
    <t>www.chateau-grandson.ch</t>
  </si>
  <si>
    <t>46,809615</t>
  </si>
  <si>
    <t>6,646931</t>
  </si>
  <si>
    <t>46,236464</t>
  </si>
  <si>
    <t>7,366953</t>
  </si>
  <si>
    <t>Château Saint-Maire (Lausanne)</t>
  </si>
  <si>
    <t>6,635556</t>
  </si>
  <si>
    <t>46,483767</t>
  </si>
  <si>
    <t>11,245286</t>
  </si>
  <si>
    <t>45,054242</t>
  </si>
  <si>
    <t>2,478243</t>
  </si>
  <si>
    <t>46,992264</t>
  </si>
  <si>
    <t>6,926986</t>
  </si>
  <si>
    <t>Château de Neuchâtel (Neuenburg)</t>
  </si>
  <si>
    <t>46,505556</t>
  </si>
  <si>
    <t>11,495556</t>
  </si>
  <si>
    <t>42,644722</t>
  </si>
  <si>
    <t>11,985833</t>
  </si>
  <si>
    <t>47,453333</t>
  </si>
  <si>
    <t>7,591389</t>
  </si>
  <si>
    <t>45,746297</t>
  </si>
  <si>
    <t>10,952111</t>
  </si>
  <si>
    <t>46,307853</t>
  </si>
  <si>
    <t>10,737036</t>
  </si>
  <si>
    <t>46,105105</t>
  </si>
  <si>
    <t>7,069282</t>
  </si>
  <si>
    <t>46,883708</t>
  </si>
  <si>
    <t>11,455118</t>
  </si>
  <si>
    <t>45,921667</t>
  </si>
  <si>
    <t>10,887778</t>
  </si>
  <si>
    <t>46,384428</t>
  </si>
  <si>
    <t>4,688014</t>
  </si>
  <si>
    <t>47,54869</t>
  </si>
  <si>
    <t>3,42259</t>
  </si>
  <si>
    <t>45,833889</t>
  </si>
  <si>
    <t>2,854722</t>
  </si>
  <si>
    <t>46,546944</t>
  </si>
  <si>
    <t>4,798056</t>
  </si>
  <si>
    <t>47,191667</t>
  </si>
  <si>
    <t>5,383333</t>
  </si>
  <si>
    <t>45,06917</t>
  </si>
  <si>
    <t>3,86028</t>
  </si>
  <si>
    <t>Consuegra</t>
  </si>
  <si>
    <t>53,2517</t>
  </si>
  <si>
    <t>-3,1299</t>
  </si>
  <si>
    <t>45,669722</t>
  </si>
  <si>
    <t>7,695556</t>
  </si>
  <si>
    <t>45,741556</t>
  </si>
  <si>
    <t>7,6285</t>
  </si>
  <si>
    <t>45,655278</t>
  </si>
  <si>
    <t>7,688611</t>
  </si>
  <si>
    <t>48,8936</t>
  </si>
  <si>
    <t>0,2039</t>
  </si>
  <si>
    <t>48,861086</t>
  </si>
  <si>
    <t>2,335753</t>
  </si>
  <si>
    <t>44,538333</t>
  </si>
  <si>
    <t>1,014444</t>
  </si>
  <si>
    <t>48,43722</t>
  </si>
  <si>
    <t>2,15833</t>
  </si>
  <si>
    <t>48,3525</t>
  </si>
  <si>
    <t>-1,198611</t>
  </si>
  <si>
    <t>48,45025</t>
  </si>
  <si>
    <t>-2,0448</t>
  </si>
  <si>
    <t>46,325556</t>
  </si>
  <si>
    <t>-0,465</t>
  </si>
  <si>
    <t>48,853333</t>
  </si>
  <si>
    <t>2,369167</t>
  </si>
  <si>
    <t>48,789306</t>
  </si>
  <si>
    <t>1,59875</t>
  </si>
  <si>
    <t>47,479167</t>
  </si>
  <si>
    <t>1,181944</t>
  </si>
  <si>
    <t>47,600833</t>
  </si>
  <si>
    <t>-0,544444</t>
  </si>
  <si>
    <t>47,767639</t>
  </si>
  <si>
    <t>2,375972</t>
  </si>
  <si>
    <t>48,53</t>
  </si>
  <si>
    <t>2,010833</t>
  </si>
  <si>
    <t>49,0822</t>
  </si>
  <si>
    <t>1,6303</t>
  </si>
  <si>
    <t>48,070556</t>
  </si>
  <si>
    <t>1,323611</t>
  </si>
  <si>
    <t>48,124444</t>
  </si>
  <si>
    <t>-1,215278</t>
  </si>
  <si>
    <t>47,9522</t>
  </si>
  <si>
    <t>-2,5472</t>
  </si>
  <si>
    <t>49,877235</t>
  </si>
  <si>
    <t>1,127054</t>
  </si>
  <si>
    <t>48,8058</t>
  </si>
  <si>
    <t>0,1061</t>
  </si>
  <si>
    <t>Château du Clain (Poitiers)</t>
  </si>
  <si>
    <t>46,590556</t>
  </si>
  <si>
    <t>0,341111</t>
  </si>
  <si>
    <t>49,944167</t>
  </si>
  <si>
    <t>1,7075</t>
  </si>
  <si>
    <t>47,133333</t>
  </si>
  <si>
    <t>-0,154167</t>
  </si>
  <si>
    <t>49,446475</t>
  </si>
  <si>
    <t>1,094396</t>
  </si>
  <si>
    <t>Château de Le Coudray-Salbart</t>
  </si>
  <si>
    <t>coudray-salbart</t>
  </si>
  <si>
    <t>Château de Montreuil-Bellay</t>
  </si>
  <si>
    <t>46,406944</t>
  </si>
  <si>
    <t>-0,426389</t>
  </si>
  <si>
    <t>47,086667</t>
  </si>
  <si>
    <t>-1,280833</t>
  </si>
  <si>
    <t>47,1428</t>
  </si>
  <si>
    <t>2,2167</t>
  </si>
  <si>
    <t>43,294722</t>
  </si>
  <si>
    <t>-0,375</t>
  </si>
  <si>
    <t>47,725278</t>
  </si>
  <si>
    <t>-2,618611</t>
  </si>
  <si>
    <t>48,4076</t>
  </si>
  <si>
    <t>-1,7538</t>
  </si>
  <si>
    <t>44,840556</t>
  </si>
  <si>
    <t>1,146667</t>
  </si>
  <si>
    <t>49,20741</t>
  </si>
  <si>
    <t>2,584201</t>
  </si>
  <si>
    <t>48,856389</t>
  </si>
  <si>
    <t>2,345556</t>
  </si>
  <si>
    <t>49,1743694</t>
  </si>
  <si>
    <t>3,1256028</t>
  </si>
  <si>
    <t>44,81593</t>
  </si>
  <si>
    <t>1,148382</t>
  </si>
  <si>
    <t>49,1994</t>
  </si>
  <si>
    <t>3,5172</t>
  </si>
  <si>
    <t>47,512778</t>
  </si>
  <si>
    <t>-2,729444</t>
  </si>
  <si>
    <t>48,438889</t>
  </si>
  <si>
    <t>-0,5</t>
  </si>
  <si>
    <t xml:space="preserve">Château de Parthenay </t>
  </si>
  <si>
    <t>parthenay</t>
  </si>
  <si>
    <t>46,652222</t>
  </si>
  <si>
    <t>-0,251944</t>
  </si>
  <si>
    <t>48,293611</t>
  </si>
  <si>
    <t>-1,860833</t>
  </si>
  <si>
    <t>44,632222</t>
  </si>
  <si>
    <t>48,5672</t>
  </si>
  <si>
    <t>2,7814</t>
  </si>
  <si>
    <t>48,67667</t>
  </si>
  <si>
    <t>-3,41167</t>
  </si>
  <si>
    <t>44,941667</t>
  </si>
  <si>
    <t>nesles</t>
  </si>
  <si>
    <t>49,20393</t>
  </si>
  <si>
    <t>3,56913</t>
  </si>
  <si>
    <t>48,631944</t>
  </si>
  <si>
    <t>45,064167</t>
  </si>
  <si>
    <t>2,074722</t>
  </si>
  <si>
    <t>47,383167</t>
  </si>
  <si>
    <t>0,554583</t>
  </si>
  <si>
    <t>48,0704</t>
  </si>
  <si>
    <t>-2,9635</t>
  </si>
  <si>
    <t>46,7663306</t>
  </si>
  <si>
    <t>1,8314056</t>
  </si>
  <si>
    <t>3,5</t>
  </si>
  <si>
    <t>0,8725</t>
  </si>
  <si>
    <t>1,101944</t>
  </si>
  <si>
    <t>46,7600167</t>
  </si>
  <si>
    <t>7,6299444</t>
  </si>
  <si>
    <t>Burg Hohenklingen</t>
  </si>
  <si>
    <t>47,666667</t>
  </si>
  <si>
    <t>8,858333</t>
  </si>
  <si>
    <t>47,0501417</t>
  </si>
  <si>
    <t>9,4374889</t>
  </si>
  <si>
    <t>47,387381</t>
  </si>
  <si>
    <t>8,185481</t>
  </si>
  <si>
    <t>Castello di Mesocco (Misox)</t>
  </si>
  <si>
    <t>46,38</t>
  </si>
  <si>
    <t>9,2325</t>
  </si>
  <si>
    <t>Schloss Kyburg</t>
  </si>
  <si>
    <t>47,458611</t>
  </si>
  <si>
    <t>8,743611</t>
  </si>
  <si>
    <t>Burg Freudenberg (Bad Ragaz)</t>
  </si>
  <si>
    <t>47,008889</t>
  </si>
  <si>
    <t>9,4925</t>
  </si>
  <si>
    <t>47,226667</t>
  </si>
  <si>
    <t>8,818333</t>
  </si>
  <si>
    <t>47,479992</t>
  </si>
  <si>
    <t>7,628069</t>
  </si>
  <si>
    <t>Ruine Dorneck</t>
  </si>
  <si>
    <t>Schloss Burgdorf</t>
  </si>
  <si>
    <t>47,055</t>
  </si>
  <si>
    <t>7,629167</t>
  </si>
  <si>
    <t>46,1679</t>
  </si>
  <si>
    <t>8,7933</t>
  </si>
  <si>
    <t>46,880556</t>
  </si>
  <si>
    <t>9,523333</t>
  </si>
  <si>
    <t>46,9279611</t>
  </si>
  <si>
    <t>7,1149694</t>
  </si>
  <si>
    <t>47,321642</t>
  </si>
  <si>
    <t>7,900933</t>
  </si>
  <si>
    <t>46,694452</t>
  </si>
  <si>
    <t>6,918054</t>
  </si>
  <si>
    <t>46,954444</t>
  </si>
  <si>
    <t>9,584444</t>
  </si>
  <si>
    <t>47,494722</t>
  </si>
  <si>
    <t>9,398056</t>
  </si>
  <si>
    <t>47,0324500</t>
  </si>
  <si>
    <t>8,5972917</t>
  </si>
  <si>
    <t>Neu-Falkenstein (Balsthal)</t>
  </si>
  <si>
    <t>47,322778</t>
  </si>
  <si>
    <t>7,71</t>
  </si>
  <si>
    <t>http://www.haut-koenigsbourg.fr/en</t>
  </si>
  <si>
    <t>Switzerland</t>
  </si>
  <si>
    <t>Tunisia</t>
  </si>
  <si>
    <t>Castell Coch</t>
  </si>
  <si>
    <t>Champvent (Kanton Vaud)</t>
  </si>
  <si>
    <t>Lausanne (Kanton Vaud)</t>
  </si>
  <si>
    <t>Habsburg (Kanton Aargau)</t>
  </si>
  <si>
    <t>Seengen (Kanton Aargau)</t>
  </si>
  <si>
    <t>Romont (Kanton Fribourg)</t>
  </si>
  <si>
    <t>Balsthal (Kanton Solothurn)</t>
  </si>
  <si>
    <t>Thun (Kanton Bern)</t>
  </si>
  <si>
    <t>Sion (Kanton Wallis)</t>
  </si>
  <si>
    <t>Vufflens-le-Château (Kanton Vaud)</t>
  </si>
  <si>
    <t>Grandson (Kanton Vaud)</t>
  </si>
  <si>
    <t>Martigny-Combe (Kanton Wallis)</t>
  </si>
  <si>
    <t>Gruyeres (Kanton Fribourg)</t>
  </si>
  <si>
    <t>Lucens (Kanton Vaud)</t>
  </si>
  <si>
    <t>http://www.kreml.ru/en/history/kremlin/</t>
  </si>
  <si>
    <t>45,160556</t>
  </si>
  <si>
    <t>41,5</t>
  </si>
  <si>
    <t>15,333333</t>
  </si>
  <si>
    <t>44,8375</t>
  </si>
  <si>
    <t>11,619167</t>
  </si>
  <si>
    <t>43,4</t>
  </si>
  <si>
    <t>10,864167</t>
  </si>
  <si>
    <t>38,116667</t>
  </si>
  <si>
    <t>13,341111</t>
  </si>
  <si>
    <t>37,498889</t>
  </si>
  <si>
    <t>15,084722</t>
  </si>
  <si>
    <t>http://www.icastelli.it/castle-1234811333-castello_ursino_o_svevo_di_catania-it.php</t>
  </si>
  <si>
    <t>41,128011</t>
  </si>
  <si>
    <t>16,867108</t>
  </si>
  <si>
    <t>44,115108</t>
  </si>
  <si>
    <t>9,971528</t>
  </si>
  <si>
    <t>42,084626</t>
  </si>
  <si>
    <t>13,545257</t>
  </si>
  <si>
    <t>http://www.comune.celano.aq.it/articoli/231/castello-piccolomini.html</t>
  </si>
  <si>
    <t>42,00424</t>
  </si>
  <si>
    <t>14,99638</t>
  </si>
  <si>
    <t>42,328889</t>
  </si>
  <si>
    <t>13,688889</t>
  </si>
  <si>
    <t>41,281667</t>
  </si>
  <si>
    <t>16,415556</t>
  </si>
  <si>
    <t>40,998334</t>
  </si>
  <si>
    <t>15,653039</t>
  </si>
  <si>
    <t>44,655556</t>
  </si>
  <si>
    <t>10,273611</t>
  </si>
  <si>
    <t>45,233333</t>
  </si>
  <si>
    <t>11,45</t>
  </si>
  <si>
    <t>44,8825</t>
  </si>
  <si>
    <t>10,1725</t>
  </si>
  <si>
    <t>44,576389</t>
  </si>
  <si>
    <t>10,456389</t>
  </si>
  <si>
    <t>44,422406</t>
  </si>
  <si>
    <t>12,204597</t>
  </si>
  <si>
    <t>www.castellodivigoleno.com</t>
  </si>
  <si>
    <t>44,816667</t>
  </si>
  <si>
    <t>9,901111</t>
  </si>
  <si>
    <t>Rocca Sforzesca di Imola</t>
  </si>
  <si>
    <t>44,35413</t>
  </si>
  <si>
    <t>11,70674</t>
  </si>
  <si>
    <t>44,136194</t>
  </si>
  <si>
    <t>12,239886</t>
  </si>
  <si>
    <t>44,85</t>
  </si>
  <si>
    <t>9,866667</t>
  </si>
  <si>
    <t>http://www.fondazionecaetani.org/castello.php</t>
  </si>
  <si>
    <t>41,55</t>
  </si>
  <si>
    <t>12,983333</t>
  </si>
  <si>
    <t>41,759314</t>
  </si>
  <si>
    <t>12,301228</t>
  </si>
  <si>
    <t>42,104318</t>
  </si>
  <si>
    <t>12,177569</t>
  </si>
  <si>
    <t>44,072789</t>
  </si>
  <si>
    <t>9,907319</t>
  </si>
  <si>
    <t>45,4</t>
  </si>
  <si>
    <t>Ivrea</t>
  </si>
  <si>
    <t>45,467731</t>
  </si>
  <si>
    <t>7,875298</t>
  </si>
  <si>
    <t>45,190136</t>
  </si>
  <si>
    <t>9,158433</t>
  </si>
  <si>
    <t>http://www.castelloviscontidisanvito.it/</t>
  </si>
  <si>
    <t>43,89667</t>
  </si>
  <si>
    <t>12,34613</t>
  </si>
  <si>
    <t>Senigallia</t>
  </si>
  <si>
    <t>San Leo</t>
  </si>
  <si>
    <t>43,715372</t>
  </si>
  <si>
    <t>13,220575</t>
  </si>
  <si>
    <t>43,942778</t>
  </si>
  <si>
    <t>12,774444</t>
  </si>
  <si>
    <t>45,497778</t>
  </si>
  <si>
    <t>7,870833</t>
  </si>
  <si>
    <t>http://www.castellomontaltodora.com/en</t>
  </si>
  <si>
    <t>40,388463</t>
  </si>
  <si>
    <t>8,998848</t>
  </si>
  <si>
    <t>37,577618</t>
  </si>
  <si>
    <t>13,771478</t>
  </si>
  <si>
    <t>37,053056</t>
  </si>
  <si>
    <t>15,295556</t>
  </si>
  <si>
    <t>43,319296</t>
  </si>
  <si>
    <t>11,36909</t>
  </si>
  <si>
    <t>43,878844</t>
  </si>
  <si>
    <t>11,098556</t>
  </si>
  <si>
    <t>Castello di Caetani (Sermoneta)</t>
  </si>
  <si>
    <t>Castello Orsini-Odescalchi (Bracciano)</t>
  </si>
  <si>
    <t>Rocca Roveresca (Senigallia)</t>
  </si>
  <si>
    <t>Castello Malatestiano (Gradara)</t>
  </si>
  <si>
    <t>Castello dalle Rosse Torri (Ivrea)</t>
  </si>
  <si>
    <t>Castello del Goceano (Burgos)</t>
  </si>
  <si>
    <t>Castello Manfredonico (Mussomeli)</t>
  </si>
  <si>
    <t>http://www.castellodipoppi.it/</t>
  </si>
  <si>
    <t>43,723157</t>
  </si>
  <si>
    <t>11,767885</t>
  </si>
  <si>
    <t>11,256174</t>
  </si>
  <si>
    <t>43,769315</t>
  </si>
  <si>
    <t>43,073</t>
  </si>
  <si>
    <t>12,6151</t>
  </si>
  <si>
    <t>Rocca Albornoziana (Spoleto)</t>
  </si>
  <si>
    <t>42,734167</t>
  </si>
  <si>
    <t>12,742222</t>
  </si>
  <si>
    <t>43,233056</t>
  </si>
  <si>
    <t>12,788611</t>
  </si>
  <si>
    <t>Castello Scaligero (Malcesine)</t>
  </si>
  <si>
    <t>45,7663</t>
  </si>
  <si>
    <t>10,80851</t>
  </si>
  <si>
    <t>Castello Ducale dei Gonzaga (Mantova)</t>
  </si>
  <si>
    <t>45,159722</t>
  </si>
  <si>
    <t>10,798611</t>
  </si>
  <si>
    <t>10,8</t>
  </si>
  <si>
    <t>Castello Svevo (Trani)</t>
  </si>
  <si>
    <t>Castello Estense (Ferrara)</t>
  </si>
  <si>
    <t>Rocca Sanvitale (Fontanellato)</t>
  </si>
  <si>
    <t>Rocca Malatestiana (Cesena)</t>
  </si>
  <si>
    <t>Castello di Visconti (Castell'Arquato)</t>
  </si>
  <si>
    <t>Castello di San Michele (Ossana)</t>
  </si>
  <si>
    <t>&lt;b&gt;Tower of London&lt;/b&gt;&lt;br&gt;&lt;br&gt;&lt;img src='http://www.topcastles.com/images/large/tower.jpg' border='0'&gt;&lt;br&gt;&lt;br&gt;Topcastle according to http://www.topcastles.com/kastelen.php?SubMenu=main&amp;SelCastle=tower&lt;br&gt;&lt;br&gt;1. Tower of London&lt;br&gt;Country: England&lt;br&gt;Region: London&lt;br&gt;Place: London</t>
  </si>
  <si>
    <t>&lt;b&gt;Cité de Carcassonne&lt;/b&gt;&lt;br&gt;&lt;br&gt;&lt;img src='http://www.topcastles.com/images/large/carcassonne.jpg' border='0'&gt;&lt;br&gt;&lt;br&gt;Topcastle according to http://www.topcastles.com/kastelen.php?SubMenu=main&amp;SelCastle=carcassonne&lt;br&gt;&lt;br&gt;2. Cité de Carcassonne&lt;br&gt;Country: France&lt;br&gt;Region: Languedoc-Roussillon&lt;br&gt;Place: Carcassonne</t>
  </si>
  <si>
    <t>&lt;b&gt;Krak des Chevaliers (Kalat el Hösn)&lt;/b&gt;&lt;br&gt;&lt;br&gt;&lt;img src='http://www.topcastles.com/images/large/krak.jpg' border='0'&gt;&lt;br&gt;&lt;br&gt;Topcastle according to http://www.topcastles.com/kastelen.php?SubMenu=main&amp;SelCastle=krak&lt;br&gt;&lt;br&gt;3. Krak des Chevaliers (Kalat el Hösn)&lt;br&gt;Country: Syria&lt;br&gt;Region: &lt;br&gt;Place: Homs</t>
  </si>
  <si>
    <t>&lt;b&gt;Malbork (Marienborg)&lt;/b&gt;&lt;br&gt;&lt;br&gt;&lt;img src='http://www.topcastles.com/images/large/malbork.jpg' border='0'&gt;&lt;br&gt;&lt;br&gt;Topcastle according to http://www.topcastles.com/kastelen.php?SubMenu=main&amp;SelCastle=malbork&lt;br&gt;&lt;br&gt;4. Malbork (Marienborg)&lt;br&gt;Country: Poland&lt;br&gt;Region: Pomorsky (Pomerania, Pommern)&lt;br&gt;Place: Malbork</t>
  </si>
  <si>
    <t>&lt;b&gt;Caernarfon Castle (Caernarvon)&lt;/b&gt;&lt;br&gt;&lt;br&gt;&lt;img src='http://www.topcastles.com/images/large/caernarfon.jpg' border='0'&gt;&lt;br&gt;&lt;br&gt;Topcastle according to http://www.topcastles.com/kastelen.php?SubMenu=main&amp;SelCastle=caernarfon&lt;br&gt;&lt;br&gt;5. Caernarfon Castle (Caernarvon)&lt;br&gt;Country: Wales&lt;br&gt;Region: Gwynedd&lt;br&gt;Place: Caernarfon</t>
  </si>
  <si>
    <t>&lt;b&gt;Alhambra de Granada&lt;/b&gt;&lt;br&gt;&lt;br&gt;&lt;img src='http://www.topcastles.com/images/large/alhambra.jpg' border='0'&gt;&lt;br&gt;&lt;br&gt;Topcastle according to http://www.topcastles.com/kastelen.php?SubMenu=main&amp;SelCastle=alhambra&lt;br&gt;&lt;br&gt;6. Alhambra de Granada&lt;br&gt;Country: Spain&lt;br&gt;Region: Andalucia&lt;br&gt;Place: Granada</t>
  </si>
  <si>
    <t>&lt;b&gt;Harlech Castle&lt;/b&gt;&lt;br&gt;&lt;br&gt;&lt;img src='http://www.topcastles.com/images/large/harlech.jpg' border='0'&gt;&lt;br&gt;&lt;br&gt;Topcastle according to http://www.topcastles.com/kastelen.php?SubMenu=main&amp;SelCastle=harlech&lt;br&gt;&lt;br&gt;7. Harlech Castle&lt;br&gt;Country: Wales&lt;br&gt;Region: Gwynedd&lt;br&gt;Place: Harlech</t>
  </si>
  <si>
    <t>&lt;b&gt;Château de Chillon &lt;/b&gt;&lt;br&gt;&lt;br&gt;&lt;img src='http://www.topcastles.com/images/large/chillon.jpg' border='0'&gt;&lt;br&gt;&lt;br&gt;Topcastle according to http://www.topcastles.com/kastelen.php?SubMenu=main&amp;SelCastle=chillon&lt;br&gt;&lt;br&gt;8. Château de Chillon &lt;br&gt;Country: Switzerland&lt;br&gt;Region: Genfersee&lt;br&gt;Place: Champvent (Kanton Vaud)</t>
  </si>
  <si>
    <t>&lt;b&gt;Alcazar de Segovia&lt;/b&gt;&lt;br&gt;&lt;br&gt;&lt;img src='http://www.topcastles.com/images/large/segovia.jpg' border='0'&gt;&lt;br&gt;&lt;br&gt;Topcastle according to http://www.topcastles.com/kastelen.php?SubMenu=main&amp;SelCastle=segovia&lt;br&gt;&lt;br&gt;9. Alcazar de Segovia&lt;br&gt;Country: Spain&lt;br&gt;Region: Castilla y León&lt;br&gt;Place: Segovia</t>
  </si>
  <si>
    <t>&lt;b&gt;Dover Castle&lt;/b&gt;&lt;br&gt;&lt;br&gt;&lt;img src='http://www.topcastles.com/images/large/dover.jpg' border='0'&gt;&lt;br&gt;&lt;br&gt;Topcastle according to http://www.topcastles.com/kastelen.php?SubMenu=main&amp;SelCastle=dover&lt;br&gt;&lt;br&gt;10. Dover Castle&lt;br&gt;Country: England&lt;br&gt;Region: South East&lt;br&gt;Place: Dover (Kent)</t>
  </si>
  <si>
    <t>&lt;b&gt;Burg Eltz &lt;/b&gt;&lt;br&gt;&lt;br&gt;&lt;img src='http://www.topcastles.com/images/large/eltz.jpg' border='0'&gt;&lt;br&gt;&lt;br&gt;Topcastle according to http://www.topcastles.com/kastelen.php?SubMenu=main&amp;SelCastle=eltz&lt;br&gt;&lt;br&gt;11. Burg Eltz &lt;br&gt;Country: Germany&lt;br&gt;Region: Rheinland-Pfalz&lt;br&gt;Place: Münstermaifeld</t>
  </si>
  <si>
    <t>&lt;b&gt;Bodiam Castle&lt;/b&gt;&lt;br&gt;&lt;br&gt;&lt;img src='http://www.topcastles.com/images/large/bodiam.jpg' border='0'&gt;&lt;br&gt;&lt;br&gt;Topcastle according to http://www.topcastles.com/kastelen.php?SubMenu=main&amp;SelCastle=bodiam&lt;br&gt;&lt;br&gt;12. Bodiam Castle&lt;br&gt;Country: England&lt;br&gt;Region: South East&lt;br&gt;Place: Robertsbridge (Sussex)</t>
  </si>
  <si>
    <t xml:space="preserve">&lt;b&gt;Castel del Monte&lt;/b&gt;&lt;br&gt;&lt;br&gt;&lt;img src='http://www.topcastles.com/images/large/monte.jpg' border='0'&gt;&lt;br&gt;&lt;br&gt;Topcastle according to http://www.topcastles.com/kastelen.php?SubMenu=main&amp;SelCastle=monte&lt;br&gt;&lt;br&gt;13. Castel del Monte&lt;br&gt;Country: Italy&lt;br&gt;Region: Apulië (Puglia)&lt;br&gt;Place: </t>
  </si>
  <si>
    <t>&lt;b&gt;Gravensteen&lt;/b&gt;&lt;br&gt;&lt;br&gt;&lt;img src='http://www.topcastles.com/images/large/gravensteen.jpg' border='0'&gt;&lt;br&gt;&lt;br&gt;Topcastle according to http://www.topcastles.com/kastelen.php?SubMenu=main&amp;SelCastle=gravensteen&lt;br&gt;&lt;br&gt;14. Gravensteen&lt;br&gt;Country: Belgium&lt;br&gt;Region: Oost Vlaanderen&lt;br&gt;Place: Gent</t>
  </si>
  <si>
    <t>&lt;b&gt;Conway Castle (Conwy)&lt;/b&gt;&lt;br&gt;&lt;br&gt;&lt;img src='http://www.topcastles.com/images/large/conwy.jpg' border='0'&gt;&lt;br&gt;&lt;br&gt;Topcastle according to http://www.topcastles.com/kastelen.php?SubMenu=main&amp;SelCastle=conwy&lt;br&gt;&lt;br&gt;15. Conway Castle (Conwy)&lt;br&gt;Country: Wales&lt;br&gt;Region: Gwynedd&lt;br&gt;Place: Conwy</t>
  </si>
  <si>
    <t>&lt;b&gt;Beaumaris Castle&lt;/b&gt;&lt;br&gt;&lt;br&gt;&lt;img src='http://www.topcastles.com/images/large/beaumaris.jpg' border='0'&gt;&lt;br&gt;&lt;br&gt;Topcastle according to http://www.topcastles.com/kastelen.php?SubMenu=main&amp;SelCastle=beaumaris&lt;br&gt;&lt;br&gt;16. Beaumaris Castle&lt;br&gt;Country: Wales&lt;br&gt;Region: Gwynedd&lt;br&gt;Place: Anglesey</t>
  </si>
  <si>
    <t>&lt;b&gt;Château Gaillard des Andelys&lt;/b&gt;&lt;br&gt;&lt;br&gt;&lt;img src='http://www.topcastles.com/images/large/gaillard.jpg' border='0'&gt;&lt;br&gt;&lt;br&gt;Topcastle according to http://www.topcastles.com/kastelen.php?SubMenu=main&amp;SelCastle=gaillard&lt;br&gt;&lt;br&gt;17. Château Gaillard des Andelys&lt;br&gt;Country: France&lt;br&gt;Region: Normandie&lt;br&gt;Place: Les Andeleys</t>
  </si>
  <si>
    <t>&lt;b&gt;Vianden&lt;/b&gt;&lt;br&gt;&lt;br&gt;&lt;img src='http://www.topcastles.com/images/large/vianden.jpg' border='0'&gt;&lt;br&gt;&lt;br&gt;Topcastle according to http://www.topcastles.com/kastelen.php?SubMenu=main&amp;SelCastle=vianden&lt;br&gt;&lt;br&gt;18. Vianden&lt;br&gt;Country: Luxemburg&lt;br&gt;Region: &lt;br&gt;Place: Vianden</t>
  </si>
  <si>
    <t>&lt;b&gt;Karlštejn Hrad &lt;/b&gt;&lt;br&gt;&lt;br&gt;&lt;img src='http://www.topcastles.com/images/large/karlstejn.jpg' border='0'&gt;&lt;br&gt;&lt;br&gt;Topcastle according to http://www.topcastles.com/kastelen.php?SubMenu=main&amp;SelCastle=karlstejn&lt;br&gt;&lt;br&gt;19. Karlštejn Hrad &lt;br&gt;Country: Czechia&lt;br&gt;Region: Stredo Ceský (Mittelböhmen)&lt;br&gt;Place: Karlstejn</t>
  </si>
  <si>
    <t>&lt;b&gt;Die Wartburg&lt;/b&gt;&lt;br&gt;&lt;br&gt;&lt;img src='http://www.topcastles.com/images/large/wartburg.jpg' border='0'&gt;&lt;br&gt;&lt;br&gt;Topcastle according to http://www.topcastles.com/kastelen.php?SubMenu=main&amp;SelCastle=wartburg&lt;br&gt;&lt;br&gt;20. Die Wartburg&lt;br&gt;Country: Germany&lt;br&gt;Region: Thüringen&lt;br&gt;Place: Eisenach</t>
  </si>
  <si>
    <t>&lt;b&gt;Castillo de Coca (Castile Causa)&lt;/b&gt;&lt;br&gt;&lt;br&gt;&lt;img src='http://www.topcastles.com/images/large/coca.jpg' border='0'&gt;&lt;br&gt;&lt;br&gt;Topcastle according to http://www.topcastles.com/kastelen.php?SubMenu=main&amp;SelCastle=coca&lt;br&gt;&lt;br&gt;21. Castillo de Coca (Castile Causa)&lt;br&gt;Country: Spain&lt;br&gt;Region: Castilla y León&lt;br&gt;Place: Segovia</t>
  </si>
  <si>
    <t>&lt;b&gt;Caerphilly Castle&lt;/b&gt;&lt;br&gt;&lt;br&gt;&lt;img src='http://www.topcastles.com/images/large/caerphilly.jpg' border='0'&gt;&lt;br&gt;&lt;br&gt;Topcastle according to http://www.topcastles.com/kastelen.php?SubMenu=main&amp;SelCastle=caerphilly&lt;br&gt;&lt;br&gt;22. Caerphilly Castle&lt;br&gt;Country: Wales&lt;br&gt;Region: Glamorgan&lt;br&gt;Place: Mid Glamorgan</t>
  </si>
  <si>
    <t>&lt;b&gt;Kalmar Slott&lt;/b&gt;&lt;br&gt;&lt;br&gt;&lt;img src='http://www.topcastles.com/images/large/kalmar.jpg' border='0'&gt;&lt;br&gt;&lt;br&gt;Topcastle according to http://www.topcastles.com/kastelen.php?SubMenu=main&amp;SelCastle=kalmar&lt;br&gt;&lt;br&gt;23. Kalmar Slott&lt;br&gt;Country: Sweden&lt;br&gt;Region: Sydsverige (South Sweden)&lt;br&gt;Place: Kalmar (Skåne)</t>
  </si>
  <si>
    <t>&lt;b&gt;Muiderslot&lt;/b&gt;&lt;br&gt;&lt;br&gt;&lt;img src='http://www.topcastles.com/images/large/muiderslot.jpg' border='0'&gt;&lt;br&gt;&lt;br&gt;Topcastle according to http://www.topcastles.com/kastelen.php?SubMenu=main&amp;SelCastle=muiderslot&lt;br&gt;&lt;br&gt;24. Muiderslot&lt;br&gt;Country: Netherlands&lt;br&gt;Region: Noord Holland&lt;br&gt;Place: Muiden</t>
  </si>
  <si>
    <t>&lt;b&gt;Château d'Haut-Koenigsbourg (Hohkönigsburg)&lt;/b&gt;&lt;br&gt;&lt;br&gt;&lt;img src='http://www.topcastles.com/images/large/hautkoeningsbourg.jpg' border='0'&gt;&lt;br&gt;&lt;br&gt;Topcastle according to http://www.topcastles.com/kastelen.php?SubMenu=main&amp;SelCastle=hautkoeningsbourg&lt;br&gt;&lt;br&gt;25. Château d'Haut-Koenigsbourg (Hohkönigsburg)&lt;br&gt;Country: France&lt;br&gt;Region: Elzas (Alsace)&lt;br&gt;Place: Haut-Koeningsbourg</t>
  </si>
  <si>
    <t>&lt;b&gt;Windsor Castle&lt;/b&gt;&lt;br&gt;&lt;br&gt;&lt;img src='http://www.topcastles.com/images/large/windsor.jpg' border='0'&gt;&lt;br&gt;&lt;br&gt;Topcastle according to http://www.topcastles.com/kastelen.php?SubMenu=main&amp;SelCastle=windsor&lt;br&gt;&lt;br&gt;26. Windsor Castle&lt;br&gt;Country: England&lt;br&gt;Region: South East&lt;br&gt;Place: Windsor (Birkshire)</t>
  </si>
  <si>
    <t>&lt;b&gt;Festung Hohensalzburg&lt;/b&gt;&lt;br&gt;&lt;br&gt;&lt;img src='http://www.topcastles.com/images/large/hohensalzburg.jpg' border='0'&gt;&lt;br&gt;&lt;br&gt;Topcastle according to http://www.topcastles.com/kastelen.php?SubMenu=main&amp;SelCastle=hohensalzburg&lt;br&gt;&lt;br&gt;27. Festung Hohensalzburg&lt;br&gt;Country: Austria&lt;br&gt;Region: Salzburg&lt;br&gt;Place: Salzburg</t>
  </si>
  <si>
    <t>&lt;b&gt;Visegrád vár (Plintenburg)&lt;/b&gt;&lt;br&gt;&lt;br&gt;&lt;img src='http://www.topcastles.com/images/large/visegrad.jpg' border='0'&gt;&lt;br&gt;&lt;br&gt;Topcastle according to http://www.topcastles.com/kastelen.php?SubMenu=main&amp;SelCastle=visegrad&lt;br&gt;&lt;br&gt;28. Visegrád vár (Plintenburg)&lt;br&gt;Country: Hungary&lt;br&gt;Region: Közép Magyarország (Central Hungary)&lt;br&gt;Place: Visegrád</t>
  </si>
  <si>
    <t>&lt;b&gt;Spišský Hrad (Zips, Scepus)&lt;/b&gt;&lt;br&gt;&lt;br&gt;&lt;img src='http://www.topcastles.com/images/large/spissky.jpg' border='0'&gt;&lt;br&gt;&lt;br&gt;Topcastle according to http://www.topcastles.com/kastelen.php?SubMenu=main&amp;SelCastle=spissky&lt;br&gt;&lt;br&gt;29. Spišský Hrad (Zips, Scepus)&lt;br&gt;Country: Slovakia&lt;br&gt;Region: Spiš&lt;br&gt;Place: Žehra</t>
  </si>
  <si>
    <t>&lt;b&gt;Avignon (Palais des Papes)&lt;/b&gt;&lt;br&gt;&lt;br&gt;&lt;img src='http://www.topcastles.com/images/large/avignon.jpg' border='0'&gt;&lt;br&gt;&lt;br&gt;Topcastle according to http://www.topcastles.com/kastelen.php?SubMenu=main&amp;SelCastle=avignon&lt;br&gt;&lt;br&gt;30. Avignon (Palais des Papes)&lt;br&gt;Country: France&lt;br&gt;Region: Provence-Alpes-Côte-d'Azur&lt;br&gt;Place: Avignon</t>
  </si>
  <si>
    <t>&lt;b&gt;Castelul Bran (Toerzburg)&lt;/b&gt;&lt;br&gt;&lt;br&gt;&lt;img src='http://www.topcastles.com/images/large/bran.jpg' border='0'&gt;&lt;br&gt;&lt;br&gt;Topcastle according to http://www.topcastles.com/kastelen.php?SubMenu=main&amp;SelCastle=bran&lt;br&gt;&lt;br&gt;31. Castelul Bran (Toerzburg)&lt;br&gt;Country: Rumania&lt;br&gt;Region: Transylvanië (Siebenbürgen)&lt;br&gt;Place: Brasov</t>
  </si>
  <si>
    <t>&lt;b&gt;Rumeli Hissar&lt;/b&gt;&lt;br&gt;&lt;br&gt;&lt;img src='http://www.topcastles.com/images/large/rumelihissar.jpg' border='0'&gt;&lt;br&gt;&lt;br&gt;Topcastle according to http://www.topcastles.com/kastelen.php?SubMenu=main&amp;SelCastle=rumelihissar&lt;br&gt;&lt;br&gt;32. Rumeli Hissar&lt;br&gt;Country: Turkey&lt;br&gt;Region: &lt;br&gt;Place: Rumeli Hisari</t>
  </si>
  <si>
    <t>&lt;b&gt;Château de Saumur &lt;/b&gt;&lt;br&gt;&lt;br&gt;&lt;img src='http://www.topcastles.com/images/large/saumur.jpg' border='0'&gt;&lt;br&gt;&lt;br&gt;Topcastle according to http://www.topcastles.com/kastelen.php?SubMenu=main&amp;SelCastle=saumur&lt;br&gt;&lt;br&gt;33. Château de Saumur &lt;br&gt;Country: France&lt;br&gt;Region: Pays de la Loire&lt;br&gt;Place: Saumur-Tours</t>
  </si>
  <si>
    <t>&lt;b&gt;Rochester Castle&lt;/b&gt;&lt;br&gt;&lt;br&gt;&lt;img src='http://www.topcastles.com/images/large/rochester.jpg' border='0'&gt;&lt;br&gt;&lt;br&gt;Topcastle according to http://www.topcastles.com/kastelen.php?SubMenu=main&amp;SelCastle=rochester&lt;br&gt;&lt;br&gt;34. Rochester Castle&lt;br&gt;Country: England&lt;br&gt;Region: South East&lt;br&gt;Place: Rochester (Kent)</t>
  </si>
  <si>
    <t>&lt;b&gt;Château de Loches &lt;/b&gt;&lt;br&gt;&lt;br&gt;&lt;img src='http://www.topcastles.com/images/large/loches.jpg' border='0'&gt;&lt;br&gt;&lt;br&gt;Topcastle according to http://www.topcastles.com/kastelen.php?SubMenu=main&amp;SelCastle=loches&lt;br&gt;&lt;br&gt;35. Château de Loches &lt;br&gt;Country: France&lt;br&gt;Region: Centre&lt;br&gt;Place: Loches</t>
  </si>
  <si>
    <t>&lt;b&gt;Coucy-Le-Château&lt;/b&gt;&lt;br&gt;&lt;br&gt;&lt;img src='http://www.topcastles.com/images/large/coucy.jpg' border='0'&gt;&lt;br&gt;&lt;br&gt;Topcastle according to http://www.topcastles.com/kastelen.php?SubMenu=main&amp;SelCastle=coucy&lt;br&gt;&lt;br&gt;36. Coucy-Le-Château&lt;br&gt;Country: France&lt;br&gt;Region: Picardie&lt;br&gt;Place: Coucy-Le-Château</t>
  </si>
  <si>
    <t xml:space="preserve">&lt;b&gt;Trim Castle&lt;/b&gt;&lt;br&gt;&lt;br&gt;&lt;img src='http://www.topcastles.com/images/large/trim.jpg' border='0'&gt;&lt;br&gt;&lt;br&gt;Topcastle according to http://www.topcastles.com/kastelen.php?SubMenu=main&amp;SelCastle=trim&lt;br&gt;&lt;br&gt;37. Trim Castle&lt;br&gt;Country: Republic of Ireland&lt;br&gt;Region: Meath&lt;br&gt;Place: </t>
  </si>
  <si>
    <t>&lt;b&gt;Warwick Castle&lt;/b&gt;&lt;br&gt;&lt;br&gt;&lt;img src='http://www.topcastles.com/images/large/warwick.jpg' border='0'&gt;&lt;br&gt;&lt;br&gt;Topcastle according to http://www.topcastles.com/kastelen.php?SubMenu=main&amp;SelCastle=warwick&lt;br&gt;&lt;br&gt;38. Warwick Castle&lt;br&gt;Country: England&lt;br&gt;Region: West Midlands&lt;br&gt;Place: Warwick (Warwickshire)</t>
  </si>
  <si>
    <t xml:space="preserve">&lt;b&gt;Blarney Castle&lt;/b&gt;&lt;br&gt;&lt;br&gt;&lt;img src='http://www.topcastles.com/images/large/blarney.jpg' border='0'&gt;&lt;br&gt;&lt;br&gt;Topcastle according to http://www.topcastles.com/kastelen.php?SubMenu=main&amp;SelCastle=blarney&lt;br&gt;&lt;br&gt;39. Blarney Castle&lt;br&gt;Country: Republic of Ireland&lt;br&gt;Region: Cork&lt;br&gt;Place: </t>
  </si>
  <si>
    <t>&lt;b&gt;Marksburg&lt;/b&gt;&lt;br&gt;&lt;br&gt;&lt;img src='http://www.topcastles.com/images/large/marksburg.jpg' border='0'&gt;&lt;br&gt;&lt;br&gt;Topcastle according to http://www.topcastles.com/kastelen.php?SubMenu=main&amp;SelCastle=marksburg&lt;br&gt;&lt;br&gt;40. Marksburg&lt;br&gt;Country: Germany&lt;br&gt;Region: Rheinland-Pfalz&lt;br&gt;Place: Braubach</t>
  </si>
  <si>
    <t>&lt;b&gt;Kaiserburg Nürnberg&lt;/b&gt;&lt;br&gt;&lt;br&gt;&lt;img src='http://www.topcastles.com/images/large/nurnberg.jpg' border='0'&gt;&lt;br&gt;&lt;br&gt;Topcastle according to http://www.topcastles.com/kastelen.php?SubMenu=main&amp;SelCastle=nurnberg&lt;br&gt;&lt;br&gt;41. Kaiserburg Nürnberg&lt;br&gt;Country: Germany&lt;br&gt;Region: Bayern&lt;br&gt;Place: Nürnberg</t>
  </si>
  <si>
    <t>&lt;b&gt;Himeji-Jo (Shirasagi-Witte Reiger)&lt;/b&gt;&lt;br&gt;&lt;br&gt;&lt;img src='http://www.topcastles.com/images/large/himeji.jpg' border='0'&gt;&lt;br&gt;&lt;br&gt;Topcastle according to http://www.topcastles.com/kastelen.php?SubMenu=main&amp;SelCastle=himeji&lt;br&gt;&lt;br&gt;42. Himeji-Jo (Shirasagi-Witte Reiger)&lt;br&gt;Country: Japan&lt;br&gt;Region: &lt;br&gt;Place: Himeji</t>
  </si>
  <si>
    <t>&lt;b&gt;Château de Pierrefonds&lt;/b&gt;&lt;br&gt;&lt;br&gt;&lt;img src='http://www.topcastles.com/images/large/pierrefonds.jpg' border='0'&gt;&lt;br&gt;&lt;br&gt;Topcastle according to http://www.topcastles.com/kastelen.php?SubMenu=main&amp;SelCastle=pierrefonds&lt;br&gt;&lt;br&gt;43. Château de Pierrefonds&lt;br&gt;Country: France&lt;br&gt;Region: Picardie&lt;br&gt;Place: Pierrefonds</t>
  </si>
  <si>
    <t>&lt;b&gt;Edinburgh Castle&lt;/b&gt;&lt;br&gt;&lt;br&gt;&lt;img src='http://www.topcastles.com/images/large/edinburgh.jpg' border='0'&gt;&lt;br&gt;&lt;br&gt;Topcastle according to http://www.topcastles.com/kastelen.php?SubMenu=main&amp;SelCastle=edinburgh&lt;br&gt;&lt;br&gt;44. Edinburgh Castle&lt;br&gt;Country: Scotland&lt;br&gt;Region: Edinburg and Lothian&lt;br&gt;Place: Edinburgh (Lothian)</t>
  </si>
  <si>
    <t>&lt;b&gt;Castillo de la Mota (Medina del Campo)&lt;/b&gt;&lt;br&gt;&lt;br&gt;&lt;img src='http://www.topcastles.com/images/large/mota.jpg' border='0'&gt;&lt;br&gt;&lt;br&gt;Topcastle according to http://www.topcastles.com/kastelen.php?SubMenu=main&amp;SelCastle=mota&lt;br&gt;&lt;br&gt;45. Castillo de la Mota (Medina del Campo)&lt;br&gt;Country: Spain&lt;br&gt;Region: Castilla y León&lt;br&gt;Place: Medina del Campo (Valladolid)</t>
  </si>
  <si>
    <t>&lt;b&gt;Castelvecchio&lt;/b&gt;&lt;br&gt;&lt;br&gt;&lt;img src='http://www.topcastles.com/images/large/castelvecchio.jpg' border='0'&gt;&lt;br&gt;&lt;br&gt;Topcastle according to http://www.topcastles.com/kastelen.php?SubMenu=main&amp;SelCastle=castelvecchio&lt;br&gt;&lt;br&gt;46. Castelvecchio&lt;br&gt;Country: Italy&lt;br&gt;Region: Veneto (Venetia)&lt;br&gt;Place: Verona</t>
  </si>
  <si>
    <t>&lt;b&gt;Château de Langeais &lt;/b&gt;&lt;br&gt;&lt;br&gt;&lt;img src='http://www.topcastles.com/images/large/langeais.jpg' border='0'&gt;&lt;br&gt;&lt;br&gt;Topcastle according to http://www.topcastles.com/kastelen.php?SubMenu=main&amp;SelCastle=langeais&lt;br&gt;&lt;br&gt;47. Château de Langeais &lt;br&gt;Country: France&lt;br&gt;Region: Centre&lt;br&gt;Place: Langeais</t>
  </si>
  <si>
    <t>&lt;b&gt;Yedikule Hisari (Golden Gate Castle, Catle of Seven Towers)&lt;/b&gt;&lt;br&gt;&lt;br&gt;&lt;img src='http://www.topcastles.com/images/large/yedikule.jpg' border='0'&gt;&lt;br&gt;&lt;br&gt;Topcastle according to http://www.topcastles.com/kastelen.php?SubMenu=main&amp;SelCastle=yedikule&lt;br&gt;&lt;br&gt;48. Yedikule Hisari (Golden Gate Castle, Catle of Seven Towers)&lt;br&gt;Country: Turkey&lt;br&gt;Region: &lt;br&gt;Place: Istanbul</t>
  </si>
  <si>
    <t>&lt;b&gt;Castel Sant'Angelo (Lungotevere Castello, Engelenburcht)&lt;/b&gt;&lt;br&gt;&lt;br&gt;&lt;img src='http://www.topcastles.com/images/large/sanangelo.jpg' border='0'&gt;&lt;br&gt;&lt;br&gt;Topcastle according to http://www.topcastles.com/kastelen.php?SubMenu=main&amp;SelCastle=sanangelo&lt;br&gt;&lt;br&gt;49. Castel Sant'Angelo (Lungotevere Castello, Engelenburcht)&lt;br&gt;Country: Italy&lt;br&gt;Region: Lazio&lt;br&gt;Place: Rome</t>
  </si>
  <si>
    <t>&lt;b&gt;Wawel (Cracow, Krolewski)&lt;/b&gt;&lt;br&gt;&lt;br&gt;&lt;img src='http://www.topcastles.com/images/large/krolewski.jpg' border='0'&gt;&lt;br&gt;&lt;br&gt;Topcastle according to http://www.topcastles.com/kastelen.php?SubMenu=main&amp;SelCastle=krolewski&lt;br&gt;&lt;br&gt;50. Wawel (Cracow, Krolewski)&lt;br&gt;Country: Poland&lt;br&gt;Region: Malopolskie (Lesser Poland)&lt;br&gt;Place: Cracow</t>
  </si>
  <si>
    <t>&lt;b&gt;Pfalzgrafenstein&lt;/b&gt;&lt;br&gt;&lt;br&gt;&lt;img src='http://www.topcastles.com/images/large/pfalzgrafenstein.jpg' border='0'&gt;&lt;br&gt;&lt;br&gt;Topcastle according to http://www.topcastles.com/kastelen.php?SubMenu=main&amp;SelCastle=pfalzgrafenstein&lt;br&gt;&lt;br&gt;51. Pfalzgrafenstein&lt;br&gt;Country: Germany&lt;br&gt;Region: Rheinland-Pfalz&lt;br&gt;Place: Kaub</t>
  </si>
  <si>
    <t>&lt;b&gt;Prazsky Hrad&lt;/b&gt;&lt;br&gt;&lt;br&gt;&lt;img src='http://www.topcastles.com/images/large/prag.jpg' border='0'&gt;&lt;br&gt;&lt;br&gt;Topcastle according to http://www.topcastles.com/kastelen.php?SubMenu=main&amp;SelCastle=prag&lt;br&gt;&lt;br&gt;52. Prazsky Hrad&lt;br&gt;Country: Czechia&lt;br&gt;Region: Hlavní město Praha&lt;br&gt;Place: Praha</t>
  </si>
  <si>
    <t>&lt;b&gt;Château d'Angers&lt;/b&gt;&lt;br&gt;&lt;br&gt;&lt;img src='http://www.topcastles.com/images/large/angers.jpg' border='0'&gt;&lt;br&gt;&lt;br&gt;Topcastle according to http://www.topcastles.com/kastelen.php?SubMenu=main&amp;SelCastle=angers&lt;br&gt;&lt;br&gt;53. Château d'Angers&lt;br&gt;Country: France&lt;br&gt;Region: Pays de la Loire&lt;br&gt;Place: Angers</t>
  </si>
  <si>
    <t>&lt;b&gt;Rocca Scaligera&lt;/b&gt;&lt;br&gt;&lt;br&gt;&lt;img src='http://www.topcastles.com/images/large/scaligera.jpg' border='0'&gt;&lt;br&gt;&lt;br&gt;Topcastle according to http://www.topcastles.com/kastelen.php?SubMenu=main&amp;SelCastle=scaligera&lt;br&gt;&lt;br&gt;54. Rocca Scaligera&lt;br&gt;Country: Italy&lt;br&gt;Region: Lombardije (Lombardia)&lt;br&gt;Place: Sirmione</t>
  </si>
  <si>
    <t>Visborg (Wisborg) refers to a fortress in the town of Visby on the Swedish island of Gotland. There was no one fortress called "Visborg", rather it refers to successive fortresses built in Visby (Borg in Old Norse means fortress or castle). Though Visborg is usually a reference to the castle built here by Erik of Pomerania.</t>
  </si>
  <si>
    <t>&lt;b&gt;Visborg Slott&lt;/b&gt;&lt;br&gt;&lt;br&gt;&lt;img src='http://www.topcastles.com/images/large/visby.jpg' border='0'&gt;&lt;br&gt;&lt;br&gt;Topcastle according to http://www.topcastles.com/kastelen.php?SubMenu=main&amp;SelCastle=visby&lt;br&gt;&lt;br&gt;55. Visborg Slott&lt;br&gt;Country: Sweden&lt;br&gt;Region: Småland&lt;br&gt;Place: Visby (Gotland)</t>
  </si>
  <si>
    <t>&lt;b&gt;Kaiserburg Trifels&lt;/b&gt;&lt;br&gt;&lt;br&gt;&lt;img src='http://www.topcastles.com/images/large/trifels.jpg' border='0'&gt;&lt;br&gt;&lt;br&gt;Topcastle according to http://www.topcastles.com/kastelen.php?SubMenu=main&amp;SelCastle=trifels&lt;br&gt;&lt;br&gt;56. Kaiserburg Trifels&lt;br&gt;Country: Germany&lt;br&gt;Region: Rheinland-Pfalz&lt;br&gt;Place: Annweiler</t>
  </si>
  <si>
    <t>&lt;b&gt;St. Nicola (Collachium‎)&lt;/b&gt;&lt;br&gt;&lt;br&gt;&lt;img src='http://www.topcastles.com/images/large/nicola.jpg' border='0'&gt;&lt;br&gt;&lt;br&gt;Topcastle according to http://www.topcastles.com/kastelen.php?SubMenu=main&amp;SelCastle=nicola&lt;br&gt;&lt;br&gt;57. St. Nicola (Collachium‎)&lt;br&gt;Country: Greece&lt;br&gt;Region: &lt;br&gt;Place: Rhodes</t>
  </si>
  <si>
    <t>&lt;b&gt;Pembroke Castle&lt;/b&gt;&lt;br&gt;&lt;br&gt;&lt;img src='http://www.topcastles.com/images/large/pembroke.jpg' border='0'&gt;&lt;br&gt;&lt;br&gt;Topcastle according to http://www.topcastles.com/kastelen.php?SubMenu=main&amp;SelCastle=pembroke&lt;br&gt;&lt;br&gt;58. Pembroke Castle&lt;br&gt;Country: Wales&lt;br&gt;Region: Dyfed&lt;br&gt;Place: Pembroke</t>
  </si>
  <si>
    <t xml:space="preserve">&lt;b&gt;Carrickfergus Castle&lt;/b&gt;&lt;br&gt;&lt;br&gt;&lt;img src='http://www.topcastles.com/images/large/carrickfergus.jpg' border='0'&gt;&lt;br&gt;&lt;br&gt;Topcastle according to http://www.topcastles.com/kastelen.php?SubMenu=main&amp;SelCastle=carrickfergus&lt;br&gt;&lt;br&gt;59. Carrickfergus Castle&lt;br&gt;Country: Northern Ireland&lt;br&gt;Region: Antrim&lt;br&gt;Place: </t>
  </si>
  <si>
    <t>&lt;b&gt;Kasteel Beersel&lt;/b&gt;&lt;br&gt;&lt;br&gt;&lt;img src='http://www.topcastles.com/images/large/beersel.jpg' border='0'&gt;&lt;br&gt;&lt;br&gt;Topcastle according to http://www.topcastles.com/kastelen.php?SubMenu=main&amp;SelCastle=beersel&lt;br&gt;&lt;br&gt;60. Kasteel Beersel&lt;br&gt;Country: Belgium&lt;br&gt;Region: Brabant&lt;br&gt;Place: Beersel</t>
  </si>
  <si>
    <t>&lt;b&gt;Alcazaba de Almeria&lt;/b&gt;&lt;br&gt;&lt;br&gt;&lt;img src='http://www.topcastles.com/images/large/almeria.jpg' border='0'&gt;&lt;br&gt;&lt;br&gt;Topcastle according to http://www.topcastles.com/kastelen.php?SubMenu=main&amp;SelCastle=almeria&lt;br&gt;&lt;br&gt;61. Alcazaba de Almeria&lt;br&gt;Country: Spain&lt;br&gt;Region: Andalucia&lt;br&gt;Place: Almeria</t>
  </si>
  <si>
    <t>&lt;b&gt;Castelul Corvinestilor‎ (Hunedoara, Huniazilor, Vajdahunyad)&lt;/b&gt;&lt;br&gt;&lt;br&gt;&lt;img src='http://www.topcastles.com/images/large/hunedoara.jpg' border='0'&gt;&lt;br&gt;&lt;br&gt;Topcastle according to http://www.topcastles.com/kastelen.php?SubMenu=main&amp;SelCastle=hunedoara&lt;br&gt;&lt;br&gt;62. Castelul Corvinestilor‎ (Hunedoara, Huniazilor, Vajdahunyad)&lt;br&gt;Country: Rumania&lt;br&gt;Region: Transylvanië (Siebenbürgen)&lt;br&gt;Place: Hunedoara</t>
  </si>
  <si>
    <t>&lt;b&gt;Castillo de Peñafiel&lt;/b&gt;&lt;br&gt;&lt;br&gt;&lt;img src='http://www.topcastles.com/images/large/penafiel.jpg' border='0'&gt;&lt;br&gt;&lt;br&gt;Topcastle according to http://www.topcastles.com/kastelen.php?SubMenu=main&amp;SelCastle=penafiel&lt;br&gt;&lt;br&gt;63. Castillo de Peñafiel&lt;br&gt;Country: Spain&lt;br&gt;Region: Castilla y León&lt;br&gt;Place: Peñafiel (Valladolid)</t>
  </si>
  <si>
    <t>&lt;b&gt;Castel Nuovo (Maschio Angioino)&lt;/b&gt;&lt;br&gt;&lt;br&gt;&lt;img src='http://www.topcastles.com/images/large/castelnuovo.jpg' border='0'&gt;&lt;br&gt;&lt;br&gt;Topcastle according to http://www.topcastles.com/kastelen.php?SubMenu=main&amp;SelCastle=castelnuovo&lt;br&gt;&lt;br&gt;64. Castel Nuovo (Maschio Angioino)&lt;br&gt;Country: Italy&lt;br&gt;Region: Campanië&lt;br&gt;Place: Naples</t>
  </si>
  <si>
    <t xml:space="preserve">&lt;b&gt;Olavinlinna (Olofsburg)&lt;/b&gt;&lt;br&gt;&lt;br&gt;&lt;img src='http://www.topcastles.com/images/large/olavinlinna.jpg' border='0'&gt;&lt;br&gt;&lt;br&gt;Topcastle according to http://www.topcastles.com/kastelen.php?SubMenu=main&amp;SelCastle=olavinlinna&lt;br&gt;&lt;br&gt;65. Olavinlinna (Olofsburg)&lt;br&gt;Country: Finland&lt;br&gt;Region: &lt;br&gt;Place: </t>
  </si>
  <si>
    <t>&lt;b&gt;Caerlaverock Castle&lt;/b&gt;&lt;br&gt;&lt;br&gt;&lt;img src='http://www.topcastles.com/images/large/caerlaverock.jpg' border='0'&gt;&lt;br&gt;&lt;br&gt;Topcastle according to http://www.topcastles.com/kastelen.php?SubMenu=main&amp;SelCastle=caerlaverock&lt;br&gt;&lt;br&gt;66. Caerlaverock Castle&lt;br&gt;Country: Scotland&lt;br&gt;Region: South&lt;br&gt;Place: (Dumfries and Galloway)</t>
  </si>
  <si>
    <t>Castillo de Fuensaldaña</t>
  </si>
  <si>
    <t>&lt;b&gt;Castillo de Fuensaldaña&lt;/b&gt;&lt;br&gt;&lt;br&gt;&lt;img src='http://www.topcastles.com/images/large/fuensaldana.jpg' border='0'&gt;&lt;br&gt;&lt;br&gt;Topcastle according to http://www.topcastles.com/kastelen.php?SubMenu=main&amp;SelCastle=fuensaldana&lt;br&gt;&lt;br&gt;67. Castillo de Fuensaldaña&lt;br&gt;Country: Spain&lt;br&gt;Region: Castilla y León&lt;br&gt;Place: Fuensaldaña (Valladolid)</t>
  </si>
  <si>
    <t>&lt;b&gt;Castello di Fenis&lt;/b&gt;&lt;br&gt;&lt;br&gt;&lt;img src='http://www.topcastles.com/images/large/fenis.jpg' border='0'&gt;&lt;br&gt;&lt;br&gt;Topcastle according to http://www.topcastles.com/kastelen.php?SubMenu=main&amp;SelCastle=fenis&lt;br&gt;&lt;br&gt;68. Castello di Fenis&lt;br&gt;Country: Italy&lt;br&gt;Region: Valle d'Aosta&lt;br&gt;Place: Piemont</t>
  </si>
  <si>
    <t>&lt;b&gt;Château de Vincennes &lt;/b&gt;&lt;br&gt;&lt;br&gt;&lt;img src='http://www.topcastles.com/images/large/vincennes.jpg' border='0'&gt;&lt;br&gt;&lt;br&gt;Topcastle according to http://www.topcastles.com/kastelen.php?SubMenu=main&amp;SelCastle=vincennes&lt;br&gt;&lt;br&gt;69. Château de Vincennes &lt;br&gt;Country: France&lt;br&gt;Region: Ile-de-France&lt;br&gt;Place: Paris</t>
  </si>
  <si>
    <t>&lt;b&gt;Hochosterwitz&lt;/b&gt;&lt;br&gt;&lt;br&gt;&lt;img src='http://www.topcastles.com/images/large/hochosterwitz.jpg' border='0'&gt;&lt;br&gt;&lt;br&gt;Topcastle according to http://www.topcastles.com/kastelen.php?SubMenu=main&amp;SelCastle=hochosterwitz&lt;br&gt;&lt;br&gt;70. Hochosterwitz&lt;br&gt;Country: Austria&lt;br&gt;Region: Kärnten&lt;br&gt;Place: St. Veith an der Glan</t>
  </si>
  <si>
    <t>&lt;b&gt;Château de Chinon &lt;/b&gt;&lt;br&gt;&lt;br&gt;&lt;img src='http://www.topcastles.com/images/large/chinon.jpg' border='0'&gt;&lt;br&gt;&lt;br&gt;Topcastle according to http://www.topcastles.com/kastelen.php?SubMenu=main&amp;SelCastle=chinon&lt;br&gt;&lt;br&gt;71. Château de Chinon &lt;br&gt;Country: France&lt;br&gt;Region: Centre&lt;br&gt;Place: Chinon</t>
  </si>
  <si>
    <t>&lt;b&gt;Saone (Citadel of Salah Ed-Din, Saladin's Burcht)&lt;/b&gt;&lt;br&gt;&lt;br&gt;&lt;img src='http://www.topcastles.com/images/large/saone.jpg' border='0'&gt;&lt;br&gt;&lt;br&gt;Topcastle according to http://www.topcastles.com/kastelen.php?SubMenu=main&amp;SelCastle=saone&lt;br&gt;&lt;br&gt;72. Saone (Citadel of Salah Ed-Din, Saladin's Burcht)&lt;br&gt;Country: Syria&lt;br&gt;Region: &lt;br&gt;Place: Qalaat Salah ad-Din</t>
  </si>
  <si>
    <t>&lt;b&gt;Kaiserburg Salzburg&lt;/b&gt;&lt;br&gt;&lt;br&gt;&lt;img src='http://www.topcastles.com/images/large/salzburg.jpg' border='0'&gt;&lt;br&gt;&lt;br&gt;Topcastle according to http://www.topcastles.com/kastelen.php?SubMenu=main&amp;SelCastle=salzburg&lt;br&gt;&lt;br&gt;73. Kaiserburg Salzburg&lt;br&gt;Country: Germany&lt;br&gt;Region: Bayern&lt;br&gt;Place: Bad Neuhaus an der Saale</t>
  </si>
  <si>
    <t xml:space="preserve">&lt;b&gt;Château de Gisors&lt;/b&gt;&lt;br&gt;&lt;br&gt;&lt;img src='http://www.topcastles.com/images/large/gisors.jpg' border='0'&gt;&lt;br&gt;&lt;br&gt;Topcastle according to http://www.topcastles.com/kastelen.php?SubMenu=main&amp;SelCastle=gisors&lt;br&gt;&lt;br&gt;74. Château de Gisors&lt;br&gt;Country: France&lt;br&gt;Region: Normandie&lt;br&gt;Place: </t>
  </si>
  <si>
    <t>&lt;b&gt;Pataki vár (Sárospatak, Rákóczi)&lt;/b&gt;&lt;br&gt;&lt;br&gt;&lt;img src='http://www.topcastles.com/images/large/sarospatak.jpg' border='0'&gt;&lt;br&gt;&lt;br&gt;Topcastle according to http://www.topcastles.com/kastelen.php?SubMenu=main&amp;SelCastle=sarospatak&lt;br&gt;&lt;br&gt;75. Pataki vár (Sárospatak, Rákóczi)&lt;br&gt;Country: Hungary&lt;br&gt;Region: Észak Magyaroszág (Northern Hungary)&lt;br&gt;Place: Sárospatak</t>
  </si>
  <si>
    <t>&lt;b&gt;Akershus&lt;/b&gt;&lt;br&gt;&lt;br&gt;&lt;img src='http://www.topcastles.com/images/large/akershus.jpg' border='0'&gt;&lt;br&gt;&lt;br&gt;Topcastle according to http://www.topcastles.com/kastelen.php?SubMenu=main&amp;SelCastle=akershus&lt;br&gt;&lt;br&gt;76. Akershus&lt;br&gt;Country: Norway&lt;br&gt;Region: &lt;br&gt;Place: Oslo</t>
  </si>
  <si>
    <t>&lt;b&gt;Castel Roncolo (Schloss Runkelstein)&lt;/b&gt;&lt;br&gt;&lt;br&gt;&lt;img src='http://www.topcastles.com/images/large/runkelstein.jpg' border='0'&gt;&lt;br&gt;&lt;br&gt;Topcastle according to http://www.topcastles.com/kastelen.php?SubMenu=main&amp;SelCastle=runkelstein&lt;br&gt;&lt;br&gt;77. Castel Roncolo (Schloss Runkelstein)&lt;br&gt;Country: Italy&lt;br&gt;Region: Trento (Zuid-Tirol, Trentino)&lt;br&gt;Place: Bolzano</t>
  </si>
  <si>
    <t>&lt;b&gt;Veste Coburg&lt;/b&gt;&lt;br&gt;&lt;br&gt;&lt;img src='http://www.topcastles.com/images/large/coburg.jpg' border='0'&gt;&lt;br&gt;&lt;br&gt;Topcastle according to http://www.topcastles.com/kastelen.php?SubMenu=main&amp;SelCastle=coburg&lt;br&gt;&lt;br&gt;78. Veste Coburg&lt;br&gt;Country: Germany&lt;br&gt;Region: Bayern&lt;br&gt;Place: Coburg</t>
  </si>
  <si>
    <t>&lt;b&gt;Kremlin&lt;/b&gt;&lt;br&gt;&lt;br&gt;&lt;img src='http://www.topcastles.com/images/large/kremlin.jpg' border='0'&gt;&lt;br&gt;&lt;br&gt;Topcastle according to http://www.topcastles.com/kastelen.php?SubMenu=main&amp;SelCastle=kremlin&lt;br&gt;&lt;br&gt;79. Kremlin&lt;br&gt;Country: Russia&lt;br&gt;Region: &lt;br&gt;Place: Moskou</t>
  </si>
  <si>
    <t>&lt;b&gt;Gripsholm&lt;/b&gt;&lt;br&gt;&lt;br&gt;&lt;img src='http://www.topcastles.com/images/large/gripsholm.jpg' border='0'&gt;&lt;br&gt;&lt;br&gt;Topcastle according to http://www.topcastles.com/kastelen.php?SubMenu=main&amp;SelCastle=gripsholm&lt;br&gt;&lt;br&gt;80. Gripsholm&lt;br&gt;Country: Sweden&lt;br&gt;Region: Östra Mellansverige (East Middle Sweden)&lt;br&gt;Place: Mariefred (Södermanland)</t>
  </si>
  <si>
    <t>&lt;b&gt;Dublin Castle&lt;/b&gt;&lt;br&gt;&lt;br&gt;&lt;img src='http://www.topcastles.com/images/large/dublin.jpg' border='0'&gt;&lt;br&gt;&lt;br&gt;Topcastle according to http://www.topcastles.com/kastelen.php?SubMenu=main&amp;SelCastle=dublin&lt;br&gt;&lt;br&gt;81. Dublin Castle&lt;br&gt;Country: Republic of Ireland&lt;br&gt;Region: Dublin&lt;br&gt;Place: Dublin</t>
  </si>
  <si>
    <t>&lt;b&gt;Trencianský hrad (Trencsén, Trencín)&lt;/b&gt;&lt;br&gt;&lt;br&gt;&lt;img src='http://www.topcastles.com/images/large/trencsen.jpg' border='0'&gt;&lt;br&gt;&lt;br&gt;Topcastle according to http://www.topcastles.com/kastelen.php?SubMenu=main&amp;SelCastle=trencsen&lt;br&gt;&lt;br&gt;82. Trencianský hrad (Trencsén, Trencín)&lt;br&gt;Country: Slovakia&lt;br&gt;Region: Trenciansko&lt;br&gt;Place: Trencín</t>
  </si>
  <si>
    <t>&lt;b&gt;Castillo de los Mendoza (Castillo nuevo de Manzanares el Real)&lt;/b&gt;&lt;br&gt;&lt;br&gt;&lt;img src='http://www.topcastles.com/images/large/manzanares.jpg' border='0'&gt;&lt;br&gt;&lt;br&gt;Topcastle according to http://www.topcastles.com/kastelen.php?SubMenu=main&amp;SelCastle=manzanares&lt;br&gt;&lt;br&gt;83. Castillo de los Mendoza (Castillo nuevo de Manzanares el Real)&lt;br&gt;Country: Spain&lt;br&gt;Region: Madrid&lt;br&gt;Place: Madrid</t>
  </si>
  <si>
    <t>&lt;b&gt;Castillo de Bellver &lt;/b&gt;&lt;br&gt;&lt;br&gt;&lt;img src='http://www.topcastles.com/images/large/bellver.jpg' border='0'&gt;&lt;br&gt;&lt;br&gt;Topcastle according to http://www.topcastles.com/kastelen.php?SubMenu=main&amp;SelCastle=bellver&lt;br&gt;&lt;br&gt;84. Castillo de Bellver &lt;br&gt;Country: Spain&lt;br&gt;Region: Baleares&lt;br&gt;Place: Mallorca</t>
  </si>
  <si>
    <t>&lt;b&gt;Egeskov&lt;/b&gt;&lt;br&gt;&lt;br&gt;&lt;img src='http://www.topcastles.com/images/large/egeskov.jpg' border='0'&gt;&lt;br&gt;&lt;br&gt;Topcastle according to http://www.topcastles.com/kastelen.php?SubMenu=main&amp;SelCastle=egeskov&lt;br&gt;&lt;br&gt;85. Egeskov&lt;br&gt;Country: Denmark&lt;br&gt;Region: Fyn (Funen)&lt;br&gt;Place: Kværndrup</t>
  </si>
  <si>
    <t>Pernštejn Hrad</t>
  </si>
  <si>
    <t>&lt;b&gt;Pernštejn Hrad&lt;/b&gt;&lt;br&gt;&lt;br&gt;&lt;img src='http://www.topcastles.com/images/large/pernstejn.jpg' border='0'&gt;&lt;br&gt;&lt;br&gt;Topcastle according to http://www.topcastles.com/kastelen.php?SubMenu=main&amp;SelCastle=pernstejn&lt;br&gt;&lt;br&gt;86. Pernštejn Hrad&lt;br&gt;Country: Czechia&lt;br&gt;Region: Jiho Moravia (Südmährien)&lt;br&gt;Place: Nedvedice (Brno)</t>
  </si>
  <si>
    <t>&lt;b&gt;Sümegi vár&lt;/b&gt;&lt;br&gt;&lt;br&gt;&lt;img src='http://www.topcastles.com/images/large/sumeg.jpg' border='0'&gt;&lt;br&gt;&lt;br&gt;Topcastle according to http://www.topcastles.com/kastelen.php?SubMenu=main&amp;SelCastle=sumeg&lt;br&gt;&lt;br&gt;87. Sümegi vár&lt;br&gt;Country: Hungary&lt;br&gt;Region: Közép Dunántúl (Central Transdanubia)&lt;br&gt;Place: Sümeg</t>
  </si>
  <si>
    <t xml:space="preserve">&lt;b&gt;Schloss Aggstein&lt;/b&gt;&lt;br&gt;&lt;br&gt;&lt;img src='http://www.topcastles.com/images/large/aggstein.jpg' border='0'&gt;&lt;br&gt;&lt;br&gt;Topcastle according to http://www.topcastles.com/kastelen.php?SubMenu=main&amp;SelCastle=aggstein&lt;br&gt;&lt;br&gt;88. Schloss Aggstein&lt;br&gt;Country: Austria&lt;br&gt;Region: Niederöstenreich&lt;br&gt;Place: </t>
  </si>
  <si>
    <t xml:space="preserve">&lt;b&gt;Hermannstein (Hermannstadt)&lt;/b&gt;&lt;br&gt;&lt;br&gt;&lt;img src='http://www.topcastles.com/images/large/hermannstein.jpg' border='0'&gt;&lt;br&gt;&lt;br&gt;Topcastle according to http://www.topcastles.com/kastelen.php?SubMenu=main&amp;SelCastle=hermannstein&lt;br&gt;&lt;br&gt;89. Hermannstein (Hermannstadt)&lt;br&gt;Country: Rumania&lt;br&gt;Region: wetzlar&lt;br&gt;Place: </t>
  </si>
  <si>
    <t>&lt;b&gt;Diósgyõri vár&lt;/b&gt;&lt;br&gt;&lt;br&gt;&lt;img src='http://www.topcastles.com/images/large/diosgyor.jpg' border='0'&gt;&lt;br&gt;&lt;br&gt;Topcastle according to http://www.topcastles.com/kastelen.php?SubMenu=main&amp;SelCastle=diosgyor&lt;br&gt;&lt;br&gt;90. Diósgyõri vár&lt;br&gt;Country: Hungary&lt;br&gt;Region: Észak Magyaroszág (Northern Hungary)&lt;br&gt;Place: Diósgyor</t>
  </si>
  <si>
    <t xml:space="preserve">&lt;b&gt;Burg Wildenberg (Kirchzell)&lt;/b&gt;&lt;br&gt;&lt;br&gt;&lt;img src='http://www.topcastles.com/images/large/wildenberg.jpg' border='0'&gt;&lt;br&gt;&lt;br&gt;Topcastle according to http://www.topcastles.com/kastelen.php?SubMenu=main&amp;SelCastle=wildenberg&lt;br&gt;&lt;br&gt;91. Burg Wildenberg (Kirchzell)&lt;br&gt;Country: Germany&lt;br&gt;Region: Bayern&lt;br&gt;Place: </t>
  </si>
  <si>
    <t>&lt;b&gt;Castillo de Loarre &lt;/b&gt;&lt;br&gt;&lt;br&gt;&lt;img src='http://www.topcastles.com/images/large/loarre.jpg' border='0'&gt;&lt;br&gt;&lt;br&gt;Topcastle according to http://www.topcastles.com/kastelen.php?SubMenu=main&amp;SelCastle=loarre&lt;br&gt;&lt;br&gt;92. Castillo de Loarre &lt;br&gt;Country: Spain&lt;br&gt;Region: Aragón&lt;br&gt;Place: Huesca</t>
  </si>
  <si>
    <t xml:space="preserve">&lt;b&gt;Dobra Voda (Guttenstein)&lt;/b&gt;&lt;br&gt;&lt;br&gt;&lt;img src='http://www.topcastles.com/images/large/dobra.jpg' border='0'&gt;&lt;br&gt;&lt;br&gt;Topcastle according to http://www.topcastles.com/kastelen.php?SubMenu=main&amp;SelCastle=dobra&lt;br&gt;&lt;br&gt;93. Dobra Voda (Guttenstein)&lt;br&gt;Country: Slovakia&lt;br&gt;Region: Trnava&lt;br&gt;Place: </t>
  </si>
  <si>
    <t>&lt;b&gt;Hammershus&lt;/b&gt;&lt;br&gt;&lt;br&gt;&lt;img src='http://www.topcastles.com/images/large/hammershus.jpg' border='0'&gt;&lt;br&gt;&lt;br&gt;Topcastle according to http://www.topcastles.com/kastelen.php?SubMenu=main&amp;SelCastle=hammershus&lt;br&gt;&lt;br&gt;94. Hammershus&lt;br&gt;Country: Denmark&lt;br&gt;Region: Bornholm&lt;br&gt;Place: Sandvig</t>
  </si>
  <si>
    <t>&lt;b&gt;Remparts d'Aigues-Mortes&lt;/b&gt;&lt;br&gt;&lt;br&gt;&lt;img src='http://www.topcastles.com/images/large/aiguesmortes.jpg' border='0'&gt;&lt;br&gt;&lt;br&gt;Topcastle according to http://www.topcastles.com/kastelen.php?SubMenu=main&amp;SelCastle=aiguesmortes&lt;br&gt;&lt;br&gt;95. Remparts d'Aigues-Mortes&lt;br&gt;Country: France&lt;br&gt;Region: Languedoc-Roussillon&lt;br&gt;Place: Aigues Mortes</t>
  </si>
  <si>
    <t>&lt;b&gt;Arundel Castle&lt;/b&gt;&lt;br&gt;&lt;br&gt;&lt;img src='http://www.topcastles.com/images/large/arundel.jpg' border='0'&gt;&lt;br&gt;&lt;br&gt;Topcastle according to http://www.topcastles.com/kastelen.php?SubMenu=main&amp;SelCastle=arundel&lt;br&gt;&lt;br&gt;96. Arundel Castle&lt;br&gt;Country: England&lt;br&gt;Region: South East&lt;br&gt;Place: Arundel (Sussex)</t>
  </si>
  <si>
    <t>&lt;b&gt;Kwidzyn (Marienwerder)&lt;/b&gt;&lt;br&gt;&lt;br&gt;&lt;img src='http://www.topcastles.com/images/large/marienwerder.jpg' border='0'&gt;&lt;br&gt;&lt;br&gt;Topcastle according to http://www.topcastles.com/kastelen.php?SubMenu=main&amp;SelCastle=marienwerder&lt;br&gt;&lt;br&gt;97. Kwidzyn (Marienwerder)&lt;br&gt;Country: Poland&lt;br&gt;Region: Pomorsky (Pomerania, Pommern)&lt;br&gt;Place: Kwidzyn</t>
  </si>
  <si>
    <t>&lt;b&gt;Bergenhus Festning&lt;/b&gt;&lt;br&gt;&lt;br&gt;&lt;img src='http://www.topcastles.com/images/large/bergenhus.jpg' border='0'&gt;&lt;br&gt;&lt;br&gt;Topcastle according to http://www.topcastles.com/kastelen.php?SubMenu=main&amp;SelCastle=bergenhus&lt;br&gt;&lt;br&gt;98. Bergenhus Festning&lt;br&gt;Country: Norway&lt;br&gt;Region: &lt;br&gt;Place: Bergen</t>
  </si>
  <si>
    <t>&lt;b&gt;Àlmodóvar del Rio&lt;/b&gt;&lt;br&gt;&lt;br&gt;&lt;img src='http://www.topcastles.com/images/large/almodovar.jpg' border='0'&gt;&lt;br&gt;&lt;br&gt;Topcastle according to http://www.topcastles.com/kastelen.php?SubMenu=main&amp;SelCastle=almodovar&lt;br&gt;&lt;br&gt;99. Àlmodóvar del Rio&lt;br&gt;Country: Spain&lt;br&gt;Region: Andalucia&lt;br&gt;Place: Cordoba</t>
  </si>
  <si>
    <t>&lt;b&gt;Münzenberg&lt;/b&gt;&lt;br&gt;&lt;br&gt;&lt;img src='http://www.topcastles.com/images/large/munzenberg.jpg' border='0'&gt;&lt;br&gt;&lt;br&gt;Topcastle according to http://www.topcastles.com/kastelen.php?SubMenu=main&amp;SelCastle=munzenberg&lt;br&gt;&lt;br&gt;100. Münzenberg&lt;br&gt;Country: Germany&lt;br&gt;Region: Hessen&lt;br&gt;Place: Münzenberg</t>
  </si>
  <si>
    <t>&lt;b&gt;Chebský Hrad (Burg Eger)&lt;/b&gt;&lt;br&gt;&lt;br&gt;&lt;img src='http://www.topcastles.com/images/large/eger.jpg' border='0'&gt;&lt;br&gt;&lt;br&gt;Topcastle according to http://www.topcastles.com/kastelen.php?SubMenu=main&amp;SelCastle=eger&lt;br&gt;&lt;br&gt;101. Chebský Hrad (Burg Eger)&lt;br&gt;Country: Czechia&lt;br&gt;Region: Karlovy Vary (Karlsbad)&lt;br&gt;Place: Cheb (Karlsbad)</t>
  </si>
  <si>
    <t xml:space="preserve">&lt;b&gt;Bunratty Castle&lt;/b&gt;&lt;br&gt;&lt;br&gt;&lt;img src='http://www.topcastles.com/images/large/bunratty.jpg' border='0'&gt;&lt;br&gt;&lt;br&gt;Topcastle according to http://www.topcastles.com/kastelen.php?SubMenu=main&amp;SelCastle=bunratty&lt;br&gt;&lt;br&gt;102. Bunratty Castle&lt;br&gt;Country: Republic of Ireland&lt;br&gt;Region: Clare&lt;br&gt;Place: </t>
  </si>
  <si>
    <t>&lt;b&gt;Anadoli Hissar&lt;/b&gt;&lt;br&gt;&lt;br&gt;&lt;img src='http://www.topcastles.com/images/large/anadolihissar.jpg' border='0'&gt;&lt;br&gt;&lt;br&gt;Topcastle according to http://www.topcastles.com/kastelen.php?SubMenu=main&amp;SelCastle=anadolihissar&lt;br&gt;&lt;br&gt;103. Anadoli Hissar&lt;br&gt;Country: Turkey&lt;br&gt;Region: &lt;br&gt;Place: Anadolu Hisari</t>
  </si>
  <si>
    <t>&lt;b&gt;Kenilworth Castle&lt;/b&gt;&lt;br&gt;&lt;br&gt;&lt;img src='http://www.topcastles.com/images/large/kenilworth.jpg' border='0'&gt;&lt;br&gt;&lt;br&gt;Topcastle according to http://www.topcastles.com/kastelen.php?SubMenu=main&amp;SelCastle=kenilworth&lt;br&gt;&lt;br&gt;104. Kenilworth Castle&lt;br&gt;Country: England&lt;br&gt;Region: West Midlands&lt;br&gt;Place: (Warwickshire)</t>
  </si>
  <si>
    <t>&lt;b&gt;Dunajec in Niedzica&lt;/b&gt;&lt;br&gt;&lt;br&gt;&lt;img src='http://www.topcastles.com/images/large/niedzica.jpg' border='0'&gt;&lt;br&gt;&lt;br&gt;Topcastle according to http://www.topcastles.com/kastelen.php?SubMenu=main&amp;SelCastle=niedzica&lt;br&gt;&lt;br&gt;105. Dunajec in Niedzica&lt;br&gt;Country: Poland&lt;br&gt;Region: Malopolskie (Lesser Poland)&lt;br&gt;Place: Niedzica</t>
  </si>
  <si>
    <t xml:space="preserve">&lt;b&gt;Castelo de Almourol&lt;/b&gt;&lt;br&gt;&lt;br&gt;&lt;img src='http://www.topcastles.com/images/large/almourol.jpg' border='0'&gt;&lt;br&gt;&lt;br&gt;Topcastle according to http://www.topcastles.com/kastelen.php?SubMenu=main&amp;SelCastle=almourol&lt;br&gt;&lt;br&gt;106. Castelo de Almourol&lt;br&gt;Country: Portugal&lt;br&gt;Region: &lt;br&gt;Place: </t>
  </si>
  <si>
    <t>&lt;b&gt;Château de Bouillon&lt;/b&gt;&lt;br&gt;&lt;br&gt;&lt;img src='http://www.topcastles.com/images/large/bouillon.jpg' border='0'&gt;&lt;br&gt;&lt;br&gt;Topcastle according to http://www.topcastles.com/kastelen.php?SubMenu=main&amp;SelCastle=bouillon&lt;br&gt;&lt;br&gt;107. Château de Bouillon&lt;br&gt;Country: Belgium&lt;br&gt;Region: Luxemburg&lt;br&gt;Place: Bouillon sur Semois</t>
  </si>
  <si>
    <t>&lt;b&gt;Château du Roy René (Tarascon)&lt;/b&gt;&lt;br&gt;&lt;br&gt;&lt;img src='http://www.topcastles.com/images/large/tarascon.jpg' border='0'&gt;&lt;br&gt;&lt;br&gt;Topcastle according to http://www.topcastles.com/kastelen.php?SubMenu=main&amp;SelCastle=tarascon&lt;br&gt;&lt;br&gt;108. Château du Roy René (Tarascon)&lt;br&gt;Country: France&lt;br&gt;Region: Provence-Alpes-Côte-d'Azur&lt;br&gt;Place: Tarascon</t>
  </si>
  <si>
    <t>&lt;b&gt;Buda vára (Ofen)&lt;/b&gt;&lt;br&gt;&lt;br&gt;&lt;img src='http://www.topcastles.com/images/large/buda.jpg' border='0'&gt;&lt;br&gt;&lt;br&gt;Topcastle according to http://www.topcastles.com/kastelen.php?SubMenu=main&amp;SelCastle=buda&lt;br&gt;&lt;br&gt;109. Buda vára (Ofen)&lt;br&gt;Country: Hungary&lt;br&gt;Region: Közép Magyarország (Central Hungary)&lt;br&gt;Place: Budapest</t>
  </si>
  <si>
    <t>&lt;b&gt;Alcazar de Sevilla&lt;/b&gt;&lt;br&gt;&lt;br&gt;&lt;img src='http://www.topcastles.com/images/large/seville.jpg' border='0'&gt;&lt;br&gt;&lt;br&gt;Topcastle according to http://www.topcastles.com/kastelen.php?SubMenu=main&amp;SelCastle=seville&lt;br&gt;&lt;br&gt;110. Alcazar de Sevilla&lt;br&gt;Country: Spain&lt;br&gt;Region: Andalucia&lt;br&gt;Place: Sevilla</t>
  </si>
  <si>
    <t xml:space="preserve">&lt;b&gt;Limerick Castle (King John's Castle)&lt;/b&gt;&lt;br&gt;&lt;br&gt;&lt;img src='http://www.topcastles.com/images/large/limerick.jpg' border='0'&gt;&lt;br&gt;&lt;br&gt;Topcastle according to http://www.topcastles.com/kastelen.php?SubMenu=main&amp;SelCastle=limerick&lt;br&gt;&lt;br&gt;111. Limerick Castle (King John's Castle)&lt;br&gt;Country: Republic of Ireland&lt;br&gt;Region: Limerick&lt;br&gt;Place: </t>
  </si>
  <si>
    <t>&lt;b&gt;Reichsburg Cochem&lt;/b&gt;&lt;br&gt;&lt;br&gt;&lt;img src='http://www.topcastles.com/images/large/cochem.jpg' border='0'&gt;&lt;br&gt;&lt;br&gt;Topcastle according to http://www.topcastles.com/kastelen.php?SubMenu=main&amp;SelCastle=cochem&lt;br&gt;&lt;br&gt;112. Reichsburg Cochem&lt;br&gt;Country: Germany&lt;br&gt;Region: Rheinland-Pfalz&lt;br&gt;Place: Cochem</t>
  </si>
  <si>
    <t>&lt;b&gt;Torups Slott&lt;/b&gt;&lt;br&gt;&lt;br&gt;&lt;img src='http://www.topcastles.com/images/large/torups.jpg' border='0'&gt;&lt;br&gt;&lt;br&gt;Topcastle according to http://www.topcastles.com/kastelen.php?SubMenu=main&amp;SelCastle=torups&lt;br&gt;&lt;br&gt;113. Torups Slott&lt;br&gt;Country: Sweden&lt;br&gt;Region: Sydsverige (South Sweden)&lt;br&gt;Place: Svedala (Skåne)</t>
  </si>
  <si>
    <t>&lt;b&gt;Kasteel de Haar&lt;/b&gt;&lt;br&gt;&lt;br&gt;&lt;img src='http://www.topcastles.com/images/large/haar.jpg' border='0'&gt;&lt;br&gt;&lt;br&gt;Topcastle according to http://www.topcastles.com/kastelen.php?SubMenu=main&amp;SelCastle=haar&lt;br&gt;&lt;br&gt;114. Kasteel de Haar&lt;br&gt;Country: Netherlands&lt;br&gt;Region: Utrecht&lt;br&gt;Place: Haarzuilen</t>
  </si>
  <si>
    <t>&lt;b&gt;Schloss Tarasp&lt;/b&gt;&lt;br&gt;&lt;br&gt;&lt;img src='http://www.topcastles.com/images/large/tarasp.jpg' border='0'&gt;&lt;br&gt;&lt;br&gt;Topcastle according to http://www.topcastles.com/kastelen.php?SubMenu=main&amp;SelCastle=tarasp&lt;br&gt;&lt;br&gt;115. Schloss Tarasp&lt;br&gt;Country: Switzerland&lt;br&gt;Region: Ostschweiz&lt;br&gt;Place: Tarasp ((Kanton Graubünden)</t>
  </si>
  <si>
    <t>&lt;b&gt;Åbo Slott&lt;/b&gt;&lt;br&gt;&lt;br&gt;&lt;img src='http://www.topcastles.com/images/large/abo.jpg' border='0'&gt;&lt;br&gt;&lt;br&gt;Topcastle according to http://www.topcastles.com/kastelen.php?SubMenu=main&amp;SelCastle=abo&lt;br&gt;&lt;br&gt;116. Åbo Slott&lt;br&gt;Country: Finland&lt;br&gt;Region: &lt;br&gt;Place: Turku</t>
  </si>
  <si>
    <t>&lt;b&gt;Herstmonceux Castle&lt;/b&gt;&lt;br&gt;&lt;br&gt;&lt;img src='http://www.topcastles.com/images/large/herstmonceux.jpg' border='0'&gt;&lt;br&gt;&lt;br&gt;Topcastle according to http://www.topcastles.com/kastelen.php?SubMenu=main&amp;SelCastle=herstmonceux&lt;br&gt;&lt;br&gt;117. Herstmonceux Castle&lt;br&gt;Country: England&lt;br&gt;Region: South East&lt;br&gt;Place: (Surrey)</t>
  </si>
  <si>
    <t>&lt;b&gt;Stirling Castle&lt;/b&gt;&lt;br&gt;&lt;br&gt;&lt;img src='http://www.topcastles.com/images/large/stirling.jpg' border='0'&gt;&lt;br&gt;&lt;br&gt;Topcastle according to http://www.topcastles.com/kastelen.php?SubMenu=main&amp;SelCastle=stirling&lt;br&gt;&lt;br&gt;118. Stirling Castle&lt;br&gt;Country: Scotland&lt;br&gt;Region: Central&lt;br&gt;Place: Stirling</t>
  </si>
  <si>
    <t>&lt;b&gt;Kasteel het Valkhof (Pfalz Nymwegen)&lt;/b&gt;&lt;br&gt;&lt;br&gt;&lt;img src='http://www.topcastles.com/images/large/nijmegen.jpg' border='0'&gt;&lt;br&gt;&lt;br&gt;Topcastle according to http://www.topcastles.com/kastelen.php?SubMenu=main&amp;SelCastle=nijmegen&lt;br&gt;&lt;br&gt;119. Kasteel het Valkhof (Pfalz Nymwegen)&lt;br&gt;Country: Netherlands&lt;br&gt;Region: Gelderland&lt;br&gt;Place: Nijmegen</t>
  </si>
  <si>
    <t>&lt;b&gt;Schloss Heidelberg&lt;/b&gt;&lt;br&gt;&lt;br&gt;&lt;img src='http://www.topcastles.com/images/large/heidelberg.jpg' border='0'&gt;&lt;br&gt;&lt;br&gt;Topcastle according to http://www.topcastles.com/kastelen.php?SubMenu=main&amp;SelCastle=heidelberg&lt;br&gt;&lt;br&gt;120. Schloss Heidelberg&lt;br&gt;Country: Germany&lt;br&gt;Region: Baden-Würtenberg&lt;br&gt;Place: Heidelberg</t>
  </si>
  <si>
    <t>&lt;b&gt;Bamburgh Castle&lt;/b&gt;&lt;br&gt;&lt;br&gt;&lt;img src='http://www.topcastles.com/images/large/bamburgh.jpg' border='0'&gt;&lt;br&gt;&lt;br&gt;Topcastle according to http://www.topcastles.com/kastelen.php?SubMenu=main&amp;SelCastle=bamburgh&lt;br&gt;&lt;br&gt;121. Bamburgh Castle&lt;br&gt;Country: England&lt;br&gt;Region: North East&lt;br&gt;Place: (Northumberland)</t>
  </si>
  <si>
    <t xml:space="preserve">&lt;b&gt;Trakai Island Castle (Trakų Salos Pilis, Troky)&lt;/b&gt;&lt;br&gt;&lt;br&gt;&lt;img src='http://www.topcastles.com/images/large/trakai.jpg' border='0'&gt;&lt;br&gt;&lt;br&gt;Topcastle according to http://www.topcastles.com/kastelen.php?SubMenu=main&amp;SelCastle=trakai&lt;br&gt;&lt;br&gt;122. Trakai Island Castle (Trakų Salos Pilis, Troky)&lt;br&gt;Country: Lithuania&lt;br&gt;Region: &lt;br&gt;Place: </t>
  </si>
  <si>
    <t>&lt;b&gt;Castello di Tirol&lt;/b&gt;&lt;br&gt;&lt;br&gt;&lt;img src='http://www.topcastles.com/images/large/tirol.jpg' border='0'&gt;&lt;br&gt;&lt;br&gt;Topcastle according to http://www.topcastles.com/kastelen.php?SubMenu=main&amp;SelCastle=tirol&lt;br&gt;&lt;br&gt;123. Castello di Tirol&lt;br&gt;Country: Italy&lt;br&gt;Region: Trento (Zuid-Tirol, Trentino)&lt;br&gt;Place: Meran</t>
  </si>
  <si>
    <t>&lt;b&gt;Portchester Castle&lt;/b&gt;&lt;br&gt;&lt;br&gt;&lt;img src='http://www.topcastles.com/images/large/portchester.jpg' border='0'&gt;&lt;br&gt;&lt;br&gt;Topcastle according to http://www.topcastles.com/kastelen.php?SubMenu=main&amp;SelCastle=portchester&lt;br&gt;&lt;br&gt;124. Portchester Castle&lt;br&gt;Country: England&lt;br&gt;Region: South East&lt;br&gt;Place: Portsmouth (Hampshire)</t>
  </si>
  <si>
    <t xml:space="preserve">&lt;b&gt;Chepstow Castle&lt;/b&gt;&lt;br&gt;&lt;br&gt;&lt;img src='http://www.topcastles.com/images/large/chepstow.jpg' border='0'&gt;&lt;br&gt;&lt;br&gt;Topcastle according to http://www.topcastles.com/kastelen.php?SubMenu=main&amp;SelCastle=chepstow&lt;br&gt;&lt;br&gt;125. Chepstow Castle&lt;br&gt;Country: Wales&lt;br&gt;Region: Gwent&lt;br&gt;Place: </t>
  </si>
  <si>
    <t>&lt;b&gt;Trolleholm&lt;/b&gt;&lt;br&gt;&lt;br&gt;&lt;img src='http://www.topcastles.com/images/large/trolleholm.jpg' border='0'&gt;&lt;br&gt;&lt;br&gt;Topcastle according to http://www.topcastles.com/kastelen.php?SubMenu=main&amp;SelCastle=trolleholm&lt;br&gt;&lt;br&gt;126. Trolleholm&lt;br&gt;Country: Sweden&lt;br&gt;Region: Sydsverige (South Sweden)&lt;br&gt;Place: Svalöv (Skåne)</t>
  </si>
  <si>
    <t>&lt;b&gt;Enceinte de Provins (Tour de César)&lt;/b&gt;&lt;br&gt;&lt;br&gt;&lt;img src='http://www.topcastles.com/images/large/provins.jpg' border='0'&gt;&lt;br&gt;&lt;br&gt;Topcastle according to http://www.topcastles.com/kastelen.php?SubMenu=main&amp;SelCastle=provins&lt;br&gt;&lt;br&gt;127. Enceinte de Provins (Tour de César)&lt;br&gt;Country: France&lt;br&gt;Region: Ile-de-France&lt;br&gt;Place: Provins</t>
  </si>
  <si>
    <t>&lt;b&gt;Bratislavský hrad (Pressburg)&lt;/b&gt;&lt;br&gt;&lt;br&gt;&lt;img src='http://www.topcastles.com/images/large/bratislava.jpg' border='0'&gt;&lt;br&gt;&lt;br&gt;Topcastle according to http://www.topcastles.com/kastelen.php?SubMenu=main&amp;SelCastle=bratislava&lt;br&gt;&lt;br&gt;128. Bratislavský hrad (Pressburg)&lt;br&gt;Country: Slovakia&lt;br&gt;Region: &lt;br&gt;Place: Bratislava</t>
  </si>
  <si>
    <t>&lt;b&gt;Burg Rheinfels&lt;/b&gt;&lt;br&gt;&lt;br&gt;&lt;img src='http://www.topcastles.com/images/large/rheinfels.jpg' border='0'&gt;&lt;br&gt;&lt;br&gt;Topcastle according to http://www.topcastles.com/kastelen.php?SubMenu=main&amp;SelCastle=rheinfels&lt;br&gt;&lt;br&gt;129. Burg Rheinfels&lt;br&gt;Country: Germany&lt;br&gt;Region: Rheinland-Pfalz&lt;br&gt;Place: St. Goarshausen</t>
  </si>
  <si>
    <t>&lt;b&gt;Burg Rheinstein &lt;/b&gt;&lt;br&gt;&lt;br&gt;&lt;img src='http://www.topcastles.com/images/large/rheinstein.jpg' border='0'&gt;&lt;br&gt;&lt;br&gt;Topcastle according to http://www.topcastles.com/kastelen.php?SubMenu=main&amp;SelCastle=rheinstein&lt;br&gt;&lt;br&gt;130. Burg Rheinstein &lt;br&gt;Country: Germany&lt;br&gt;Region: Rheinland-Pfalz&lt;br&gt;Place: Assmannshausen</t>
  </si>
  <si>
    <t>&lt;b&gt;Ludlow Castle&lt;/b&gt;&lt;br&gt;&lt;br&gt;&lt;img src='http://www.topcastles.com/images/large/ludlow.jpg' border='0'&gt;&lt;br&gt;&lt;br&gt;Topcastle according to http://www.topcastles.com/kastelen.php?SubMenu=main&amp;SelCastle=ludlow&lt;br&gt;&lt;br&gt;131. Ludlow Castle&lt;br&gt;Country: England&lt;br&gt;Region: West Midlands&lt;br&gt;Place: Teme (Shropshire)</t>
  </si>
  <si>
    <t>&lt;b&gt;Cseszneki vár (Zeßnegg)&lt;/b&gt;&lt;br&gt;&lt;br&gt;&lt;img src='http://www.topcastles.com/images/large/csesznek.jpg' border='0'&gt;&lt;br&gt;&lt;br&gt;Topcastle according to http://www.topcastles.com/kastelen.php?SubMenu=main&amp;SelCastle=csesznek&lt;br&gt;&lt;br&gt;132. Cseszneki vár (Zeßnegg)&lt;br&gt;Country: Hungary&lt;br&gt;Region: Közép Magyarország (Central Hungary)&lt;br&gt;Place: Csesznek (Veszprém)</t>
  </si>
  <si>
    <t xml:space="preserve">&lt;b&gt;Vordingborg&lt;/b&gt;&lt;br&gt;&lt;br&gt;&lt;img src='http://www.topcastles.com/images/large/vordingborg.jpg' border='0'&gt;&lt;br&gt;&lt;br&gt;Topcastle according to http://www.topcastles.com/kastelen.php?SubMenu=main&amp;SelCastle=vordingborg&lt;br&gt;&lt;br&gt;133. Vordingborg&lt;br&gt;Country: Denmark&lt;br&gt;Region: Sjælland&lt;br&gt;Place: </t>
  </si>
  <si>
    <t>&lt;b&gt;Hämeen linna (Tavestehus slott)&lt;/b&gt;&lt;br&gt;&lt;br&gt;&lt;img src='http://www.topcastles.com/images/large/tavestehus.jpg' border='0'&gt;&lt;br&gt;&lt;br&gt;Topcastle according to http://www.topcastles.com/kastelen.php?SubMenu=main&amp;SelCastle=tavestehus&lt;br&gt;&lt;br&gt;134. Hämeen linna (Tavestehus slott)&lt;br&gt;Country: Finland&lt;br&gt;Region: &lt;br&gt;Place: Hämeen</t>
  </si>
  <si>
    <t>&lt;b&gt;Castelo de Marvão&lt;/b&gt;&lt;br&gt;&lt;br&gt;&lt;img src='http://www.topcastles.com/images/large/marvao.jpg' border='0'&gt;&lt;br&gt;&lt;br&gt;Topcastle according to http://www.topcastles.com/kastelen.php?SubMenu=main&amp;SelCastle=marvao&lt;br&gt;&lt;br&gt;135. Castelo de Marvão&lt;br&gt;Country: Portugal&lt;br&gt;Region: Portalegre&lt;br&gt;Place: Santa Maria de Marvão</t>
  </si>
  <si>
    <t>Danish admiral Jens Holgerson Ulfstand</t>
  </si>
  <si>
    <t>&lt;b&gt;Glimmingehus&lt;/b&gt;&lt;br&gt;&lt;br&gt;&lt;img src='http://www.topcastles.com/images/large/glimmingehus.jpg' border='0'&gt;&lt;br&gt;&lt;br&gt;Topcastle according to http://www.topcastles.com/kastelen.php?SubMenu=main&amp;SelCastle=glimmingehus&lt;br&gt;&lt;br&gt;136. Glimmingehus&lt;br&gt;Country: Sweden&lt;br&gt;Region: Sydsverige (South Sweden)&lt;br&gt;Place: Simrishamn (Skåne)</t>
  </si>
  <si>
    <t>&lt;b&gt;San Marino (Mont Titan)&lt;/b&gt;&lt;br&gt;&lt;br&gt;&lt;img src='http://www.topcastles.com/images/large/sanmarino.jpg' border='0'&gt;&lt;br&gt;&lt;br&gt;Topcastle according to http://www.topcastles.com/kastelen.php?SubMenu=main&amp;SelCastle=sanmarino&lt;br&gt;&lt;br&gt;137. San Marino (Mont Titan)&lt;br&gt;Country: San Marino&lt;br&gt;Region: &lt;br&gt;Place: San Marino</t>
  </si>
  <si>
    <t xml:space="preserve">&lt;b&gt;Gradina Kamerlengo (Trogir, Traú)&lt;/b&gt;&lt;br&gt;&lt;br&gt;&lt;img src='http://www.topcastles.com/images/large/kamerlengo.jpg' border='0'&gt;&lt;br&gt;&lt;br&gt;Topcastle according to http://www.topcastles.com/kastelen.php?SubMenu=main&amp;SelCastle=kamerlengo&lt;br&gt;&lt;br&gt;138. Gradina Kamerlengo (Trogir, Traú)&lt;br&gt;Country: Croatia&lt;br&gt;Region: Dalmatia&lt;br&gt;Place: </t>
  </si>
  <si>
    <t>&lt;b&gt;Margat (Marqab)&lt;/b&gt;&lt;br&gt;&lt;br&gt;&lt;img src='http://www.topcastles.com/images/large/margat.jpg' border='0'&gt;&lt;br&gt;&lt;br&gt;Topcastle according to http://www.topcastles.com/kastelen.php?SubMenu=main&amp;SelCastle=margat&lt;br&gt;&lt;br&gt;139. Margat (Marqab)&lt;br&gt;Country: Syria&lt;br&gt;Region: &lt;br&gt;Place: Qalaat Marqab, Banyas 4 km</t>
  </si>
  <si>
    <t>&lt;b&gt;Bürghausen an den Salzach&lt;/b&gt;&lt;br&gt;&lt;br&gt;&lt;img src='http://www.topcastles.com/images/large/burghausen.jpg' border='0'&gt;&lt;br&gt;&lt;br&gt;Topcastle according to http://www.topcastles.com/kastelen.php?SubMenu=main&amp;SelCastle=burghausen&lt;br&gt;&lt;br&gt;140. Bürghausen an den Salzach&lt;br&gt;Country: Germany&lt;br&gt;Region: Bayern&lt;br&gt;Place: Bürghausen</t>
  </si>
  <si>
    <t>&lt;b&gt;Belvoir&lt;/b&gt;&lt;br&gt;&lt;br&gt;&lt;img src='http://www.topcastles.com/images/large/belvoir.jpg' border='0'&gt;&lt;br&gt;&lt;br&gt;Topcastle according to http://www.topcastles.com/kastelen.php?SubMenu=main&amp;SelCastle=belvoir&lt;br&gt;&lt;br&gt;141. Belvoir&lt;br&gt;Country: Israel&lt;br&gt;Region: Galilea&lt;br&gt;Place: Tiberias</t>
  </si>
  <si>
    <t>&lt;b&gt;Château d'Aigle&lt;/b&gt;&lt;br&gt;&lt;br&gt;&lt;img src='http://www.topcastles.com/images/large/aigle.jpg' border='0'&gt;&lt;br&gt;&lt;br&gt;Topcastle according to http://www.topcastles.com/kastelen.php?SubMenu=main&amp;SelCastle=aigle&lt;br&gt;&lt;br&gt;142. Château d'Aigle&lt;br&gt;Country: Switzerland&lt;br&gt;Region: Genfersee&lt;br&gt;Place: Aigle (Waadt)</t>
  </si>
  <si>
    <t>&lt;b&gt;Clifford's Tower&lt;/b&gt;&lt;br&gt;&lt;br&gt;&lt;img src='http://www.topcastles.com/images/large/clifford.jpg' border='0'&gt;&lt;br&gt;&lt;br&gt;Topcastle according to http://www.topcastles.com/kastelen.php?SubMenu=main&amp;SelCastle=clifford&lt;br&gt;&lt;br&gt;143. Clifford's Tower&lt;br&gt;Country: England&lt;br&gt;Region: Yorkshire and Humber&lt;br&gt;Place: York</t>
  </si>
  <si>
    <t>&lt;b&gt;Heidenreichstein&lt;/b&gt;&lt;br&gt;&lt;br&gt;&lt;img src='http://www.topcastles.com/images/large/heidenreichstein.jpg' border='0'&gt;&lt;br&gt;&lt;br&gt;Topcastle according to http://www.topcastles.com/kastelen.php?SubMenu=main&amp;SelCastle=heidenreichstein&lt;br&gt;&lt;br&gt;144. Heidenreichstein&lt;br&gt;Country: Austria&lt;br&gt;Region: Niederöstenreich&lt;br&gt;Place: Gmund</t>
  </si>
  <si>
    <t>&lt;b&gt;Čachtický hrad (Burg Schächtitz, Csejte vára)&lt;/b&gt;&lt;br&gt;&lt;br&gt;&lt;img src='http://www.topcastles.com/images/large/cachtice.jpg' border='0'&gt;&lt;br&gt;&lt;br&gt;Topcastle according to http://www.topcastles.com/kastelen.php?SubMenu=main&amp;SelCastle=cachtice&lt;br&gt;&lt;br&gt;145. Čachtický hrad (Burg Schächtitz, Csejte vára)&lt;br&gt;Country: Slovakia&lt;br&gt;Region: Malé Karpaty&lt;br&gt;Place: Čachtice</t>
  </si>
  <si>
    <t>&lt;b&gt;Rothenburg ob der Tauber&lt;/b&gt;&lt;br&gt;&lt;br&gt;&lt;img src='http://www.topcastles.com/images/large/rothenburg.jpg' border='0'&gt;&lt;br&gt;&lt;br&gt;Topcastle according to http://www.topcastles.com/kastelen.php?SubMenu=main&amp;SelCastle=rothenburg&lt;br&gt;&lt;br&gt;146. Rothenburg ob der Tauber&lt;br&gt;Country: Germany&lt;br&gt;Region: Bayern&lt;br&gt;Place: Rothenburg ob der Tauber</t>
  </si>
  <si>
    <t xml:space="preserve">&lt;b&gt;Nyborg&lt;/b&gt;&lt;br&gt;&lt;br&gt;&lt;img src='http://www.topcastles.com/images/large/nyborg.jpg' border='0'&gt;&lt;br&gt;&lt;br&gt;Topcastle according to http://www.topcastles.com/kastelen.php?SubMenu=main&amp;SelCastle=nyborg&lt;br&gt;&lt;br&gt;147. Nyborg&lt;br&gt;Country: Denmark&lt;br&gt;Region: Fyn (Funen)&lt;br&gt;Place: </t>
  </si>
  <si>
    <t>&lt;b&gt;Doornenburg&lt;/b&gt;&lt;br&gt;&lt;br&gt;&lt;img src='http://www.topcastles.com/images/large/doornenburg.jpg' border='0'&gt;&lt;br&gt;&lt;br&gt;Topcastle according to http://www.topcastles.com/kastelen.php?SubMenu=main&amp;SelCastle=doornenburg&lt;br&gt;&lt;br&gt;148. Doornenburg&lt;br&gt;Country: Netherlands&lt;br&gt;Region: Gelderland&lt;br&gt;Place: Doornenburg</t>
  </si>
  <si>
    <t xml:space="preserve">&lt;b&gt;Roscommon Castle&lt;/b&gt;&lt;br&gt;&lt;br&gt;&lt;img src='http://www.topcastles.com/images/large/roscommon.jpg' border='0'&gt;&lt;br&gt;&lt;br&gt;Topcastle according to http://www.topcastles.com/kastelen.php?SubMenu=main&amp;SelCastle=roscommon&lt;br&gt;&lt;br&gt;149. Roscommon Castle&lt;br&gt;Country: Republic of Ireland&lt;br&gt;Region: Roscommon&lt;br&gt;Place: </t>
  </si>
  <si>
    <t>&lt;b&gt;Bolkow (Bolkoburg)&lt;/b&gt;&lt;br&gt;&lt;br&gt;&lt;img src='http://www.topcastles.com/images/large/bolkoburg.jpg' border='0'&gt;&lt;br&gt;&lt;br&gt;Topcastle according to http://www.topcastles.com/kastelen.php?SubMenu=main&amp;SelCastle=bolkoburg&lt;br&gt;&lt;br&gt;150. Bolkow (Bolkoburg)&lt;br&gt;Country: Poland&lt;br&gt;Region: Dolnoslaskie (Silesia Inferior, Nederschlesien)&lt;br&gt;Place: Bolkow</t>
  </si>
  <si>
    <t>&lt;b&gt;Burg Forchtenstein&lt;/b&gt;&lt;br&gt;&lt;br&gt;&lt;img src='http://www.topcastles.com/images/large/forchtenstein.jpg' border='0'&gt;&lt;br&gt;&lt;br&gt;Topcastle according to http://www.topcastles.com/kastelen.php?SubMenu=main&amp;SelCastle=forchtenstein&lt;br&gt;&lt;br&gt;151. Burg Forchtenstein&lt;br&gt;Country: Austria&lt;br&gt;Region: Burgenland&lt;br&gt;Place: Forchtenstein</t>
  </si>
  <si>
    <t>&lt;b&gt;Castillo de Belmonte&lt;/b&gt;&lt;br&gt;&lt;br&gt;&lt;img src='http://www.topcastles.com/images/large/belmonte.jpg' border='0'&gt;&lt;br&gt;&lt;br&gt;Topcastle according to http://www.topcastles.com/kastelen.php?SubMenu=main&amp;SelCastle=belmonte&lt;br&gt;&lt;br&gt;152. Castillo de Belmonte&lt;br&gt;Country: Spain&lt;br&gt;Region: Castilla-La Mancha&lt;br&gt;Place: Cuenca</t>
  </si>
  <si>
    <t xml:space="preserve">&lt;b&gt;Hohenwerfen&lt;/b&gt;&lt;br&gt;&lt;br&gt;&lt;img src='http://www.topcastles.com/images/large/hohenwerfen.jpg' border='0'&gt;&lt;br&gt;&lt;br&gt;Topcastle according to http://www.topcastles.com/kastelen.php?SubMenu=main&amp;SelCastle=hohenwerfen&lt;br&gt;&lt;br&gt;153. Hohenwerfen&lt;br&gt;Country: Austria&lt;br&gt;Region: Salzburg&lt;br&gt;Place: </t>
  </si>
  <si>
    <t>&lt;b&gt;Aleppo&lt;/b&gt;&lt;br&gt;&lt;br&gt;&lt;img src='http://www.topcastles.com/images/large/aleppo.jpg' border='0'&gt;&lt;br&gt;&lt;br&gt;Topcastle according to http://www.topcastles.com/kastelen.php?SubMenu=main&amp;SelCastle=aleppo&lt;br&gt;&lt;br&gt;154. Aleppo&lt;br&gt;Country: Syria&lt;br&gt;Region: &lt;br&gt;Place: Aleppo</t>
  </si>
  <si>
    <t>&lt;b&gt;Kasteel Doorwerth&lt;/b&gt;&lt;br&gt;&lt;br&gt;&lt;img src='http://www.topcastles.com/images/large/doorwerth.jpg' border='0'&gt;&lt;br&gt;&lt;br&gt;Topcastle according to http://www.topcastles.com/kastelen.php?SubMenu=main&amp;SelCastle=doorwerth&lt;br&gt;&lt;br&gt;155. Kasteel Doorwerth&lt;br&gt;Country: Netherlands&lt;br&gt;Region: Gelderland&lt;br&gt;Place: Oosterbeek</t>
  </si>
  <si>
    <t>&lt;b&gt;Orford Castle&lt;/b&gt;&lt;br&gt;&lt;br&gt;&lt;img src='http://www.topcastles.com/images/large/orford.jpg' border='0'&gt;&lt;br&gt;&lt;br&gt;Topcastle according to http://www.topcastles.com/kastelen.php?SubMenu=main&amp;SelCastle=orford&lt;br&gt;&lt;br&gt;156. Orford Castle&lt;br&gt;Country: England&lt;br&gt;Region: East&lt;br&gt;Place: Suffolk (Norfolk)</t>
  </si>
  <si>
    <t>&lt;b&gt;Conisbrough Castle&lt;/b&gt;&lt;br&gt;&lt;br&gt;&lt;img src='http://www.topcastles.com/images/large/conisbrough.jpg' border='0'&gt;&lt;br&gt;&lt;br&gt;Topcastle according to http://www.topcastles.com/kastelen.php?SubMenu=main&amp;SelCastle=conisbrough&lt;br&gt;&lt;br&gt;157. Conisbrough Castle&lt;br&gt;Country: England&lt;br&gt;Region: Yorkshire and Humber&lt;br&gt;Place: Conisbrough</t>
  </si>
  <si>
    <t>&lt;b&gt;Restormel Castle&lt;/b&gt;&lt;br&gt;&lt;br&gt;&lt;img src='http://www.topcastles.com/images/large/restormel.jpg' border='0'&gt;&lt;br&gt;&lt;br&gt;Topcastle according to http://www.topcastles.com/kastelen.php?SubMenu=main&amp;SelCastle=restormel&lt;br&gt;&lt;br&gt;158. Restormel Castle&lt;br&gt;Country: England&lt;br&gt;Region: South West&lt;br&gt;Place: (Cornwall)</t>
  </si>
  <si>
    <t>&lt;b&gt;Devín (Theben, Dévény)&lt;/b&gt;&lt;br&gt;&lt;br&gt;&lt;img src='http://www.topcastles.com/images/large/devin.jpg' border='0'&gt;&lt;br&gt;&lt;br&gt;Topcastle according to http://www.topcastles.com/kastelen.php?SubMenu=main&amp;SelCastle=devin&lt;br&gt;&lt;br&gt;159. Devín (Theben, Dévény)&lt;br&gt;Country: Slovakia&lt;br&gt;Region: Bratislavsko&lt;br&gt;Place: Bratislava</t>
  </si>
  <si>
    <t xml:space="preserve">&lt;b&gt;Bled Hrad (Veldes)&lt;/b&gt;&lt;br&gt;&lt;br&gt;&lt;img src='http://www.topcastles.com/images/large/bled.jpg' border='0'&gt;&lt;br&gt;&lt;br&gt;Topcastle according to http://www.topcastles.com/kastelen.php?SubMenu=main&amp;SelCastle=bled&lt;br&gt;&lt;br&gt;160. Bled Hrad (Veldes)&lt;br&gt;Country: Slovenia&lt;br&gt;Region: Gorenjsko&lt;br&gt;Place: </t>
  </si>
  <si>
    <t>&lt;b&gt;Warkworth Castle&lt;/b&gt;&lt;br&gt;&lt;br&gt;&lt;img src='http://www.topcastles.com/images/large/warkworth.jpg' border='0'&gt;&lt;br&gt;&lt;br&gt;Topcastle according to http://www.topcastles.com/kastelen.php?SubMenu=main&amp;SelCastle=warkworth&lt;br&gt;&lt;br&gt;161. Warkworth Castle&lt;br&gt;Country: England&lt;br&gt;Region: North East&lt;br&gt;Place: Croquet (Northumberland)</t>
  </si>
  <si>
    <t xml:space="preserve">&lt;b&gt;Burg Taufers (Sandner Schloß)&lt;/b&gt;&lt;br&gt;&lt;br&gt;&lt;img src='http://www.topcastles.com/images/large/taufers.jpg' border='0'&gt;&lt;br&gt;&lt;br&gt;Topcastle according to http://www.topcastles.com/kastelen.php?SubMenu=main&amp;SelCastle=taufers&lt;br&gt;&lt;br&gt;162. Burg Taufers (Sandner Schloß)&lt;br&gt;Country: Italy&lt;br&gt;Region: Trento (Zuid-Tirol, Trentino)&lt;br&gt;Place: </t>
  </si>
  <si>
    <t>&lt;b&gt;Castello di San Giorgio (Corte)&lt;/b&gt;&lt;br&gt;&lt;br&gt;&lt;img src='http://www.topcastles.com/images/large/sangiorgiomantua.jpg' border='0'&gt;&lt;br&gt;&lt;br&gt;Topcastle according to http://www.topcastles.com/kastelen.php?SubMenu=main&amp;SelCastle=sangiorgiomantua&lt;br&gt;&lt;br&gt;163. Castello di San Giorgio (Corte)&lt;br&gt;Country: Italy&lt;br&gt;Region: Lombardije (Lombardia)&lt;br&gt;Place: Mantua</t>
  </si>
  <si>
    <t>&lt;b&gt;Bedzin (Bentschin)&lt;/b&gt;&lt;br&gt;&lt;br&gt;&lt;img src='http://www.topcastles.com/images/large/bedzin.jpg' border='0'&gt;&lt;br&gt;&lt;br&gt;Topcastle according to http://www.topcastles.com/kastelen.php?SubMenu=main&amp;SelCastle=bedzin&lt;br&gt;&lt;br&gt;164. Bedzin (Bentschin)&lt;br&gt;Country: Poland&lt;br&gt;Region: Opolskie (Silesia Superior, Oberschlesien)&lt;br&gt;Place: Bedzin</t>
  </si>
  <si>
    <t xml:space="preserve">&lt;b&gt;Schloss Vaduz (Schlossberg)&lt;/b&gt;&lt;br&gt;&lt;br&gt;&lt;img src='http://www.topcastles.com/images/large/vaduz.jpg' border='0'&gt;&lt;br&gt;&lt;br&gt;Topcastle according to http://www.topcastles.com/kastelen.php?SubMenu=main&amp;SelCastle=vaduz&lt;br&gt;&lt;br&gt;165. Schloss Vaduz (Schlossberg)&lt;br&gt;Country: Liechtenstein&lt;br&gt;Region: &lt;br&gt;Place: </t>
  </si>
  <si>
    <t>&lt;b&gt;Castillo de Guadamur&lt;/b&gt;&lt;br&gt;&lt;br&gt;&lt;img src='http://www.topcastles.com/images/large/guadamur.jpg' border='0'&gt;&lt;br&gt;&lt;br&gt;Topcastle according to http://www.topcastles.com/kastelen.php?SubMenu=main&amp;SelCastle=guadamur&lt;br&gt;&lt;br&gt;166. Castillo de Guadamur&lt;br&gt;Country: Spain&lt;br&gt;Region: Castilla-La Mancha&lt;br&gt;Place: Toledo</t>
  </si>
  <si>
    <t>&lt;b&gt;Tattershall Castle&lt;/b&gt;&lt;br&gt;&lt;br&gt;&lt;img src='http://www.topcastles.com/images/large/tattershall.jpg' border='0'&gt;&lt;br&gt;&lt;br&gt;Topcastle according to http://www.topcastles.com/kastelen.php?SubMenu=main&amp;SelCastle=tattershall&lt;br&gt;&lt;br&gt;167. Tattershall Castle&lt;br&gt;Country: England&lt;br&gt;Region: East Midlands&lt;br&gt;Place: Tattershall (Lincolnshire)</t>
  </si>
  <si>
    <t xml:space="preserve">&lt;b&gt;Antioch (Antiochia, Antakya)&lt;/b&gt;&lt;br&gt;&lt;br&gt;&lt;img src='http://www.topcastles.com/images/large/antioch.jpg' border='0'&gt;&lt;br&gt;&lt;br&gt;Topcastle according to http://www.topcastles.com/kastelen.php?SubMenu=main&amp;SelCastle=antioch&lt;br&gt;&lt;br&gt;168. Antioch (Antiochia, Antakya)&lt;br&gt;Country: Turkey&lt;br&gt;Region: &lt;br&gt;Place: </t>
  </si>
  <si>
    <t>&lt;b&gt;Carisbrooke Castle&lt;/b&gt;&lt;br&gt;&lt;br&gt;&lt;img src='http://www.topcastles.com/images/large/carisbrooke.jpg' border='0'&gt;&lt;br&gt;&lt;br&gt;Topcastle according to http://www.topcastles.com/kastelen.php?SubMenu=main&amp;SelCastle=carisbrooke&lt;br&gt;&lt;br&gt;169. Carisbrooke Castle&lt;br&gt;Country: England&lt;br&gt;Region: South East&lt;br&gt;Place: Newport (Isle of Wight)</t>
  </si>
  <si>
    <t>&lt;b&gt;Schloss Büdingen&lt;/b&gt;&lt;br&gt;&lt;br&gt;&lt;img src='http://www.topcastles.com/images/large/budingen.jpg' border='0'&gt;&lt;br&gt;&lt;br&gt;Topcastle according to http://www.topcastles.com/kastelen.php?SubMenu=main&amp;SelCastle=budingen&lt;br&gt;&lt;br&gt;170. Schloss Büdingen&lt;br&gt;Country: Germany&lt;br&gt;Region: Hessen&lt;br&gt;Place: Büdingen</t>
  </si>
  <si>
    <t>&lt;b&gt;Burg Eltville&lt;/b&gt;&lt;br&gt;&lt;br&gt;&lt;img src='http://www.topcastles.com/images/large/eltville.jpg' border='0'&gt;&lt;br&gt;&lt;br&gt;Topcastle according to http://www.topcastles.com/kastelen.php?SubMenu=main&amp;SelCastle=eltville&lt;br&gt;&lt;br&gt;171. Burg Eltville&lt;br&gt;Country: Germany&lt;br&gt;Region: Hessen&lt;br&gt;Place: Eltville-am-Rhein</t>
  </si>
  <si>
    <t>&lt;b&gt;Castello di Lucera&lt;/b&gt;&lt;br&gt;&lt;br&gt;&lt;img src='http://www.topcastles.com/images/large/lucera.jpg' border='0'&gt;&lt;br&gt;&lt;br&gt;Topcastle according to http://www.topcastles.com/kastelen.php?SubMenu=main&amp;SelCastle=lucera&lt;br&gt;&lt;br&gt;172. Castello di Lucera&lt;br&gt;Country: Italy&lt;br&gt;Region: Abruzzi&lt;br&gt;Place: Lucera</t>
  </si>
  <si>
    <t>&lt;b&gt;Krivoklát Hrad (Pürglitz)&lt;/b&gt;&lt;br&gt;&lt;br&gt;&lt;img src='http://www.topcastles.com/images/large/krivoklat.jpg' border='0'&gt;&lt;br&gt;&lt;br&gt;Topcastle according to http://www.topcastles.com/kastelen.php?SubMenu=main&amp;SelCastle=krivoklat&lt;br&gt;&lt;br&gt;173. Krivoklát Hrad (Pürglitz)&lt;br&gt;Country: Czechia&lt;br&gt;Region: Stredo Ceský (Mittelböhmen)&lt;br&gt;Place: Krivoklát (Ravoknik)</t>
  </si>
  <si>
    <t xml:space="preserve">&lt;b&gt;Château d'Ortenbourg&lt;/b&gt;&lt;br&gt;&lt;br&gt;&lt;img src='http://www.topcastles.com/images/large/ortenbourg.jpg' border='0'&gt;&lt;br&gt;&lt;br&gt;Topcastle according to http://www.topcastles.com/kastelen.php?SubMenu=main&amp;SelCastle=ortenbourg&lt;br&gt;&lt;br&gt;174. Château d'Ortenbourg&lt;br&gt;Country: France&lt;br&gt;Region: Elzas (Alsace)&lt;br&gt;Place: </t>
  </si>
  <si>
    <t>&lt;b&gt;Castello Sforzesco&lt;/b&gt;&lt;br&gt;&lt;br&gt;&lt;img src='http://www.topcastles.com/images/large/sforzesco.jpg' border='0'&gt;&lt;br&gt;&lt;br&gt;Topcastle according to http://www.topcastles.com/kastelen.php?SubMenu=main&amp;SelCastle=sforzesco&lt;br&gt;&lt;br&gt;175. Castello Sforzesco&lt;br&gt;Country: Italy&lt;br&gt;Region: Lombardije (Lombardia)&lt;br&gt;Place: Milaan</t>
  </si>
  <si>
    <t>&lt;b&gt;Spøttrup&lt;/b&gt;&lt;br&gt;&lt;br&gt;&lt;img src='http://www.topcastles.com/images/large/spottrup.jpg' border='0'&gt;&lt;br&gt;&lt;br&gt;Topcastle according to http://www.topcastles.com/kastelen.php?SubMenu=main&amp;SelCastle=spottrup&lt;br&gt;&lt;br&gt;176. Spøttrup&lt;br&gt;Country: Denmark&lt;br&gt;Region: Jylland&lt;br&gt;Place: Spøttrup</t>
  </si>
  <si>
    <t>&lt;b&gt;Suceava (Cetatea de Scaun, Suczawa)&lt;/b&gt;&lt;br&gt;&lt;br&gt;&lt;img src='http://www.topcastles.com/images/large/suceava.jpg' border='0'&gt;&lt;br&gt;&lt;br&gt;Topcastle according to http://www.topcastles.com/kastelen.php?SubMenu=main&amp;SelCastle=suceava&lt;br&gt;&lt;br&gt;177. Suceava (Cetatea de Scaun, Suczawa)&lt;br&gt;Country: Rumania&lt;br&gt;Region: &lt;br&gt;Place: Suczawa</t>
  </si>
  <si>
    <t xml:space="preserve">&lt;b&gt;Dragomirna&lt;/b&gt;&lt;br&gt;&lt;br&gt;&lt;img src='http://www.topcastles.com/images/large/dragomirna.jpg' border='0'&gt;&lt;br&gt;&lt;br&gt;Topcastle according to http://www.topcastles.com/kastelen.php?SubMenu=main&amp;SelCastle=dragomirna&lt;br&gt;&lt;br&gt;178. Dragomirna&lt;br&gt;Country: Rumania&lt;br&gt;Region: &lt;br&gt;Place: </t>
  </si>
  <si>
    <t>&lt;b&gt;Czocha (Tzschocha)&lt;/b&gt;&lt;br&gt;&lt;br&gt;&lt;img src='http://www.topcastles.com/images/large/czocha.jpg' border='0'&gt;&lt;br&gt;&lt;br&gt;Topcastle according to http://www.topcastles.com/kastelen.php?SubMenu=main&amp;SelCastle=czocha&lt;br&gt;&lt;br&gt;179. Czocha (Tzschocha)&lt;br&gt;Country: Poland&lt;br&gt;Region: Dolnoslaskie (Silesia Inferior, Nederschlesien)&lt;br&gt;Place: Lesna</t>
  </si>
  <si>
    <t>&lt;b&gt;Burg Gutenfels&lt;/b&gt;&lt;br&gt;&lt;br&gt;&lt;img src='http://www.topcastles.com/images/large/gutenfels.jpg' border='0'&gt;&lt;br&gt;&lt;br&gt;Topcastle according to http://www.topcastles.com/kastelen.php?SubMenu=main&amp;SelCastle=gutenfels&lt;br&gt;&lt;br&gt;180. Burg Gutenfels&lt;br&gt;Country: Germany&lt;br&gt;Region: Rheinland-Pfalz&lt;br&gt;Place: Kaub</t>
  </si>
  <si>
    <t>&lt;b&gt;Castel Grande (Bellinzona, Castello d'Unterwalden)&lt;/b&gt;&lt;br&gt;&lt;br&gt;&lt;img src='http://www.topcastles.com/images/large/castelgrande.jpg' border='0'&gt;&lt;br&gt;&lt;br&gt;Topcastle according to http://www.topcastles.com/kastelen.php?SubMenu=main&amp;SelCastle=castelgrande&lt;br&gt;&lt;br&gt;181. Castel Grande (Bellinzona, Castello d'Unterwalden)&lt;br&gt;Country: Switzerland&lt;br&gt;Region: Tessin&lt;br&gt;Place: Bellinzona</t>
  </si>
  <si>
    <t xml:space="preserve">&lt;b&gt;Castel Tasso (Burg Reifenstein)&lt;/b&gt;&lt;br&gt;&lt;br&gt;&lt;img src='http://www.topcastles.com/images/large/reifenstein.jpg' border='0'&gt;&lt;br&gt;&lt;br&gt;Topcastle according to http://www.topcastles.com/kastelen.php?SubMenu=main&amp;SelCastle=reifenstein&lt;br&gt;&lt;br&gt;182. Castel Tasso (Burg Reifenstein)&lt;br&gt;Country: Italy&lt;br&gt;Region: Trento (Zuid-Tirol, Trentino)&lt;br&gt;Place: </t>
  </si>
  <si>
    <t xml:space="preserve">&lt;b&gt;Methoni (Modone Messenia)&lt;/b&gt;&lt;br&gt;&lt;br&gt;&lt;img src='http://www.topcastles.com/images/large/methoni.jpg' border='0'&gt;&lt;br&gt;&lt;br&gt;Topcastle according to http://www.topcastles.com/kastelen.php?SubMenu=main&amp;SelCastle=methoni&lt;br&gt;&lt;br&gt;183. Methoni (Modone Messenia)&lt;br&gt;Country: Greece&lt;br&gt;Region: &lt;br&gt;Place: </t>
  </si>
  <si>
    <t>&lt;b&gt;Castelo de Sao Jorge&lt;/b&gt;&lt;br&gt;&lt;br&gt;&lt;img src='http://www.topcastles.com/images/large/saojorge.jpg' border='0'&gt;&lt;br&gt;&lt;br&gt;Topcastle according to http://www.topcastles.com/kastelen.php?SubMenu=main&amp;SelCastle=saojorge&lt;br&gt;&lt;br&gt;184. Castelo de Sao Jorge&lt;br&gt;Country: Portugal&lt;br&gt;Region: &lt;br&gt;Place: Lissabon</t>
  </si>
  <si>
    <t xml:space="preserve">&lt;b&gt;Castelo de Leiria&lt;/b&gt;&lt;br&gt;&lt;br&gt;&lt;img src='http://www.topcastles.com/images/large/leiria.jpg' border='0'&gt;&lt;br&gt;&lt;br&gt;Topcastle according to http://www.topcastles.com/kastelen.php?SubMenu=main&amp;SelCastle=leiria&lt;br&gt;&lt;br&gt;185. Castelo de Leiria&lt;br&gt;Country: Portugal&lt;br&gt;Region: &lt;br&gt;Place: </t>
  </si>
  <si>
    <t>&lt;b&gt;Framlingham Castle&lt;/b&gt;&lt;br&gt;&lt;br&gt;&lt;img src='http://www.topcastles.com/images/large/framlingham.jpg' border='0'&gt;&lt;br&gt;&lt;br&gt;Topcastle according to http://www.topcastles.com/kastelen.php?SubMenu=main&amp;SelCastle=framlingham&lt;br&gt;&lt;br&gt;186. Framlingham Castle&lt;br&gt;Country: England&lt;br&gt;Region: East&lt;br&gt;Place: (Suffolk)</t>
  </si>
  <si>
    <t>&lt;b&gt;Corfe Castle&lt;/b&gt;&lt;br&gt;&lt;br&gt;&lt;img src='http://www.topcastles.com/images/large/corfe.jpg' border='0'&gt;&lt;br&gt;&lt;br&gt;Topcastle according to http://www.topcastles.com/kastelen.php?SubMenu=main&amp;SelCastle=corfe&lt;br&gt;&lt;br&gt;187. Corfe Castle&lt;br&gt;Country: England&lt;br&gt;Region: South West&lt;br&gt;Place: (Devon)</t>
  </si>
  <si>
    <t xml:space="preserve">&lt;b&gt;Castelo de Obidos&lt;/b&gt;&lt;br&gt;&lt;br&gt;&lt;img src='http://www.topcastles.com/images/large/obidos.jpg' border='0'&gt;&lt;br&gt;&lt;br&gt;Topcastle according to http://www.topcastles.com/kastelen.php?SubMenu=main&amp;SelCastle=obidos&lt;br&gt;&lt;br&gt;188. Castelo de Obidos&lt;br&gt;Country: Portugal&lt;br&gt;Region: &lt;br&gt;Place: </t>
  </si>
  <si>
    <t>&lt;b&gt;Smederevska tvrdava (Semendria)&lt;/b&gt;&lt;br&gt;&lt;br&gt;&lt;img src='http://www.topcastles.com/images/large/smederevo.jpg' border='0'&gt;&lt;br&gt;&lt;br&gt;Topcastle according to http://www.topcastles.com/kastelen.php?SubMenu=main&amp;SelCastle=smederevo&lt;br&gt;&lt;br&gt;189. Smederevska tvrdava (Semendria)&lt;br&gt;Country: Serbia&lt;br&gt;Region: &lt;br&gt;Place: Smederevo (Semendria)</t>
  </si>
  <si>
    <t xml:space="preserve">&lt;b&gt;Rapottenstein&lt;/b&gt;&lt;br&gt;&lt;br&gt;&lt;img src='http://www.topcastles.com/images/large/rapottenstein.jpg' border='0'&gt;&lt;br&gt;&lt;br&gt;Topcastle according to http://www.topcastles.com/kastelen.php?SubMenu=main&amp;SelCastle=rapottenstein&lt;br&gt;&lt;br&gt;190. Rapottenstein&lt;br&gt;Country: Austria&lt;br&gt;Region: Niederöstenreich&lt;br&gt;Place: </t>
  </si>
  <si>
    <t>&lt;b&gt;Wildenstein&lt;/b&gt;&lt;br&gt;&lt;br&gt;&lt;img src='http://www.topcastles.com/images/large/wildenstein.jpg' border='0'&gt;&lt;br&gt;&lt;br&gt;Topcastle according to http://www.topcastles.com/kastelen.php?SubMenu=main&amp;SelCastle=wildenstein&lt;br&gt;&lt;br&gt;191. Wildenstein&lt;br&gt;Country: Germany&lt;br&gt;Region: Baden-Würtenberg&lt;br&gt;Place: Wildenstein a.d. Donau</t>
  </si>
  <si>
    <t>&lt;b&gt;Budatin vára (Zilina)&lt;/b&gt;&lt;br&gt;&lt;br&gt;&lt;img src='http://www.topcastles.com/images/large/budatin.jpg' border='0'&gt;&lt;br&gt;&lt;br&gt;Topcastle according to http://www.topcastles.com/kastelen.php?SubMenu=main&amp;SelCastle=budatin&lt;br&gt;&lt;br&gt;192. Budatin vára (Zilina)&lt;br&gt;Country: Slovakia&lt;br&gt;Region: &lt;br&gt;Place: Zilina</t>
  </si>
  <si>
    <t>&lt;b&gt;Alcazar de Toledo&lt;/b&gt;&lt;br&gt;&lt;br&gt;&lt;img src='http://www.topcastles.com/images/large/toledo.jpg' border='0'&gt;&lt;br&gt;&lt;br&gt;Topcastle according to http://www.topcastles.com/kastelen.php?SubMenu=main&amp;SelCastle=toledo&lt;br&gt;&lt;br&gt;193. Alcazar de Toledo&lt;br&gt;Country: Spain&lt;br&gt;Region: Castilla-La Mancha&lt;br&gt;Place: Toledo</t>
  </si>
  <si>
    <t>&lt;b&gt;Oravský hrad (árva)&lt;/b&gt;&lt;br&gt;&lt;br&gt;&lt;img src='http://www.topcastles.com/images/large/oravsky.jpg' border='0'&gt;&lt;br&gt;&lt;br&gt;Topcastle according to http://www.topcastles.com/kastelen.php?SubMenu=main&amp;SelCastle=oravsky&lt;br&gt;&lt;br&gt;194. Oravský hrad (árva)&lt;br&gt;Country: Slovakia&lt;br&gt;Region: Orava&lt;br&gt;Place: Oravský Podzámok</t>
  </si>
  <si>
    <t>&lt;b&gt;Alnwick Castle&lt;/b&gt;&lt;br&gt;&lt;br&gt;&lt;img src='http://www.topcastles.com/images/large/alnwick.jpg' border='0'&gt;&lt;br&gt;&lt;br&gt;Topcastle according to http://www.topcastles.com/kastelen.php?SubMenu=main&amp;SelCastle=alnwick&lt;br&gt;&lt;br&gt;195. Alnwick Castle&lt;br&gt;Country: England&lt;br&gt;Region: North East&lt;br&gt;Place: (Northumberland)</t>
  </si>
  <si>
    <t>Wenden (Césis)</t>
  </si>
  <si>
    <t>&lt;b&gt;Wenden (Césis)&lt;/b&gt;&lt;br&gt;&lt;br&gt;&lt;img src='http://www.topcastles.com/images/large/wenden.jpg' border='0'&gt;&lt;br&gt;&lt;br&gt;Topcastle according to http://www.topcastles.com/kastelen.php?SubMenu=main&amp;SelCastle=wenden&lt;br&gt;&lt;br&gt;196. Wenden (Césis)&lt;br&gt;Country: Latvia&lt;br&gt;Region: &lt;br&gt;Place: Cesis</t>
  </si>
  <si>
    <t>&lt;b&gt;Checiny&lt;/b&gt;&lt;br&gt;&lt;br&gt;&lt;img src='http://www.topcastles.com/images/large/checiny.jpg' border='0'&gt;&lt;br&gt;&lt;br&gt;Topcastle according to http://www.topcastles.com/kastelen.php?SubMenu=main&amp;SelCastle=checiny&lt;br&gt;&lt;br&gt;197. Checiny&lt;br&gt;Country: Poland&lt;br&gt;Region: Swietokrzyskie&lt;br&gt;Place: Checiny</t>
  </si>
  <si>
    <t>&lt;b&gt;Colchester Castle&lt;/b&gt;&lt;br&gt;&lt;br&gt;&lt;img src='http://www.topcastles.com/images/large/colchester.jpg' border='0'&gt;&lt;br&gt;&lt;br&gt;Topcastle according to http://www.topcastles.com/kastelen.php?SubMenu=main&amp;SelCastle=colchester&lt;br&gt;&lt;br&gt;198. Colchester Castle&lt;br&gt;Country: England&lt;br&gt;Region: East&lt;br&gt;Place: (Essex)</t>
  </si>
  <si>
    <t>&lt;b&gt;Glamis Castle&lt;/b&gt;&lt;br&gt;&lt;br&gt;&lt;img src='http://www.topcastles.com/images/large/glamis.jpg' border='0'&gt;&lt;br&gt;&lt;br&gt;Topcastle according to http://www.topcastles.com/kastelen.php?SubMenu=main&amp;SelCastle=glamis&lt;br&gt;&lt;br&gt;199. Glamis Castle&lt;br&gt;Country: Scotland&lt;br&gt;Region: Grampian&lt;br&gt;Place: Glamis (Tayside)</t>
  </si>
  <si>
    <t xml:space="preserve">&lt;b&gt;Osaka Tenshu&lt;/b&gt;&lt;br&gt;&lt;br&gt;&lt;img src='http://www.topcastles.com/images/large/osaka.jpg' border='0'&gt;&lt;br&gt;&lt;br&gt;Topcastle according to http://www.topcastles.com/kastelen.php?SubMenu=main&amp;SelCastle=osaka&lt;br&gt;&lt;br&gt;200. Osaka Tenshu&lt;br&gt;Country: Japan&lt;br&gt;Region: &lt;br&gt;Place: </t>
  </si>
  <si>
    <t>&lt;b&gt;Schönburg&lt;/b&gt;&lt;br&gt;&lt;br&gt;&lt;img src='http://www.topcastles.com/images/large/schonburg.jpg' border='0'&gt;&lt;br&gt;&lt;br&gt;Topcastle according to http://www.topcastles.com/kastelen.php?SubMenu=main&amp;SelCastle=schonburg&lt;br&gt;&lt;br&gt;201. Schönburg&lt;br&gt;Country: Germany&lt;br&gt;Region: Rheinland-Pfalz&lt;br&gt;Place: Oberwesel</t>
  </si>
  <si>
    <t>&lt;b&gt;Svaneholm&lt;/b&gt;&lt;br&gt;&lt;br&gt;&lt;img src='http://www.topcastles.com/images/large/svaneholm.jpg' border='0'&gt;&lt;br&gt;&lt;br&gt;Topcastle according to http://www.topcastles.com/kastelen.php?SubMenu=main&amp;SelCastle=svaneholm&lt;br&gt;&lt;br&gt;202. Svaneholm&lt;br&gt;Country: Sweden&lt;br&gt;Region: Sydsverige (South Sweden)&lt;br&gt;Place: Skurup (Skåne)</t>
  </si>
  <si>
    <t xml:space="preserve">&lt;b&gt;Château de Falaise &lt;/b&gt;&lt;br&gt;&lt;br&gt;&lt;img src='http://www.topcastles.com/images/large/falaise.jpg' border='0'&gt;&lt;br&gt;&lt;br&gt;Topcastle according to http://www.topcastles.com/kastelen.php?SubMenu=main&amp;SelCastle=falaise&lt;br&gt;&lt;br&gt;203. Château de Falaise &lt;br&gt;Country: France&lt;br&gt;Region: Normandie&lt;br&gt;Place: </t>
  </si>
  <si>
    <t>&lt;b&gt;Sidon&lt;/b&gt;&lt;br&gt;&lt;br&gt;&lt;img src='http://www.topcastles.com/images/large/sidon.jpg' border='0'&gt;&lt;br&gt;&lt;br&gt;Topcastle according to http://www.topcastles.com/kastelen.php?SubMenu=main&amp;SelCastle=sidon&lt;br&gt;&lt;br&gt;204. Sidon&lt;br&gt;Country: Lebanon&lt;br&gt;Region: &lt;br&gt;Place: Saida</t>
  </si>
  <si>
    <t>&lt;b&gt;Raglan Castle&lt;/b&gt;&lt;br&gt;&lt;br&gt;&lt;img src='http://www.topcastles.com/images/large/raglan.jpg' border='0'&gt;&lt;br&gt;&lt;br&gt;Topcastle according to http://www.topcastles.com/kastelen.php?SubMenu=main&amp;SelCastle=raglan&lt;br&gt;&lt;br&gt;205. Raglan Castle&lt;br&gt;Country: Wales&lt;br&gt;Region: Gwynedd&lt;br&gt;Place: Raglan</t>
  </si>
  <si>
    <t>&lt;b&gt;Kärnan (Helsingborg)&lt;/b&gt;&lt;br&gt;&lt;br&gt;&lt;img src='http://www.topcastles.com/images/large/helsingborg.jpg' border='0'&gt;&lt;br&gt;&lt;br&gt;Topcastle according to http://www.topcastles.com/kastelen.php?SubMenu=main&amp;SelCastle=helsingborg&lt;br&gt;&lt;br&gt;206. Kärnan (Helsingborg)&lt;br&gt;Country: Sweden&lt;br&gt;Region: Sydsverige (South Sweden)&lt;br&gt;Place: Helsingborg (Skåne)</t>
  </si>
  <si>
    <t>Castelo de Guimarães</t>
  </si>
  <si>
    <t xml:space="preserve">&lt;b&gt;Castelo de Guimarães&lt;/b&gt;&lt;br&gt;&lt;br&gt;&lt;img src='http://www.topcastles.com/images/large/guimaraes.jpg' border='0'&gt;&lt;br&gt;&lt;br&gt;Topcastle according to http://www.topcastles.com/kastelen.php?SubMenu=main&amp;SelCastle=guimaraes&lt;br&gt;&lt;br&gt;207. Castelo de Guimarães&lt;br&gt;Country: Portugal&lt;br&gt;Region: &lt;br&gt;Place: </t>
  </si>
  <si>
    <t>&lt;b&gt;Roscrea Castle&lt;/b&gt;&lt;br&gt;&lt;br&gt;&lt;img src='http://www.topcastles.com/images/large/roscrea.jpg' border='0'&gt;&lt;br&gt;&lt;br&gt;Topcastle according to http://www.topcastles.com/kastelen.php?SubMenu=main&amp;SelCastle=roscrea&lt;br&gt;&lt;br&gt;208. Roscrea Castle&lt;br&gt;Country: Republic of Ireland&lt;br&gt;Region: Tipperay&lt;br&gt;Place: Port Laoise</t>
  </si>
  <si>
    <t>&lt;b&gt;Leidse Burcht&lt;/b&gt;&lt;br&gt;&lt;br&gt;&lt;img src='http://www.topcastles.com/images/large/leidseburcht.jpg' border='0'&gt;&lt;br&gt;&lt;br&gt;Topcastle according to http://www.topcastles.com/kastelen.php?SubMenu=main&amp;SelCastle=leidseburcht&lt;br&gt;&lt;br&gt;209. Leidse Burcht&lt;br&gt;Country: Netherlands&lt;br&gt;Region: Zuid Holland&lt;br&gt;Place: Leiden</t>
  </si>
  <si>
    <t>&lt;b&gt;Habsburg&lt;/b&gt;&lt;br&gt;&lt;br&gt;&lt;img src='http://www.topcastles.com/images/large/habsburg.jpg' border='0'&gt;&lt;br&gt;&lt;br&gt;Topcastle according to http://www.topcastles.com/kastelen.php?SubMenu=main&amp;SelCastle=habsburg&lt;br&gt;&lt;br&gt;210. Habsburg&lt;br&gt;Country: Switzerland&lt;br&gt;Region: Nordwestschweiz&lt;br&gt;Place: Habsburg (Kanton Aargau)</t>
  </si>
  <si>
    <t xml:space="preserve">&lt;b&gt;Die Henneburg (Stadtprozelten)&lt;/b&gt;&lt;br&gt;&lt;br&gt;&lt;img src='http://www.topcastles.com/images/large/prozelten.jpg' border='0'&gt;&lt;br&gt;&lt;br&gt;Topcastle according to http://www.topcastles.com/kastelen.php?SubMenu=main&amp;SelCastle=prozelten&lt;br&gt;&lt;br&gt;211. Die Henneburg (Stadtprozelten)&lt;br&gt;Country: Germany&lt;br&gt;Region: Bayern&lt;br&gt;Place: </t>
  </si>
  <si>
    <t>&lt;b&gt;Castello Estense (Ferrara)&lt;/b&gt;&lt;br&gt;&lt;br&gt;&lt;img src='http://www.topcastles.com/images/large/ferrara.jpg' border='0'&gt;&lt;br&gt;&lt;br&gt;Topcastle according to http://www.topcastles.com/kastelen.php?SubMenu=main&amp;SelCastle=ferrara&lt;br&gt;&lt;br&gt;212. Castello Estense (Ferrara)&lt;br&gt;Country: Italy&lt;br&gt;Region: Emilia-Romagna&lt;br&gt;Place: Ferrara</t>
  </si>
  <si>
    <t>&lt;b&gt;Baba Vista (Vidin, Widdin)&lt;/b&gt;&lt;br&gt;&lt;br&gt;&lt;img src='http://www.topcastles.com/images/large/vidin.jpg' border='0'&gt;&lt;br&gt;&lt;br&gt;Topcastle according to http://www.topcastles.com/kastelen.php?SubMenu=main&amp;SelCastle=vidin&lt;br&gt;&lt;br&gt;213. Baba Vista (Vidin, Widdin)&lt;br&gt;Country: Bulgaria&lt;br&gt;Region: &lt;br&gt;Place: Vidin</t>
  </si>
  <si>
    <t>&lt;b&gt;Burg Kelling (Cilnic)&lt;/b&gt;&lt;br&gt;&lt;br&gt;&lt;img src='http://www.topcastles.com/images/large/kelling.jpg' border='0'&gt;&lt;br&gt;&lt;br&gt;Topcastle according to http://www.topcastles.com/kastelen.php?SubMenu=main&amp;SelCastle=kelling&lt;br&gt;&lt;br&gt;214. Burg Kelling (Cilnic)&lt;br&gt;Country: Rumania&lt;br&gt;Region: Transylvanië (Siebenbürgen)&lt;br&gt;Place: Câlnic (Alba)</t>
  </si>
  <si>
    <t>&lt;b&gt;Golubački grad&lt;/b&gt;&lt;br&gt;&lt;br&gt;&lt;img src='http://www.topcastles.com/images/large/golubac.jpg' border='0'&gt;&lt;br&gt;&lt;br&gt;Topcastle according to http://www.topcastles.com/kastelen.php?SubMenu=main&amp;SelCastle=golubac&lt;br&gt;&lt;br&gt;215. Golubački grad&lt;br&gt;Country: Serbia&lt;br&gt;Region: &lt;br&gt;Place: Golubac</t>
  </si>
  <si>
    <t>&lt;b&gt;Borthwick Castle&lt;/b&gt;&lt;br&gt;&lt;br&gt;&lt;img src='http://www.topcastles.com/images/large/borthwick.jpg' border='0'&gt;&lt;br&gt;&lt;br&gt;Topcastle according to http://www.topcastles.com/kastelen.php?SubMenu=main&amp;SelCastle=borthwick&lt;br&gt;&lt;br&gt;216. Borthwick Castle&lt;br&gt;Country: Scotland&lt;br&gt;Region: Edinburg and Lothian&lt;br&gt;Place: (Lothian)</t>
  </si>
  <si>
    <t>&lt;b&gt;Veste Marienberg&lt;/b&gt;&lt;br&gt;&lt;br&gt;&lt;img src='http://www.topcastles.com/images/large/marienberg.jpg' border='0'&gt;&lt;br&gt;&lt;br&gt;Topcastle according to http://www.topcastles.com/kastelen.php?SubMenu=main&amp;SelCastle=marienberg&lt;br&gt;&lt;br&gt;217. Veste Marienberg&lt;br&gt;Country: Germany&lt;br&gt;Region: Bayern&lt;br&gt;Place: Würzburg</t>
  </si>
  <si>
    <t xml:space="preserve">&lt;b&gt;Acre&lt;/b&gt;&lt;br&gt;&lt;br&gt;&lt;img src='http://www.topcastles.com/images/large/acre.jpg' border='0'&gt;&lt;br&gt;&lt;br&gt;Topcastle according to http://www.topcastles.com/kastelen.php?SubMenu=main&amp;SelCastle=acre&lt;br&gt;&lt;br&gt;218. Acre&lt;br&gt;Country: Israel&lt;br&gt;Region: &lt;br&gt;Place: </t>
  </si>
  <si>
    <t>&lt;b&gt;Burg Riegersburg&lt;/b&gt;&lt;br&gt;&lt;br&gt;&lt;img src='http://www.topcastles.com/images/large/riegersburg.jpg' border='0'&gt;&lt;br&gt;&lt;br&gt;Topcastle according to http://www.topcastles.com/kastelen.php?SubMenu=main&amp;SelCastle=riegersburg&lt;br&gt;&lt;br&gt;219. Burg Riegersburg&lt;br&gt;Country: Austria&lt;br&gt;Region: Steiermark&lt;br&gt;Place: Riegersburg</t>
  </si>
  <si>
    <t xml:space="preserve">&lt;b&gt;Raseborg&lt;/b&gt;&lt;br&gt;&lt;br&gt;&lt;img src='http://www.topcastles.com/images/large/raseborg.jpg' border='0'&gt;&lt;br&gt;&lt;br&gt;Topcastle according to http://www.topcastles.com/kastelen.php?SubMenu=main&amp;SelCastle=raseborg&lt;br&gt;&lt;br&gt;220. Raseborg&lt;br&gt;Country: Finland&lt;br&gt;Region: &lt;br&gt;Place: </t>
  </si>
  <si>
    <t>&lt;b&gt;Castillo de Lorca&lt;/b&gt;&lt;br&gt;&lt;br&gt;&lt;img src='http://www.topcastles.com/images/large/lorca.jpg' border='0'&gt;&lt;br&gt;&lt;br&gt;Topcastle according to http://www.topcastles.com/kastelen.php?SubMenu=main&amp;SelCastle=lorca&lt;br&gt;&lt;br&gt;221. Castillo de Lorca&lt;br&gt;Country: Spain&lt;br&gt;Region: Murcia&lt;br&gt;Place: Lorca</t>
  </si>
  <si>
    <t xml:space="preserve">&lt;b&gt;Schattenburg&lt;/b&gt;&lt;br&gt;&lt;br&gt;&lt;img src='http://www.topcastles.com/images/large/schattenburg.jpg' border='0'&gt;&lt;br&gt;&lt;br&gt;Topcastle according to http://www.topcastles.com/kastelen.php?SubMenu=main&amp;SelCastle=schattenburg&lt;br&gt;&lt;br&gt;222. Schattenburg&lt;br&gt;Country: Austria&lt;br&gt;Region: Voralberg&lt;br&gt;Place: </t>
  </si>
  <si>
    <t>&lt;b&gt;Goodrich Castle&lt;/b&gt;&lt;br&gt;&lt;br&gt;&lt;img src='http://www.topcastles.com/images/large/goodrich.jpg' border='0'&gt;&lt;br&gt;&lt;br&gt;Topcastle according to http://www.topcastles.com/kastelen.php?SubMenu=main&amp;SelCastle=goodrich&lt;br&gt;&lt;br&gt;223. Goodrich Castle&lt;br&gt;Country: England&lt;br&gt;Region: West Midlands&lt;br&gt;Place: Ross (Hereford &amp; Worcester)</t>
  </si>
  <si>
    <t xml:space="preserve">&lt;b&gt;Castelo de Beja&lt;/b&gt;&lt;br&gt;&lt;br&gt;&lt;img src='http://www.topcastles.com/images/large/beja.jpg' border='0'&gt;&lt;br&gt;&lt;br&gt;Topcastle according to http://www.topcastles.com/kastelen.php?SubMenu=main&amp;SelCastle=beja&lt;br&gt;&lt;br&gt;224. Castelo de Beja&lt;br&gt;Country: Portugal&lt;br&gt;Region: &lt;br&gt;Place: </t>
  </si>
  <si>
    <t>&lt;b&gt;Richmond Castle&lt;/b&gt;&lt;br&gt;&lt;br&gt;&lt;img src='http://www.topcastles.com/images/large/richmond.jpg' border='0'&gt;&lt;br&gt;&lt;br&gt;Topcastle according to http://www.topcastles.com/kastelen.php?SubMenu=main&amp;SelCastle=richmond&lt;br&gt;&lt;br&gt;225. Richmond Castle&lt;br&gt;Country: England&lt;br&gt;Region: Yorkshire and Humber&lt;br&gt;Place: Richmond</t>
  </si>
  <si>
    <t>&lt;b&gt;Vadstena Slott&lt;/b&gt;&lt;br&gt;&lt;br&gt;&lt;img src='http://www.topcastles.com/images/large/vadstena.jpg' border='0'&gt;&lt;br&gt;&lt;br&gt;Topcastle according to http://www.topcastles.com/kastelen.php?SubMenu=main&amp;SelCastle=vadstena&lt;br&gt;&lt;br&gt;226. Vadstena Slott&lt;br&gt;Country: Sweden&lt;br&gt;Region: Östra Mellansverige (East Middle Sweden)&lt;br&gt;Place: Vadstena</t>
  </si>
  <si>
    <t xml:space="preserve">&lt;b&gt;Citate Deva&lt;/b&gt;&lt;br&gt;&lt;br&gt;&lt;img src='http://www.topcastles.com/images/large/deva.jpg' border='0'&gt;&lt;br&gt;&lt;br&gt;Topcastle according to http://www.topcastles.com/kastelen.php?SubMenu=main&amp;SelCastle=deva&lt;br&gt;&lt;br&gt;227. Citate Deva&lt;br&gt;Country: Rumania&lt;br&gt;Region: Transylvanië (Siebenbürgen)&lt;br&gt;Place: </t>
  </si>
  <si>
    <t>&lt;b&gt;Castelo dos Mouros&lt;/b&gt;&lt;br&gt;&lt;br&gt;&lt;img src='http://www.topcastles.com/images/large/sintra.jpg' border='0'&gt;&lt;br&gt;&lt;br&gt;Topcastle according to http://www.topcastles.com/kastelen.php?SubMenu=main&amp;SelCastle=sintra&lt;br&gt;&lt;br&gt;228. Castelo dos Mouros&lt;br&gt;Country: Portugal&lt;br&gt;Region: &lt;br&gt;Place: Sintra</t>
  </si>
  <si>
    <t xml:space="preserve">&lt;b&gt;Rhuddlan Castle&lt;/b&gt;&lt;br&gt;&lt;br&gt;&lt;img src='http://www.topcastles.com/images/large/rhuddlan.jpg' border='0'&gt;&lt;br&gt;&lt;br&gt;Topcastle according to http://www.topcastles.com/kastelen.php?SubMenu=main&amp;SelCastle=rhuddlan&lt;br&gt;&lt;br&gt;229. Rhuddlan Castle&lt;br&gt;Country: Wales&lt;br&gt;Region: Clwyd&lt;br&gt;Place: </t>
  </si>
  <si>
    <t>&lt;b&gt;Bodrum (St. Petersburcht, Halikarnassos)&lt;/b&gt;&lt;br&gt;&lt;br&gt;&lt;img src='http://www.topcastles.com/images/large/bodrum.jpg' border='0'&gt;&lt;br&gt;&lt;br&gt;Topcastle according to http://www.topcastles.com/kastelen.php?SubMenu=main&amp;SelCastle=bodrum&lt;br&gt;&lt;br&gt;230. Bodrum (St. Petersburcht, Halikarnassos)&lt;br&gt;Country: Turkey&lt;br&gt;Region: &lt;br&gt;Place: Kos</t>
  </si>
  <si>
    <t>&lt;b&gt;Craigmillar Castle&lt;/b&gt;&lt;br&gt;&lt;br&gt;&lt;img src='http://www.topcastles.com/images/large/craigmillar.jpg' border='0'&gt;&lt;br&gt;&lt;br&gt;Topcastle according to http://www.topcastles.com/kastelen.php?SubMenu=main&amp;SelCastle=craigmillar&lt;br&gt;&lt;br&gt;231. Craigmillar Castle&lt;br&gt;Country: Scotland&lt;br&gt;Region: Edinburg and Lothian&lt;br&gt;Place: Edinburgh (Lothian)</t>
  </si>
  <si>
    <t>Castelo de Bragança</t>
  </si>
  <si>
    <t xml:space="preserve">&lt;b&gt;Castelo de Bragança&lt;/b&gt;&lt;br&gt;&lt;br&gt;&lt;img src='http://www.topcastles.com/images/large/braganca.jpg' border='0'&gt;&lt;br&gt;&lt;br&gt;Topcastle according to http://www.topcastles.com/kastelen.php?SubMenu=main&amp;SelCastle=braganca&lt;br&gt;&lt;br&gt;232. Castelo de Bragança&lt;br&gt;Country: Portugal&lt;br&gt;Region: &lt;br&gt;Place: </t>
  </si>
  <si>
    <t>&lt;b&gt;Hever Castle&lt;/b&gt;&lt;br&gt;&lt;br&gt;&lt;img src='http://www.topcastles.com/images/large/hever.jpg' border='0'&gt;&lt;br&gt;&lt;br&gt;Topcastle according to http://www.topcastles.com/kastelen.php?SubMenu=main&amp;SelCastle=hever&lt;br&gt;&lt;br&gt;233. Hever Castle&lt;br&gt;Country: England&lt;br&gt;Region: South East&lt;br&gt;Place: (Kent)</t>
  </si>
  <si>
    <t xml:space="preserve">&lt;b&gt;Veliki Tabor&lt;/b&gt;&lt;br&gt;&lt;br&gt;&lt;img src='http://www.topcastles.com/images/large/velikitabor.jpg' border='0'&gt;&lt;br&gt;&lt;br&gt;Topcastle according to http://www.topcastles.com/kastelen.php?SubMenu=main&amp;SelCastle=velikitabor&lt;br&gt;&lt;br&gt;234. Veliki Tabor&lt;br&gt;Country: Croatia&lt;br&gt;Region: &lt;br&gt;Place: </t>
  </si>
  <si>
    <t>&lt;b&gt;Zvikov Hrad (Klingenberg)&lt;/b&gt;&lt;br&gt;&lt;br&gt;&lt;img src='http://www.topcastles.com/images/large/zvikov.jpg' border='0'&gt;&lt;br&gt;&lt;br&gt;Topcastle according to http://www.topcastles.com/kastelen.php?SubMenu=main&amp;SelCastle=zvikov&lt;br&gt;&lt;br&gt;235. Zvikov Hrad (Klingenberg)&lt;br&gt;Country: Czechia&lt;br&gt;Region: Jiho Ceský (Südböhmen)&lt;br&gt;Place: Zvikov</t>
  </si>
  <si>
    <t xml:space="preserve">&lt;b&gt;Matsumoto Tenshu&lt;/b&gt;&lt;br&gt;&lt;br&gt;&lt;img src='http://www.topcastles.com/images/large/matsumoto.jpg' border='0'&gt;&lt;br&gt;&lt;br&gt;Topcastle according to http://www.topcastles.com/kastelen.php?SubMenu=main&amp;SelCastle=matsumoto&lt;br&gt;&lt;br&gt;236. Matsumoto Tenshu&lt;br&gt;Country: Japan&lt;br&gt;Region: &lt;br&gt;Place: </t>
  </si>
  <si>
    <t>&lt;b&gt;Schloss von Neuenburg (Freyburg an der Unstrut)&lt;/b&gt;&lt;br&gt;&lt;br&gt;&lt;img src='http://www.topcastles.com/images/large/neuenburg.jpg' border='0'&gt;&lt;br&gt;&lt;br&gt;Topcastle according to http://www.topcastles.com/kastelen.php?SubMenu=main&amp;SelCastle=neuenburg&lt;br&gt;&lt;br&gt;237. Schloss von Neuenburg (Freyburg an der Unstrut)&lt;br&gt;Country: Germany&lt;br&gt;Region: Sachsen-Anhalt&lt;br&gt;Place: Freyburg (Unstrut)</t>
  </si>
  <si>
    <t>&lt;b&gt;Château medieval de Louvre&lt;/b&gt;&lt;br&gt;&lt;br&gt;&lt;img src='http://www.topcastles.com/images/large/louvre.jpg' border='0'&gt;&lt;br&gt;&lt;br&gt;Topcastle according to http://www.topcastles.com/kastelen.php?SubMenu=main&amp;SelCastle=louvre&lt;br&gt;&lt;br&gt;238. Château medieval de Louvre&lt;br&gt;Country: France&lt;br&gt;Region: Ile-de-France&lt;br&gt;Place: Paris</t>
  </si>
  <si>
    <t xml:space="preserve">&lt;b&gt;Flint Castle&lt;/b&gt;&lt;br&gt;&lt;br&gt;&lt;img src='http://www.topcastles.com/images/large/flint.jpg' border='0'&gt;&lt;br&gt;&lt;br&gt;Topcastle according to http://www.topcastles.com/kastelen.php?SubMenu=main&amp;SelCastle=flint&lt;br&gt;&lt;br&gt;239. Flint Castle&lt;br&gt;Country: Wales&lt;br&gt;Region: Clywd&lt;br&gt;Place: </t>
  </si>
  <si>
    <t xml:space="preserve">&lt;b&gt;Yoros Kalesi (Anadolu Kavagi, Hieron Castle, Genoese Castle)&lt;/b&gt;&lt;br&gt;&lt;br&gt;&lt;img src='http://www.topcastles.com/images/large/hieron.jpg' border='0'&gt;&lt;br&gt;&lt;br&gt;Topcastle according to http://www.topcastles.com/kastelen.php?SubMenu=main&amp;SelCastle=hieron&lt;br&gt;&lt;br&gt;240. Yoros Kalesi (Anadolu Kavagi, Hieron Castle, Genoese Castle)&lt;br&gt;Country: Turkey&lt;br&gt;Region: &lt;br&gt;Place: </t>
  </si>
  <si>
    <t xml:space="preserve">&lt;b&gt;Thessalonica (Beyaz Kule, Thessaloniki, Selonica)&lt;/b&gt;&lt;br&gt;&lt;br&gt;&lt;img src='http://www.topcastles.com/images/large/thessalonica.jpg' border='0'&gt;&lt;br&gt;&lt;br&gt;Topcastle according to http://www.topcastles.com/kastelen.php?SubMenu=main&amp;SelCastle=thessalonica&lt;br&gt;&lt;br&gt;241. Thessalonica (Beyaz Kule, Thessaloniki, Selonica)&lt;br&gt;Country: Greece&lt;br&gt;Region: &lt;br&gt;Place: </t>
  </si>
  <si>
    <t>&lt;b&gt;Château de Bonaguil &lt;/b&gt;&lt;br&gt;&lt;br&gt;&lt;img src='http://www.topcastles.com/images/large/bonaguil.jpg' border='0'&gt;&lt;br&gt;&lt;br&gt;Topcastle according to http://www.topcastles.com/kastelen.php?SubMenu=main&amp;SelCastle=bonaguil&lt;br&gt;&lt;br&gt;242. Château de Bonaguil &lt;br&gt;Country: France&lt;br&gt;Region: Aquitaine&lt;br&gt;Place: Cahors</t>
  </si>
  <si>
    <t xml:space="preserve">&lt;b&gt;Rocca di Volterra&lt;/b&gt;&lt;br&gt;&lt;br&gt;&lt;img src='http://www.topcastles.com/images/large/volterra.jpg' border='0'&gt;&lt;br&gt;&lt;br&gt;Topcastle according to http://www.topcastles.com/kastelen.php?SubMenu=main&amp;SelCastle=volterra&lt;br&gt;&lt;br&gt;243. Rocca di Volterra&lt;br&gt;Country: Italy&lt;br&gt;Region: Toscane (Toscana)&lt;br&gt;Place: </t>
  </si>
  <si>
    <t>&lt;b&gt;Castillo de Burgalimar (Baños de la Encina)&lt;/b&gt;&lt;br&gt;&lt;br&gt;&lt;img src='http://www.topcastles.com/images/large/encina.jpg' border='0'&gt;&lt;br&gt;&lt;br&gt;Topcastle according to http://www.topcastles.com/kastelen.php?SubMenu=main&amp;SelCastle=encina&lt;br&gt;&lt;br&gt;244. Castillo de Burgalimar (Baños de la Encina)&lt;br&gt;Country: Spain&lt;br&gt;Region: Andalucia&lt;br&gt;Place: Baños de la Encina (Jaén)</t>
  </si>
  <si>
    <t xml:space="preserve">&lt;b&gt;Castelo de Silves&lt;/b&gt;&lt;br&gt;&lt;br&gt;&lt;img src='http://www.topcastles.com/images/large/silves.jpg' border='0'&gt;&lt;br&gt;&lt;br&gt;Topcastle according to http://www.topcastles.com/kastelen.php?SubMenu=main&amp;SelCastle=silves&lt;br&gt;&lt;br&gt;245. Castelo de Silves&lt;br&gt;Country: Portugal&lt;br&gt;Region: Algarve&lt;br&gt;Place: </t>
  </si>
  <si>
    <t>&lt;b&gt;Tantallon Castle&lt;/b&gt;&lt;br&gt;&lt;br&gt;&lt;img src='http://www.topcastles.com/images/large/tantallon.jpg' border='0'&gt;&lt;br&gt;&lt;br&gt;Topcastle according to http://www.topcastles.com/kastelen.php?SubMenu=main&amp;SelCastle=tantallon&lt;br&gt;&lt;br&gt;246. Tantallon Castle&lt;br&gt;Country: Scotland&lt;br&gt;Region: Central&lt;br&gt;Place: (East Lothian)</t>
  </si>
  <si>
    <t xml:space="preserve">&lt;b&gt;Steinvikholm Slott (Stenviksholm)&lt;/b&gt;&lt;br&gt;&lt;br&gt;&lt;img src='http://www.topcastles.com/images/large/steinvikholm.jpg' border='0'&gt;&lt;br&gt;&lt;br&gt;Topcastle according to http://www.topcastles.com/kastelen.php?SubMenu=main&amp;SelCastle=steinvikholm&lt;br&gt;&lt;br&gt;247. Steinvikholm Slott (Stenviksholm)&lt;br&gt;Country: Norway&lt;br&gt;Region: &lt;br&gt;Place: </t>
  </si>
  <si>
    <t>&lt;b&gt;Château Saint-Ulrich (Gross Rapoltstein, Grand Ribeaupierre)&lt;/b&gt;&lt;br&gt;&lt;br&gt;&lt;img src='http://www.topcastles.com/images/large/ulrich.jpg' border='0'&gt;&lt;br&gt;&lt;br&gt;Topcastle according to http://www.topcastles.com/kastelen.php?SubMenu=main&amp;SelCastle=ulrich&lt;br&gt;&lt;br&gt;248. Château Saint-Ulrich (Gross Rapoltstein, Grand Ribeaupierre)&lt;br&gt;Country: France&lt;br&gt;Region: Elzas (Alsace)&lt;br&gt;Place: Ribeauvillé</t>
  </si>
  <si>
    <t>&lt;b&gt;Bothwell Castle&lt;/b&gt;&lt;br&gt;&lt;br&gt;&lt;img src='http://www.topcastles.com/images/large/bothwell.jpg' border='0'&gt;&lt;br&gt;&lt;br&gt;Topcastle according to http://www.topcastles.com/kastelen.php?SubMenu=main&amp;SelCastle=bothwell&lt;br&gt;&lt;br&gt;249. Bothwell Castle&lt;br&gt;Country: Scotland&lt;br&gt;Region: Central&lt;br&gt;Place: Uddingston Near Glasgow (Strathclyde)</t>
  </si>
  <si>
    <t>&lt;b&gt;Castillo de Túregano&lt;/b&gt;&lt;br&gt;&lt;br&gt;&lt;img src='http://www.topcastles.com/images/large/turegano.jpg' border='0'&gt;&lt;br&gt;&lt;br&gt;Topcastle according to http://www.topcastles.com/kastelen.php?SubMenu=main&amp;SelCastle=turegano&lt;br&gt;&lt;br&gt;250. Castillo de Túregano&lt;br&gt;Country: Spain&lt;br&gt;Region: Castilla y León&lt;br&gt;Place: Turégano (Segovia)</t>
  </si>
  <si>
    <t>&lt;b&gt;Schloss Thun (Zähringen-Kyburg)&lt;/b&gt;&lt;br&gt;&lt;br&gt;&lt;img src='http://www.topcastles.com/images/large/thun.jpg' border='0'&gt;&lt;br&gt;&lt;br&gt;Topcastle according to http://www.topcastles.com/kastelen.php?SubMenu=main&amp;SelCastle=thun&lt;br&gt;&lt;br&gt;251. Schloss Thun (Zähringen-Kyburg)&lt;br&gt;Country: Switzerland&lt;br&gt;Region: Mittelland&lt;br&gt;Place: Thun (Kanton Bern)</t>
  </si>
  <si>
    <t xml:space="preserve">&lt;b&gt;Dunluce Castle&lt;/b&gt;&lt;br&gt;&lt;br&gt;&lt;img src='http://www.topcastles.com/images/large/dunluce.jpg' border='0'&gt;&lt;br&gt;&lt;br&gt;Topcastle according to http://www.topcastles.com/kastelen.php?SubMenu=main&amp;SelCastle=dunluce&lt;br&gt;&lt;br&gt;252. Dunluce Castle&lt;br&gt;Country: Northern Ireland&lt;br&gt;Region: Antrim&lt;br&gt;Place: </t>
  </si>
  <si>
    <t xml:space="preserve">&lt;b&gt;Château de Bourscheid&lt;/b&gt;&lt;br&gt;&lt;br&gt;&lt;img src='http://www.topcastles.com/images/large/bourscheid.jpg' border='0'&gt;&lt;br&gt;&lt;br&gt;Topcastle according to http://www.topcastles.com/kastelen.php?SubMenu=main&amp;SelCastle=bourscheid&lt;br&gt;&lt;br&gt;253. Château de Bourscheid&lt;br&gt;Country: Luxemburg&lt;br&gt;Region: Ardennen&lt;br&gt;Place: </t>
  </si>
  <si>
    <t>&lt;b&gt;Stari grad Otocec (Otoccu (Altenburg, Wördl)&lt;/b&gt;&lt;br&gt;&lt;br&gt;&lt;img src='http://www.topcastles.com/images/large/otocec.jpg' border='0'&gt;&lt;br&gt;&lt;br&gt;Topcastle according to http://www.topcastles.com/kastelen.php?SubMenu=main&amp;SelCastle=otocec&lt;br&gt;&lt;br&gt;254. Stari grad Otocec (Otoccu (Altenburg, Wördl)&lt;br&gt;Country: Slovenia&lt;br&gt;Region: Krka&lt;br&gt;Place: Novo Mesto</t>
  </si>
  <si>
    <t>&lt;b&gt;Berkeley Castle&lt;/b&gt;&lt;br&gt;&lt;br&gt;&lt;img src='http://www.topcastles.com/images/large/berkeley.jpg' border='0'&gt;&lt;br&gt;&lt;br&gt;Topcastle according to http://www.topcastles.com/kastelen.php?SubMenu=main&amp;SelCastle=berkeley&lt;br&gt;&lt;br&gt;255. Berkeley Castle&lt;br&gt;Country: England&lt;br&gt;Region: South West&lt;br&gt;Place: (Gloucestershire)</t>
  </si>
  <si>
    <t xml:space="preserve">&lt;b&gt;Burg Kufstein (Geroldseck)&lt;/b&gt;&lt;br&gt;&lt;br&gt;&lt;img src='http://www.topcastles.com/images/large/kufstein.jpg' border='0'&gt;&lt;br&gt;&lt;br&gt;Topcastle according to http://www.topcastles.com/kastelen.php?SubMenu=main&amp;SelCastle=kufstein&lt;br&gt;&lt;br&gt;256. Burg Kufstein (Geroldseck)&lt;br&gt;Country: Austria&lt;br&gt;Region: Tirol&lt;br&gt;Place: </t>
  </si>
  <si>
    <t>&lt;b&gt;La Zisa&lt;/b&gt;&lt;br&gt;&lt;br&gt;&lt;img src='http://www.topcastles.com/images/large/zisa.jpg' border='0'&gt;&lt;br&gt;&lt;br&gt;Topcastle according to http://www.topcastles.com/kastelen.php?SubMenu=main&amp;SelCastle=zisa&lt;br&gt;&lt;br&gt;257. La Zisa&lt;br&gt;Country: Italy&lt;br&gt;Region: Sicilië (Sicilia)&lt;br&gt;Place: Palermo</t>
  </si>
  <si>
    <t>&lt;b&gt;Castle Rising&lt;/b&gt;&lt;br&gt;&lt;br&gt;&lt;img src='http://www.topcastles.com/images/large/rising.jpg' border='0'&gt;&lt;br&gt;&lt;br&gt;Topcastle according to http://www.topcastles.com/kastelen.php?SubMenu=main&amp;SelCastle=rising&lt;br&gt;&lt;br&gt;258. Castle Rising&lt;br&gt;Country: England&lt;br&gt;Region: East&lt;br&gt;Place: (Norfolk)</t>
  </si>
  <si>
    <t>&lt;b&gt;Rudelsburg an der Saale&lt;/b&gt;&lt;br&gt;&lt;br&gt;&lt;img src='http://www.topcastles.com/images/large/rudelsburg.jpg' border='0'&gt;&lt;br&gt;&lt;br&gt;Topcastle according to http://www.topcastles.com/kastelen.php?SubMenu=main&amp;SelCastle=rudelsburg&lt;br&gt;&lt;br&gt;259. Rudelsburg an der Saale&lt;br&gt;Country: Germany&lt;br&gt;Region: Thüringen&lt;br&gt;Place: Rudelsburg an der Saale</t>
  </si>
  <si>
    <t>&lt;b&gt;Salgó vára&lt;/b&gt;&lt;br&gt;&lt;br&gt;&lt;img src='http://www.topcastles.com/images/large/salgo.jpg' border='0'&gt;&lt;br&gt;&lt;br&gt;Topcastle according to http://www.topcastles.com/kastelen.php?SubMenu=main&amp;SelCastle=salgo&lt;br&gt;&lt;br&gt;260. Salgó vára&lt;br&gt;Country: Hungary&lt;br&gt;Region: Észak Magyaroszág (Northern Hungary)&lt;br&gt;Place: Salgó</t>
  </si>
  <si>
    <t>&lt;b&gt;El Kerak (Al Karak)&lt;/b&gt;&lt;br&gt;&lt;br&gt;&lt;img src='http://www.topcastles.com/images/large/kerak.jpg' border='0'&gt;&lt;br&gt;&lt;br&gt;Topcastle according to http://www.topcastles.com/kastelen.php?SubMenu=main&amp;SelCastle=kerak&lt;br&gt;&lt;br&gt;261. El Kerak (Al Karak)&lt;br&gt;Country: Jordan&lt;br&gt;Region: &lt;br&gt;Place: Oultrejourdain</t>
  </si>
  <si>
    <t>&lt;b&gt;Burgschwallbach&lt;/b&gt;&lt;br&gt;&lt;br&gt;&lt;img src='http://www.topcastles.com/images/large/burgschwallbach.jpg' border='0'&gt;&lt;br&gt;&lt;br&gt;Topcastle according to http://www.topcastles.com/kastelen.php?SubMenu=main&amp;SelCastle=burgschwallbach&lt;br&gt;&lt;br&gt;262. Burgschwallbach&lt;br&gt;Country: Germany&lt;br&gt;Region: Hessen&lt;br&gt;Place: (Wiesbaden)</t>
  </si>
  <si>
    <t>&lt;b&gt;Burg Thurnberg (Maus)&lt;/b&gt;&lt;br&gt;&lt;br&gt;&lt;img src='http://www.topcastles.com/images/large/maus.jpg' border='0'&gt;&lt;br&gt;&lt;br&gt;Topcastle according to http://www.topcastles.com/kastelen.php?SubMenu=main&amp;SelCastle=maus&lt;br&gt;&lt;br&gt;263. Burg Thurnberg (Maus)&lt;br&gt;Country: Germany&lt;br&gt;Region: Rheinland-Pfalz&lt;br&gt;Place: St. Goarshausen</t>
  </si>
  <si>
    <t>&lt;b&gt;Lubovniansky hrad (Lubló)&lt;/b&gt;&lt;br&gt;&lt;br&gt;&lt;img src='http://www.topcastles.com/images/large/lubovniansky.jpg' border='0'&gt;&lt;br&gt;&lt;br&gt;Topcastle according to http://www.topcastles.com/kastelen.php?SubMenu=main&amp;SelCastle=lubovniansky&lt;br&gt;&lt;br&gt;264. Lubovniansky hrad (Lubló)&lt;br&gt;Country: Slovakia&lt;br&gt;Region: lubovna&lt;br&gt;Place: Stará Ľubovňa</t>
  </si>
  <si>
    <t>&lt;b&gt;Ross Castle (Caisleán an Rois, O'Donoghue Castle)&lt;/b&gt;&lt;br&gt;&lt;br&gt;&lt;img src='http://www.topcastles.com/images/large/ross.jpg' border='0'&gt;&lt;br&gt;&lt;br&gt;Topcastle according to http://www.topcastles.com/kastelen.php?SubMenu=main&amp;SelCastle=ross&lt;br&gt;&lt;br&gt;265. Ross Castle (Caisleán an Rois, O'Donoghue Castle)&lt;br&gt;Country: Republic of Ireland&lt;br&gt;Region: Kerry&lt;br&gt;Place: Lough Leane</t>
  </si>
  <si>
    <t>&lt;b&gt;Csersk&lt;/b&gt;&lt;br&gt;&lt;br&gt;&lt;img src='http://www.topcastles.com/images/large/czersk.jpg' border='0'&gt;&lt;br&gt;&lt;br&gt;Topcastle according to http://www.topcastles.com/kastelen.php?SubMenu=main&amp;SelCastle=czersk&lt;br&gt;&lt;br&gt;266. Csersk&lt;br&gt;Country: Poland&lt;br&gt;Region: Warminsko-Mazursky (Masuria)&lt;br&gt;Place: Csersk</t>
  </si>
  <si>
    <t>&lt;b&gt;Castillo de Torrelobatón&lt;/b&gt;&lt;br&gt;&lt;br&gt;&lt;img src='http://www.topcastles.com/images/large/torrelobaton.jpg' border='0'&gt;&lt;br&gt;&lt;br&gt;Topcastle according to http://www.topcastles.com/kastelen.php?SubMenu=main&amp;SelCastle=torrelobaton&lt;br&gt;&lt;br&gt;267. Castillo de Torrelobatón&lt;br&gt;Country: Spain&lt;br&gt;Region: Castilla y León&lt;br&gt;Place: Torrelobatón (Valladolid)</t>
  </si>
  <si>
    <t>&lt;b&gt;Castello di Trostburg (Sublavio)&lt;/b&gt;&lt;br&gt;&lt;br&gt;&lt;img src='http://www.topcastles.com/images/large/trostburg.jpg' border='0'&gt;&lt;br&gt;&lt;br&gt;Topcastle according to http://www.topcastles.com/kastelen.php?SubMenu=main&amp;SelCastle=trostburg&lt;br&gt;&lt;br&gt;268. Castello di Trostburg (Sublavio)&lt;br&gt;Country: Italy&lt;br&gt;Region: Trento (Zuid-Tirol, Trentino)&lt;br&gt;Place: Waidbruck</t>
  </si>
  <si>
    <t>&lt;b&gt;Doune Castle&lt;/b&gt;&lt;br&gt;&lt;br&gt;&lt;img src='http://www.topcastles.com/images/large/doune.jpg' border='0'&gt;&lt;br&gt;&lt;br&gt;Topcastle according to http://www.topcastles.com/kastelen.php?SubMenu=main&amp;SelCastle=doune&lt;br&gt;&lt;br&gt;269. Doune Castle&lt;br&gt;Country: Scotland&lt;br&gt;Region: Central&lt;br&gt;Place: (Stirlingshire)</t>
  </si>
  <si>
    <t xml:space="preserve">&lt;b&gt;Castello di Ursino&lt;/b&gt;&lt;br&gt;&lt;br&gt;&lt;img src='http://www.topcastles.com/images/large/ursino.jpg' border='0'&gt;&lt;br&gt;&lt;br&gt;Topcastle according to http://www.topcastles.com/kastelen.php?SubMenu=main&amp;SelCastle=ursino&lt;br&gt;&lt;br&gt;270. Castello di Ursino&lt;br&gt;Country: Italy&lt;br&gt;Region: Sicilië (Sicilia)&lt;br&gt;Place: Catania </t>
  </si>
  <si>
    <t>&lt;b&gt;Castello di Bari&lt;/b&gt;&lt;br&gt;&lt;br&gt;&lt;img src='http://www.topcastles.com/images/large/bari.jpg' border='0'&gt;&lt;br&gt;&lt;br&gt;Topcastle according to http://www.topcastles.com/kastelen.php?SubMenu=main&amp;SelCastle=bari&lt;br&gt;&lt;br&gt;271. Castello di Bari&lt;br&gt;Country: Italy&lt;br&gt;Region: Apulië (Puglia)&lt;br&gt;Place: Bari</t>
  </si>
  <si>
    <t xml:space="preserve">&lt;b&gt;Castello di Sigmundskron&lt;/b&gt;&lt;br&gt;&lt;br&gt;&lt;img src='http://www.topcastles.com/images/large/sigmundskron.jpg' border='0'&gt;&lt;br&gt;&lt;br&gt;Topcastle according to http://www.topcastles.com/kastelen.php?SubMenu=main&amp;SelCastle=sigmundskron&lt;br&gt;&lt;br&gt;272. Castello di Sigmundskron&lt;br&gt;Country: Italy&lt;br&gt;Region: Trento (Zuid-Tirol, Trentino)&lt;br&gt;Place: </t>
  </si>
  <si>
    <t>&lt;b&gt;Schloss Straßburg&lt;/b&gt;&lt;br&gt;&lt;br&gt;&lt;img src='http://www.topcastles.com/images/large/strassburg.jpg' border='0'&gt;&lt;br&gt;&lt;br&gt;Topcastle according to http://www.topcastles.com/kastelen.php?SubMenu=main&amp;SelCastle=strassburg&lt;br&gt;&lt;br&gt;273. Schloss Straßburg&lt;br&gt;Country: Austria&lt;br&gt;Region: Kärnten&lt;br&gt;Place: Straßburg</t>
  </si>
  <si>
    <t>&lt;b&gt;Château de Sully-sur-Loire&lt;/b&gt;&lt;br&gt;&lt;br&gt;&lt;img src='http://www.topcastles.com/images/large/sully.jpg' border='0'&gt;&lt;br&gt;&lt;br&gt;Topcastle according to http://www.topcastles.com/kastelen.php?SubMenu=main&amp;SelCastle=sully&lt;br&gt;&lt;br&gt;274. Château de Sully-sur-Loire&lt;br&gt;Country: France&lt;br&gt;Region: Centre&lt;br&gt;Place: Sully-sur-Loire</t>
  </si>
  <si>
    <t>&lt;b&gt;Eilean Donan Castle&lt;/b&gt;&lt;br&gt;&lt;br&gt;&lt;img src='http://www.topcastles.com/images/large/eileandonan.jpg' border='0'&gt;&lt;br&gt;&lt;br&gt;Topcastle according to http://www.topcastles.com/kastelen.php?SubMenu=main&amp;SelCastle=eileandonan&lt;br&gt;&lt;br&gt;275. Eilean Donan Castle&lt;br&gt;Country: Scotland&lt;br&gt;Region: Highland&lt;br&gt;Place: Ross and Cromarty</t>
  </si>
  <si>
    <t xml:space="preserve">&lt;b&gt;Castelo de Elvas&lt;/b&gt;&lt;br&gt;&lt;br&gt;&lt;img src='http://www.topcastles.com/images/large/elvas.jpg' border='0'&gt;&lt;br&gt;&lt;br&gt;Topcastle according to http://www.topcastles.com/kastelen.php?SubMenu=main&amp;SelCastle=elvas&lt;br&gt;&lt;br&gt;276. Castelo de Elvas&lt;br&gt;Country: Portugal&lt;br&gt;Region: &lt;br&gt;Place: </t>
  </si>
  <si>
    <t>&lt;b&gt;Jerinin grad (Maglic)&lt;/b&gt;&lt;br&gt;&lt;br&gt;&lt;img src='http://www.topcastles.com/images/large/maglic.jpg' border='0'&gt;&lt;br&gt;&lt;br&gt;Topcastle according to http://www.topcastles.com/kastelen.php?SubMenu=main&amp;SelCastle=maglic&lt;br&gt;&lt;br&gt;277. Jerinin grad (Maglic)&lt;br&gt;Country: Serbia&lt;br&gt;Region: &lt;br&gt;Place: Maglic</t>
  </si>
  <si>
    <t>&lt;b&gt;Alcazaba de Málaga&lt;/b&gt;&lt;br&gt;&lt;br&gt;&lt;img src='http://www.topcastles.com/images/large/malaga.jpg' border='0'&gt;&lt;br&gt;&lt;br&gt;Topcastle according to http://www.topcastles.com/kastelen.php?SubMenu=main&amp;SelCastle=malaga&lt;br&gt;&lt;br&gt;278. Alcazaba de Málaga&lt;br&gt;Country: Spain&lt;br&gt;Region: Andalucia&lt;br&gt;Place: Málaga</t>
  </si>
  <si>
    <t>&lt;b&gt;Hedingham Castle&lt;/b&gt;&lt;br&gt;&lt;br&gt;&lt;img src='http://www.topcastles.com/images/large/hedingham.jpg' border='0'&gt;&lt;br&gt;&lt;br&gt;Topcastle according to http://www.topcastles.com/kastelen.php?SubMenu=main&amp;SelCastle=hedingham&lt;br&gt;&lt;br&gt;279. Hedingham Castle&lt;br&gt;Country: England&lt;br&gt;Region: East&lt;br&gt;Place: Hedingham (Essex)</t>
  </si>
  <si>
    <t>&lt;b&gt;Ballymote Castle&lt;/b&gt;&lt;br&gt;&lt;br&gt;&lt;img src='http://www.topcastles.com/images/large/ballymote.jpg' border='0'&gt;&lt;br&gt;&lt;br&gt;Topcastle according to http://www.topcastles.com/kastelen.php?SubMenu=main&amp;SelCastle=ballymote&lt;br&gt;&lt;br&gt;280. Ballymote Castle&lt;br&gt;Country: Republic of Ireland&lt;br&gt;Region: Sligo&lt;br&gt;Place: Sligo</t>
  </si>
  <si>
    <t xml:space="preserve">&lt;b&gt;Akrokorinth&lt;/b&gt;&lt;br&gt;&lt;br&gt;&lt;img src='http://www.topcastles.com/images/large/akrokorinth.jpg' border='0'&gt;&lt;br&gt;&lt;br&gt;Topcastle according to http://www.topcastles.com/kastelen.php?SubMenu=main&amp;SelCastle=akrokorinth&lt;br&gt;&lt;br&gt;281. Akrokorinth&lt;br&gt;Country: Greece&lt;br&gt;Region: &lt;br&gt;Place: </t>
  </si>
  <si>
    <t xml:space="preserve">&lt;b&gt;Castello di Hocheppan&lt;/b&gt;&lt;br&gt;&lt;br&gt;&lt;img src='http://www.topcastles.com/images/large/hocheppan.jpg' border='0'&gt;&lt;br&gt;&lt;br&gt;Topcastle according to http://www.topcastles.com/kastelen.php?SubMenu=main&amp;SelCastle=hocheppan&lt;br&gt;&lt;br&gt;282. Castello di Hocheppan&lt;br&gt;Country: Italy&lt;br&gt;Region: Trento (Zuid-Tirol, Trentino)&lt;br&gt;Place: </t>
  </si>
  <si>
    <t>&lt;b&gt;Rothesay Castle&lt;/b&gt;&lt;br&gt;&lt;br&gt;&lt;img src='http://www.topcastles.com/images/large/rothesay.jpg' border='0'&gt;&lt;br&gt;&lt;br&gt;Topcastle according to http://www.topcastles.com/kastelen.php?SubMenu=main&amp;SelCastle=rothesay&lt;br&gt;&lt;br&gt;283. Rothesay Castle&lt;br&gt;Country: Scotland&lt;br&gt;Region: Central&lt;br&gt;Place: (Strathclyde)</t>
  </si>
  <si>
    <t>&lt;b&gt;Tokaj vár&lt;/b&gt;&lt;br&gt;&lt;br&gt;&lt;img src='http://www.topcastles.com/images/large/tokaj.jpg' border='0'&gt;&lt;br&gt;&lt;br&gt;Topcastle according to http://www.topcastles.com/kastelen.php?SubMenu=main&amp;SelCastle=tokaj&lt;br&gt;&lt;br&gt;284. Tokaj vár&lt;br&gt;Country: Hungary&lt;br&gt;Region: Észak Magyaroszág (Northern Hungary)&lt;br&gt;Place: Tokaj</t>
  </si>
  <si>
    <t>&lt;b&gt;La Fortezza di Sarzanello&lt;/b&gt;&lt;br&gt;&lt;br&gt;&lt;img src='http://www.topcastles.com/images/large/sarzanella.jpg' border='0'&gt;&lt;br&gt;&lt;br&gt;Topcastle according to http://www.topcastles.com/kastelen.php?SubMenu=main&amp;SelCastle=sarzanella&lt;br&gt;&lt;br&gt;285. La Fortezza di Sarzanello&lt;br&gt;Country: Italy&lt;br&gt;Region: Liguria&lt;br&gt;Place: Sarzana</t>
  </si>
  <si>
    <t>&lt;b&gt;Neukatzelnbogeln&lt;/b&gt;&lt;br&gt;&lt;br&gt;&lt;img src='http://www.topcastles.com/images/large/katz.jpg' border='0'&gt;&lt;br&gt;&lt;br&gt;Topcastle according to http://www.topcastles.com/kastelen.php?SubMenu=main&amp;SelCastle=katz&lt;br&gt;&lt;br&gt;286. Neukatzelnbogeln&lt;br&gt;Country: Germany&lt;br&gt;Region: Rheinland-Pfalz&lt;br&gt;Place: St. Goarshausen</t>
  </si>
  <si>
    <t xml:space="preserve">&lt;b&gt;Chocim (Khotyn)&lt;/b&gt;&lt;br&gt;&lt;br&gt;&lt;img src='http://www.topcastles.com/images/large/chocim.jpg' border='0'&gt;&lt;br&gt;&lt;br&gt;Topcastle according to http://www.topcastles.com/kastelen.php?SubMenu=main&amp;SelCastle=chocim&lt;br&gt;&lt;br&gt;287. Chocim (Khotyn)&lt;br&gt;Country: Ukraine&lt;br&gt;Region: Khmelnitskyi&lt;br&gt;Place: </t>
  </si>
  <si>
    <t>&lt;b&gt;Torpa Stenhus&lt;/b&gt;&lt;br&gt;&lt;br&gt;&lt;img src='http://www.topcastles.com/images/large/torpa.jpg' border='0'&gt;&lt;br&gt;&lt;br&gt;Topcastle according to http://www.topcastles.com/kastelen.php?SubMenu=main&amp;SelCastle=torpa&lt;br&gt;&lt;br&gt;288. Torpa Stenhus&lt;br&gt;Country: Sweden&lt;br&gt;Region: Västsverige (West Sweden)&lt;br&gt;Place: Tranemo (Västergötland)</t>
  </si>
  <si>
    <t>&lt;b&gt;Bohus Fästning&lt;/b&gt;&lt;br&gt;&lt;br&gt;&lt;img src='http://www.topcastles.com/images/large/bohus.jpg' border='0'&gt;&lt;br&gt;&lt;br&gt;Topcastle according to http://www.topcastles.com/kastelen.php?SubMenu=main&amp;SelCastle=bohus&lt;br&gt;&lt;br&gt;289. Bohus Fästning&lt;br&gt;Country: Sweden&lt;br&gt;Region: Västsverige (West Sweden)&lt;br&gt;Place: Kungalv (Bohuslän)</t>
  </si>
  <si>
    <t xml:space="preserve">&lt;b&gt;Urquhart Castle&lt;/b&gt;&lt;br&gt;&lt;br&gt;&lt;img src='http://www.topcastles.com/images/large/urquhart.jpg' border='0'&gt;&lt;br&gt;&lt;br&gt;Topcastle according to http://www.topcastles.com/kastelen.php?SubMenu=main&amp;SelCastle=urquhart&lt;br&gt;&lt;br&gt;290. Urquhart Castle&lt;br&gt;Country: Scotland&lt;br&gt;Region: Highland&lt;br&gt;Place: </t>
  </si>
  <si>
    <t>&lt;b&gt;Vidtskövle Slott&lt;/b&gt;&lt;br&gt;&lt;br&gt;&lt;img src='http://www.topcastles.com/images/large/vittskovle.jpg' border='0'&gt;&lt;br&gt;&lt;br&gt;Topcastle according to http://www.topcastles.com/kastelen.php?SubMenu=main&amp;SelCastle=vittskovle&lt;br&gt;&lt;br&gt;291. Vidtskövle Slott&lt;br&gt;Country: Sweden&lt;br&gt;Region: Sydsverige (South Sweden)&lt;br&gt;Place: Vittskövle (Skåne)</t>
  </si>
  <si>
    <t>&lt;b&gt;Citadel of Mycenae&lt;/b&gt;&lt;br&gt;&lt;br&gt;&lt;img src='http://www.topcastles.com/images/large/mycenae.jpg' border='0'&gt;&lt;br&gt;&lt;br&gt;Topcastle according to http://www.topcastles.com/kastelen.php?SubMenu=main&amp;SelCastle=mycenae&lt;br&gt;&lt;br&gt;292. Citadel of Mycenae&lt;br&gt;Country: Greece&lt;br&gt;Region: Peloponnisos&lt;br&gt;Place: Argolis</t>
  </si>
  <si>
    <t>&lt;b&gt;Castillo de Cardona&lt;/b&gt;&lt;br&gt;&lt;br&gt;&lt;img src='http://www.topcastles.com/images/large/cardona.jpg' border='0'&gt;&lt;br&gt;&lt;br&gt;Topcastle according to http://www.topcastles.com/kastelen.php?SubMenu=main&amp;SelCastle=cardona&lt;br&gt;&lt;br&gt;293. Castillo de Cardona&lt;br&gt;Country: Spain&lt;br&gt;Region: Catalunya&lt;br&gt;Place: Barcelona</t>
  </si>
  <si>
    <t>&lt;b&gt;Calatrava la Nueva&lt;/b&gt;&lt;br&gt;&lt;br&gt;&lt;img src='http://www.topcastles.com/images/large/calatrava.jpg' border='0'&gt;&lt;br&gt;&lt;br&gt;Topcastle according to http://www.topcastles.com/kastelen.php?SubMenu=main&amp;SelCastle=calatrava&lt;br&gt;&lt;br&gt;294. Calatrava la Nueva&lt;br&gt;Country: Spain&lt;br&gt;Region: Castilla-La Mancha&lt;br&gt;Place: Ciudad Real</t>
  </si>
  <si>
    <t>&lt;b&gt;Kasteel de Borrekens (Vorselaar)&lt;/b&gt;&lt;br&gt;&lt;br&gt;&lt;img src='http://www.topcastles.com/images/large/vorselaar.jpg' border='0'&gt;&lt;br&gt;&lt;br&gt;Topcastle according to http://www.topcastles.com/kastelen.php?SubMenu=main&amp;SelCastle=vorselaar&lt;br&gt;&lt;br&gt;295. Kasteel de Borrekens (Vorselaar)&lt;br&gt;Country: Belgium&lt;br&gt;Region: Antwerpen&lt;br&gt;Place: Vorselaar</t>
  </si>
  <si>
    <t>&lt;b&gt;Castello delle Quattro Torri&lt;/b&gt;&lt;br&gt;&lt;br&gt;&lt;img src='http://www.topcastles.com/images/large/siena.jpg' border='0'&gt;&lt;br&gt;&lt;br&gt;Topcastle according to http://www.topcastles.com/kastelen.php?SubMenu=main&amp;SelCastle=siena&lt;br&gt;&lt;br&gt;296. Castello delle Quattro Torri&lt;br&gt;Country: Italy&lt;br&gt;Region: Toscane (Toscana)&lt;br&gt;Place: Siena</t>
  </si>
  <si>
    <t>&lt;b&gt;Castillo de Almansa&lt;/b&gt;&lt;br&gt;&lt;br&gt;&lt;img src='http://www.topcastles.com/images/large/almansa.jpg' border='0'&gt;&lt;br&gt;&lt;br&gt;Topcastle according to http://www.topcastles.com/kastelen.php?SubMenu=main&amp;SelCastle=almansa&lt;br&gt;&lt;br&gt;297. Castillo de Almansa&lt;br&gt;Country: Spain&lt;br&gt;Region: Castilla-La Mancha&lt;br&gt;Place: Albacete</t>
  </si>
  <si>
    <t>&lt;b&gt;Hrad Helfstejn (Helfenštejn, Helfinstain)&lt;/b&gt;&lt;br&gt;&lt;br&gt;&lt;img src='http://www.topcastles.com/images/large/helfstejn.jpg' border='0'&gt;&lt;br&gt;&lt;br&gt;Topcastle according to http://www.topcastles.com/kastelen.php?SubMenu=main&amp;SelCastle=helfstejn&lt;br&gt;&lt;br&gt;298. Hrad Helfstejn (Helfenštejn, Helfinstain)&lt;br&gt;Country: Czechia&lt;br&gt;Region: Olomouc&lt;br&gt;Place: Týn nad Bečvou</t>
  </si>
  <si>
    <t>&lt;b&gt;Kinizsi-vár (Nagyvázsony)&lt;/b&gt;&lt;br&gt;&lt;br&gt;&lt;img src='http://www.topcastles.com/images/large/nagyvazsony.jpg' border='0'&gt;&lt;br&gt;&lt;br&gt;Topcastle according to http://www.topcastles.com/kastelen.php?SubMenu=main&amp;SelCastle=nagyvazsony&lt;br&gt;&lt;br&gt;299. Kinizsi-vár (Nagyvázsony)&lt;br&gt;Country: Hungary&lt;br&gt;Region: Közép Dunántúl (Central Transdanubia)&lt;br&gt;Place: (Nagyvázsony)</t>
  </si>
  <si>
    <t>&lt;b&gt;Burg Heinfels (Heimfels, Heunfels)&lt;/b&gt;&lt;br&gt;&lt;br&gt;&lt;img src='http://www.topcastles.com/images/large/heimfels.jpg' border='0'&gt;&lt;br&gt;&lt;br&gt;Topcastle according to http://www.topcastles.com/kastelen.php?SubMenu=main&amp;SelCastle=heimfels&lt;br&gt;&lt;br&gt;300. Burg Heinfels (Heimfels, Heunfels)&lt;br&gt;Country: Austria&lt;br&gt;Region: Tirol&lt;br&gt;Place: Heinfels</t>
  </si>
  <si>
    <t>&lt;b&gt;Threave Castle&lt;/b&gt;&lt;br&gt;&lt;br&gt;&lt;img src='http://www.topcastles.com/images/large/threave.jpg' border='0'&gt;&lt;br&gt;&lt;br&gt;Topcastle according to http://www.topcastles.com/kastelen.php?SubMenu=main&amp;SelCastle=threave&lt;br&gt;&lt;br&gt;301. Threave Castle&lt;br&gt;Country: Scotland&lt;br&gt;Region: South&lt;br&gt;Place: (Kirkcudbrightshire)</t>
  </si>
  <si>
    <t>&lt;b&gt;Bruck (Lienz)&lt;/b&gt;&lt;br&gt;&lt;br&gt;&lt;img src='http://www.topcastles.com/images/large/bruck.jpg' border='0'&gt;&lt;br&gt;&lt;br&gt;Topcastle according to http://www.topcastles.com/kastelen.php?SubMenu=main&amp;SelCastle=bruck&lt;br&gt;&lt;br&gt;302. Bruck (Lienz)&lt;br&gt;Country: Austria&lt;br&gt;Region: Tirol&lt;br&gt;Place: Lienz</t>
  </si>
  <si>
    <t>&lt;b&gt;Rocca Maggiore&lt;/b&gt;&lt;br&gt;&lt;br&gt;&lt;img src='http://www.topcastles.com/images/large/maggiore.jpg' border='0'&gt;&lt;br&gt;&lt;br&gt;Topcastle according to http://www.topcastles.com/kastelen.php?SubMenu=main&amp;SelCastle=maggiore&lt;br&gt;&lt;br&gt;303. Rocca Maggiore&lt;br&gt;Country: Italy&lt;br&gt;Region: Umbrië (Umbria)&lt;br&gt;Place: Assisi</t>
  </si>
  <si>
    <t>&lt;b&gt;Schloss Bürresheim&lt;/b&gt;&lt;br&gt;&lt;br&gt;&lt;img src='http://www.topcastles.com/images/large/burresheim.jpg' border='0'&gt;&lt;br&gt;&lt;br&gt;Topcastle according to http://www.topcastles.com/kastelen.php?SubMenu=main&amp;SelCastle=burresheim&lt;br&gt;&lt;br&gt;304. Schloss Bürresheim&lt;br&gt;Country: Germany&lt;br&gt;Region: Rheinland-Pfalz&lt;br&gt;Place: Mayen</t>
  </si>
  <si>
    <t>&lt;b&gt;Vyborg Slott (Wiborg)&lt;/b&gt;&lt;br&gt;&lt;br&gt;&lt;img src='http://www.topcastles.com/images/large/viborg.jpg' border='0'&gt;&lt;br&gt;&lt;br&gt;Topcastle according to http://www.topcastles.com/kastelen.php?SubMenu=main&amp;SelCastle=viborg&lt;br&gt;&lt;br&gt;305. Vyborg Slott (Wiborg)&lt;br&gt;Country: Russia&lt;br&gt;Region: &lt;br&gt;Place: Vyborg</t>
  </si>
  <si>
    <t>&lt;b&gt;Burg Hohenklingen&lt;/b&gt;&lt;br&gt;&lt;br&gt;&lt;img src='http://www.topcastles.com/images/large/hohenklingen.jpg' border='0'&gt;&lt;br&gt;&lt;br&gt;Topcastle according to http://www.topcastles.com/kastelen.php?SubMenu=main&amp;SelCastle=hohenklingen&lt;br&gt;&lt;br&gt;306. Burg Hohenklingen&lt;br&gt;Country: Switzerland&lt;br&gt;Region: Ostschweiz&lt;br&gt;Place: Stein am Rhein ((Kanton Staffhausen)</t>
  </si>
  <si>
    <t>&lt;b&gt;Detrekö&lt;/b&gt;&lt;br&gt;&lt;br&gt;&lt;img src='http://www.topcastles.com/images/large/detreko.jpg' border='0'&gt;&lt;br&gt;&lt;br&gt;Topcastle according to http://www.topcastles.com/kastelen.php?SubMenu=main&amp;SelCastle=detreko&lt;br&gt;&lt;br&gt;307. Detrekö&lt;br&gt;Country: Slovakia&lt;br&gt;Region: &lt;br&gt;Place: Detrekö</t>
  </si>
  <si>
    <t>&lt;b&gt;Burg Marburg&lt;/b&gt;&lt;br&gt;&lt;br&gt;&lt;img src='http://www.topcastles.com/images/large/marburg.jpg' border='0'&gt;&lt;br&gt;&lt;br&gt;Topcastle according to http://www.topcastles.com/kastelen.php?SubMenu=main&amp;SelCastle=marburg&lt;br&gt;&lt;br&gt;308. Burg Marburg&lt;br&gt;Country: Germany&lt;br&gt;Region: Hessen&lt;br&gt;Place: Marburg</t>
  </si>
  <si>
    <t>&lt;b&gt;Läckö Slott&lt;/b&gt;&lt;br&gt;&lt;br&gt;&lt;img src='http://www.topcastles.com/images/large/lacko.jpg' border='0'&gt;&lt;br&gt;&lt;br&gt;Topcastle according to http://www.topcastles.com/kastelen.php?SubMenu=main&amp;SelCastle=lacko&lt;br&gt;&lt;br&gt;309. Läckö Slott&lt;br&gt;Country: Sweden&lt;br&gt;Region: Sydsverige (South Sweden)&lt;br&gt;Place: Kållandsö (Skåne)</t>
  </si>
  <si>
    <t xml:space="preserve">&lt;b&gt;Beaufort (Belfort, Qala'at ash-Shqif)&lt;/b&gt;&lt;br&gt;&lt;br&gt;&lt;img src='http://www.topcastles.com/images/large/beaufort.jpg' border='0'&gt;&lt;br&gt;&lt;br&gt;Topcastle according to http://www.topcastles.com/kastelen.php?SubMenu=main&amp;SelCastle=beaufort&lt;br&gt;&lt;br&gt;310. Beaufort (Belfort, Qala'at ash-Shqif)&lt;br&gt;Country: Lebanon&lt;br&gt;Region: &lt;br&gt;Place: </t>
  </si>
  <si>
    <t>&lt;b&gt;Criccieth Castle&lt;/b&gt;&lt;br&gt;&lt;br&gt;&lt;img src='http://www.topcastles.com/images/large/criccieth.jpg' border='0'&gt;&lt;br&gt;&lt;br&gt;Topcastle according to http://www.topcastles.com/kastelen.php?SubMenu=main&amp;SelCastle=criccieth&lt;br&gt;&lt;br&gt;311. Criccieth Castle&lt;br&gt;Country: Wales&lt;br&gt;Region: Gwynedd&lt;br&gt;Place: Criccieth</t>
  </si>
  <si>
    <t>&lt;b&gt;Schloss Hallwyl (Hallwill)&lt;/b&gt;&lt;br&gt;&lt;br&gt;&lt;img src='http://www.topcastles.com/images/large/hallwyl.jpg' border='0'&gt;&lt;br&gt;&lt;br&gt;Topcastle according to http://www.topcastles.com/kastelen.php?SubMenu=main&amp;SelCastle=hallwyl&lt;br&gt;&lt;br&gt;312. Schloss Hallwyl (Hallwill)&lt;br&gt;Country: Switzerland&lt;br&gt;Region: Nordwestschweiz&lt;br&gt;Place: Seengen (Kanton Aargau)</t>
  </si>
  <si>
    <t xml:space="preserve">&lt;b&gt;Novgorod&lt;/b&gt;&lt;br&gt;&lt;br&gt;&lt;img src='http://www.topcastles.com/images/large/novgorod.jpg' border='0'&gt;&lt;br&gt;&lt;br&gt;Topcastle according to http://www.topcastles.com/kastelen.php?SubMenu=main&amp;SelCastle=novgorod&lt;br&gt;&lt;br&gt;313. Novgorod&lt;br&gt;Country: Russia&lt;br&gt;Region: &lt;br&gt;Place: </t>
  </si>
  <si>
    <t xml:space="preserve">&lt;b&gt;Golconda&lt;/b&gt;&lt;br&gt;&lt;br&gt;&lt;img src='http://www.topcastles.com/images/large/golconda.jpg' border='0'&gt;&lt;br&gt;&lt;br&gt;Topcastle according to http://www.topcastles.com/kastelen.php?SubMenu=main&amp;SelCastle=golconda&lt;br&gt;&lt;br&gt;314. Golconda&lt;br&gt;Country: India&lt;br&gt;Region: &lt;br&gt;Place: </t>
  </si>
  <si>
    <t>&lt;b&gt;Château de Fougères &lt;/b&gt;&lt;br&gt;&lt;br&gt;&lt;img src='http://www.topcastles.com/images/large/fougeres.jpg' border='0'&gt;&lt;br&gt;&lt;br&gt;Topcastle according to http://www.topcastles.com/kastelen.php?SubMenu=main&amp;SelCastle=fougeres&lt;br&gt;&lt;br&gt;315. Château de Fougères &lt;br&gt;Country: France&lt;br&gt;Region: Bretagne&lt;br&gt;Place: Fougères</t>
  </si>
  <si>
    <t xml:space="preserve">&lt;b&gt;Pazar-i Mostar (Köprü Hisar, Castle of the Bridge)&lt;/b&gt;&lt;br&gt;&lt;br&gt;&lt;img src='http://www.topcastles.com/images/large/mostar.jpg' border='0'&gt;&lt;br&gt;&lt;br&gt;Topcastle according to http://www.topcastles.com/kastelen.php?SubMenu=main&amp;SelCastle=mostar&lt;br&gt;&lt;br&gt;316. Pazar-i Mostar (Köprü Hisar, Castle of the Bridge)&lt;br&gt;Country: Croatia&lt;br&gt;Region: &lt;br&gt;Place: </t>
  </si>
  <si>
    <t xml:space="preserve">&lt;b&gt;Starhemberg&lt;/b&gt;&lt;br&gt;&lt;br&gt;&lt;img src='http://www.topcastles.com/images/large/starhemberg.jpg' border='0'&gt;&lt;br&gt;&lt;br&gt;Topcastle according to http://www.topcastles.com/kastelen.php?SubMenu=main&amp;SelCastle=starhemberg&lt;br&gt;&lt;br&gt;317. Starhemberg&lt;br&gt;Country: Austria&lt;br&gt;Region: Niederöstenreich&lt;br&gt;Place: </t>
  </si>
  <si>
    <t>&lt;b&gt;Rocca Albornoziana (Spoleto)&lt;/b&gt;&lt;br&gt;&lt;br&gt;&lt;img src='http://www.topcastles.com/images/large/spoleto.jpg' border='0'&gt;&lt;br&gt;&lt;br&gt;Topcastle according to http://www.topcastles.com/kastelen.php?SubMenu=main&amp;SelCastle=spoleto&lt;br&gt;&lt;br&gt;318. Rocca Albornoziana (Spoleto)&lt;br&gt;Country: Italy&lt;br&gt;Region: Umbrië (Umbria)&lt;br&gt;Place: Spoleto</t>
  </si>
  <si>
    <t>&lt;b&gt;Lidzbark Warminski (Heilsberg)&lt;/b&gt;&lt;br&gt;&lt;br&gt;&lt;img src='http://www.topcastles.com/images/large/lidzbark.jpg' border='0'&gt;&lt;br&gt;&lt;br&gt;Topcastle according to http://www.topcastles.com/kastelen.php?SubMenu=main&amp;SelCastle=lidzbark&lt;br&gt;&lt;br&gt;319. Lidzbark Warminski (Heilsberg)&lt;br&gt;Country: Poland&lt;br&gt;Region: Warmian-Masurian (Warminsko-Mazurskie)&lt;br&gt;Place: Lidzbark Warminski</t>
  </si>
  <si>
    <t>&lt;b&gt;Castillo de Zahara&lt;/b&gt;&lt;br&gt;&lt;br&gt;&lt;img src='http://www.topcastles.com/images/large/zahara.jpg' border='0'&gt;&lt;br&gt;&lt;br&gt;Topcastle according to http://www.topcastles.com/kastelen.php?SubMenu=main&amp;SelCastle=zahara&lt;br&gt;&lt;br&gt;320. Castillo de Zahara&lt;br&gt;Country: Spain&lt;br&gt;Region: Andalucia&lt;br&gt;Place: Cádiz</t>
  </si>
  <si>
    <t>&lt;b&gt;Ogrodzieniec&lt;/b&gt;&lt;br&gt;&lt;br&gt;&lt;img src='http://www.topcastles.com/images/large/ogrodzieniec.jpg' border='0'&gt;&lt;br&gt;&lt;br&gt;Topcastle according to http://www.topcastles.com/kastelen.php?SubMenu=main&amp;SelCastle=ogrodzieniec&lt;br&gt;&lt;br&gt;321. Ogrodzieniec&lt;br&gt;Country: Poland&lt;br&gt;Region: Opolskie (Silesia Superior, Oberschlesien)&lt;br&gt;Place: Ogrodzieniec (Podzamcze)</t>
  </si>
  <si>
    <t>&lt;b&gt;Sloup (Skalni 'Hrad a poustevna, Bürgstein, Birkštejn)&lt;/b&gt;&lt;br&gt;&lt;br&gt;&lt;img src='http://www.topcastles.com/images/large/burgstein.jpg' border='0'&gt;&lt;br&gt;&lt;br&gt;Topcastle according to http://www.topcastles.com/kastelen.php?SubMenu=main&amp;SelCastle=burgstein&lt;br&gt;&lt;br&gt;322. Sloup (Skalni 'Hrad a poustevna, Bürgstein, Birkštejn)&lt;br&gt;Country: Czechia&lt;br&gt;Region: Liberec (Reichenberg)&lt;br&gt;Place: Sloup v Čechách (Bürgstein)</t>
  </si>
  <si>
    <t xml:space="preserve">&lt;b&gt;Pskov&lt;/b&gt;&lt;br&gt;&lt;br&gt;&lt;img src='http://www.topcastles.com/images/large/pskov.jpg' border='0'&gt;&lt;br&gt;&lt;br&gt;Topcastle according to http://www.topcastles.com/kastelen.php?SubMenu=main&amp;SelCastle=pskov&lt;br&gt;&lt;br&gt;323. Pskov&lt;br&gt;Country: Russia&lt;br&gt;Region: &lt;br&gt;Place: </t>
  </si>
  <si>
    <t xml:space="preserve">&lt;b&gt;Kamieniec Podolski (Kamianets-Podolskyi)&lt;/b&gt;&lt;br&gt;&lt;br&gt;&lt;img src='http://www.topcastles.com/images/large/kamieniec.jpg' border='0'&gt;&lt;br&gt;&lt;br&gt;Topcastle according to http://www.topcastles.com/kastelen.php?SubMenu=main&amp;SelCastle=kamieniec&lt;br&gt;&lt;br&gt;324. Kamieniec Podolski (Kamianets-Podolskyi)&lt;br&gt;Country: Ukraine&lt;br&gt;Region: Khmelnitskyi&lt;br&gt;Place: </t>
  </si>
  <si>
    <t>&lt;b&gt;Castello dell'Imperatore (Prato)&lt;/b&gt;&lt;br&gt;&lt;br&gt;&lt;img src='http://www.topcastles.com/images/large/prato.jpg' border='0'&gt;&lt;br&gt;&lt;br&gt;Topcastle according to http://www.topcastles.com/kastelen.php?SubMenu=main&amp;SelCastle=prato&lt;br&gt;&lt;br&gt;325. Castello dell'Imperatore (Prato)&lt;br&gt;Country: Italy&lt;br&gt;Region: Toscane (Toscana)&lt;br&gt;Place: Prato</t>
  </si>
  <si>
    <t>&lt;b&gt;Tatai vár (Dotis)&lt;/b&gt;&lt;br&gt;&lt;br&gt;&lt;img src='http://www.topcastles.com/images/large/tata.jpg' border='0'&gt;&lt;br&gt;&lt;br&gt;Topcastle according to http://www.topcastles.com/kastelen.php?SubMenu=main&amp;SelCastle=tata&lt;br&gt;&lt;br&gt;326. Tatai vár (Dotis)&lt;br&gt;Country: Hungary&lt;br&gt;Region: Közép Magyarország (Central Hungary)&lt;br&gt;Place: Tata</t>
  </si>
  <si>
    <t>&lt;b&gt;Slot Ammersoyen&lt;/b&gt;&lt;br&gt;&lt;br&gt;&lt;img src='http://www.topcastles.com/images/large/ammersoyen.jpg' border='0'&gt;&lt;br&gt;&lt;br&gt;Topcastle according to http://www.topcastles.com/kastelen.php?SubMenu=main&amp;SelCastle=ammersoyen&lt;br&gt;&lt;br&gt;327. Slot Ammersoyen&lt;br&gt;Country: Netherlands&lt;br&gt;Region: Gelderland&lt;br&gt;Place: Ammerzoden</t>
  </si>
  <si>
    <t xml:space="preserve">&lt;b&gt;Château d'Hollenfels&lt;/b&gt;&lt;br&gt;&lt;br&gt;&lt;img src='http://www.topcastles.com/images/large/hollenfels.jpg' border='0'&gt;&lt;br&gt;&lt;br&gt;Topcastle according to http://www.topcastles.com/kastelen.php?SubMenu=main&amp;SelCastle=hollenfels&lt;br&gt;&lt;br&gt;328. Château d'Hollenfels&lt;br&gt;Country: Luxemburg&lt;br&gt;Region: &lt;br&gt;Place: </t>
  </si>
  <si>
    <t>&lt;b&gt;Aalholm auf Laaland (Ålholm Slot)&lt;/b&gt;&lt;br&gt;&lt;br&gt;&lt;img src='http://www.topcastles.com/images/large/aalholm.jpg' border='0'&gt;&lt;br&gt;&lt;br&gt;Topcastle according to http://www.topcastles.com/kastelen.php?SubMenu=main&amp;SelCastle=aalholm&lt;br&gt;&lt;br&gt;329. Aalholm auf Laaland (Ålholm Slot)&lt;br&gt;Country: Denmark&lt;br&gt;Region: Sjælland&lt;br&gt;Place: Nystead</t>
  </si>
  <si>
    <t xml:space="preserve">&lt;b&gt;Kumamoto&lt;/b&gt;&lt;br&gt;&lt;br&gt;&lt;img src='http://www.topcastles.com/images/large/kumamoto.jpg' border='0'&gt;&lt;br&gt;&lt;br&gt;Topcastle according to http://www.topcastles.com/kastelen.php?SubMenu=main&amp;SelCastle=kumamoto&lt;br&gt;&lt;br&gt;330. Kumamoto&lt;br&gt;Country: Japan&lt;br&gt;Region: &lt;br&gt;Place: </t>
  </si>
  <si>
    <t>&lt;b&gt;Castello di Celano&lt;/b&gt;&lt;br&gt;&lt;br&gt;&lt;img src='http://www.topcastles.com/images/large/celano.jpg' border='0'&gt;&lt;br&gt;&lt;br&gt;Topcastle according to http://www.topcastles.com/kastelen.php?SubMenu=main&amp;SelCastle=celano&lt;br&gt;&lt;br&gt;331. Castello di Celano&lt;br&gt;Country: Italy&lt;br&gt;Region: Abruzzi&lt;br&gt;Place: Celano</t>
  </si>
  <si>
    <t>&lt;b&gt;Dahner Schlosser Altdahn, Grafendahn und Tanstein&lt;/b&gt;&lt;br&gt;&lt;br&gt;&lt;img src='http://www.topcastles.com/images/large/dahn.jpg' border='0'&gt;&lt;br&gt;&lt;br&gt;Topcastle according to http://www.topcastles.com/kastelen.php?SubMenu=main&amp;SelCastle=dahn&lt;br&gt;&lt;br&gt;332. Dahner Schlosser Altdahn, Grafendahn und Tanstein&lt;br&gt;Country: Germany&lt;br&gt;Region: Rheinland-Pfalz&lt;br&gt;Place: Dahn</t>
  </si>
  <si>
    <t>&lt;b&gt;Burg Wertheim&lt;/b&gt;&lt;br&gt;&lt;br&gt;&lt;img src='http://www.topcastles.com/images/large/wertheim.jpg' border='0'&gt;&lt;br&gt;&lt;br&gt;Topcastle according to http://www.topcastles.com/kastelen.php?SubMenu=main&amp;SelCastle=wertheim&lt;br&gt;&lt;br&gt;333. Burg Wertheim&lt;br&gt;Country: Germany&lt;br&gt;Region: Baden-Würtenberg&lt;br&gt;Place: Wertheim</t>
  </si>
  <si>
    <t xml:space="preserve">&lt;b&gt;Ferns Castle&lt;/b&gt;&lt;br&gt;&lt;br&gt;&lt;img src='http://www.topcastles.com/images/large/ferns.jpg' border='0'&gt;&lt;br&gt;&lt;br&gt;Topcastle according to http://www.topcastles.com/kastelen.php?SubMenu=main&amp;SelCastle=ferns&lt;br&gt;&lt;br&gt;334. Ferns Castle&lt;br&gt;Country: Republic of Ireland&lt;br&gt;Region: Wexford&lt;br&gt;Place: </t>
  </si>
  <si>
    <t>&lt;b&gt;Palacio de Aljafería&lt;/b&gt;&lt;br&gt;&lt;br&gt;&lt;img src='http://www.topcastles.com/images/large/aljaferia.jpg' border='0'&gt;&lt;br&gt;&lt;br&gt;Topcastle according to http://www.topcastles.com/kastelen.php?SubMenu=main&amp;SelCastle=aljaferia&lt;br&gt;&lt;br&gt;335. Palacio de Aljafería&lt;br&gt;Country: Spain&lt;br&gt;Region: Aragón&lt;br&gt;Place: Zaragoza</t>
  </si>
  <si>
    <t>&lt;b&gt;Castillo de Olite&lt;/b&gt;&lt;br&gt;&lt;br&gt;&lt;img src='http://www.topcastles.com/images/large/olite.jpg' border='0'&gt;&lt;br&gt;&lt;br&gt;Topcastle according to http://www.topcastles.com/kastelen.php?SubMenu=main&amp;SelCastle=olite&lt;br&gt;&lt;br&gt;336. Castillo de Olite&lt;br&gt;Country: Spain&lt;br&gt;Region: Navarra&lt;br&gt;Place: Olite</t>
  </si>
  <si>
    <t>&lt;b&gt;Leeds Castle&lt;/b&gt;&lt;br&gt;&lt;br&gt;&lt;img src='http://www.topcastles.com/images/large/leeds.jpg' border='0'&gt;&lt;br&gt;&lt;br&gt;Topcastle according to http://www.topcastles.com/kastelen.php?SubMenu=main&amp;SelCastle=leeds&lt;br&gt;&lt;br&gt;337. Leeds Castle&lt;br&gt;Country: England&lt;br&gt;Region: South East&lt;br&gt;Place: Leeds (Kent)</t>
  </si>
  <si>
    <t>&lt;b&gt;Tvrdava Nehaj&lt;/b&gt;&lt;br&gt;&lt;br&gt;&lt;img src='http://www.topcastles.com/images/large/nehaj.jpg' border='0'&gt;&lt;br&gt;&lt;br&gt;Topcastle according to http://www.topcastles.com/kastelen.php?SubMenu=main&amp;SelCastle=nehaj&lt;br&gt;&lt;br&gt;338. Tvrdava Nehaj&lt;br&gt;Country: Croatia&lt;br&gt;Region: &lt;br&gt;Place: Senj</t>
  </si>
  <si>
    <t>&lt;b&gt;Ceský Krumlov (Krumlovski Zamek, Dívčí Kámen)&lt;/b&gt;&lt;br&gt;&lt;br&gt;&lt;img src='http://www.topcastles.com/images/large/krumlov.jpg' border='0'&gt;&lt;br&gt;&lt;br&gt;Topcastle according to http://www.topcastles.com/kastelen.php?SubMenu=main&amp;SelCastle=krumlov&lt;br&gt;&lt;br&gt;339. Ceský Krumlov (Krumlovski Zamek, Dívčí Kámen)&lt;br&gt;Country: Czechia&lt;br&gt;Region: Jiho Ceský (Südböhmen)&lt;br&gt;Place: Ceský Krumlov</t>
  </si>
  <si>
    <t>&lt;b&gt;Luck (Lutsk, Lubart castle)&lt;/b&gt;&lt;br&gt;&lt;br&gt;&lt;img src='http://www.topcastles.com/images/large/luck.jpg' border='0'&gt;&lt;br&gt;&lt;br&gt;Topcastle according to http://www.topcastles.com/kastelen.php?SubMenu=main&amp;SelCastle=luck&lt;br&gt;&lt;br&gt;340. Luck (Lutsk, Lubart castle)&lt;br&gt;Country: Ukraine&lt;br&gt;Region: &lt;br&gt;Place: Wolhynien</t>
  </si>
  <si>
    <t>&lt;b&gt;Kasteel Laarne&lt;/b&gt;&lt;br&gt;&lt;br&gt;&lt;img src='http://www.topcastles.com/images/large/laarne.jpg' border='0'&gt;&lt;br&gt;&lt;br&gt;Topcastle according to http://www.topcastles.com/kastelen.php?SubMenu=main&amp;SelCastle=laarne&lt;br&gt;&lt;br&gt;341. Kasteel Laarne&lt;br&gt;Country: Belgium&lt;br&gt;Region: Oost Vlaanderen&lt;br&gt;Place: Laarne</t>
  </si>
  <si>
    <t>&lt;b&gt;Yilan Kale (Slangenkasteel)&lt;/b&gt;&lt;br&gt;&lt;br&gt;&lt;img src='http://www.topcastles.com/images/large/yilankale.jpg' border='0'&gt;&lt;br&gt;&lt;br&gt;Topcastle according to http://www.topcastles.com/kastelen.php?SubMenu=main&amp;SelCastle=yilankale&lt;br&gt;&lt;br&gt;342. Yilan Kale (Slangenkasteel)&lt;br&gt;Country: Turkey&lt;br&gt;Region: &lt;br&gt;Place: Adanas</t>
  </si>
  <si>
    <t>&lt;b&gt;Arensburg (Kuressaare)&lt;/b&gt;&lt;br&gt;&lt;br&gt;&lt;img src='http://www.topcastles.com/images/large/arensburg.jpg' border='0'&gt;&lt;br&gt;&lt;br&gt;Topcastle according to http://www.topcastles.com/kastelen.php?SubMenu=main&amp;SelCastle=arensburg&lt;br&gt;&lt;br&gt;343. Arensburg (Kuressaare)&lt;br&gt;Country: Estonia&lt;br&gt;Region: &lt;br&gt;Place: Kuressaare</t>
  </si>
  <si>
    <t xml:space="preserve">&lt;b&gt;Saphet (Safad)&lt;/b&gt;&lt;br&gt;&lt;br&gt;&lt;img src='http://www.topcastles.com/images/large/saphet.jpg' border='0'&gt;&lt;br&gt;&lt;br&gt;Topcastle according to http://www.topcastles.com/kastelen.php?SubMenu=main&amp;SelCastle=saphet&lt;br&gt;&lt;br&gt;344. Saphet (Safad)&lt;br&gt;Country: Israel&lt;br&gt;Region: &lt;br&gt;Place: </t>
  </si>
  <si>
    <t>&lt;b&gt;Elphinstone Castle&lt;/b&gt;&lt;br&gt;&lt;br&gt;&lt;img src='http://www.topcastles.com/images/large/elphinstone.jpg' border='0'&gt;&lt;br&gt;&lt;br&gt;Topcastle according to http://www.topcastles.com/kastelen.php?SubMenu=main&amp;SelCastle=elphinstone&lt;br&gt;&lt;br&gt;345. Elphinstone Castle&lt;br&gt;Country: Scotland&lt;br&gt;Region: Edinburg and Lothian&lt;br&gt;Place: (Lothian)</t>
  </si>
  <si>
    <t>&lt;b&gt;Harburg&lt;/b&gt;&lt;br&gt;&lt;br&gt;&lt;img src='http://www.topcastles.com/images/large/harburg.jpg' border='0'&gt;&lt;br&gt;&lt;br&gt;Topcastle according to http://www.topcastles.com/kastelen.php?SubMenu=main&amp;SelCastle=harburg&lt;br&gt;&lt;br&gt;346. Harburg&lt;br&gt;Country: Germany&lt;br&gt;Region: Bayern&lt;br&gt;Place: Harburg</t>
  </si>
  <si>
    <t>&lt;b&gt;Bytóv Hrad (Bütow, Burg Vöttau)&lt;/b&gt;&lt;br&gt;&lt;br&gt;&lt;img src='http://www.topcastles.com/images/large/bytow.jpg' border='0'&gt;&lt;br&gt;&lt;br&gt;Topcastle according to http://www.topcastles.com/kastelen.php?SubMenu=main&amp;SelCastle=bytow&lt;br&gt;&lt;br&gt;347. Bytóv Hrad (Bütow, Burg Vöttau)&lt;br&gt;Country: Czechia&lt;br&gt;Region: Jiho Moravia (Südmährien)&lt;br&gt;Place: Sloup</t>
  </si>
  <si>
    <t>Castelo de Alter do Chão</t>
  </si>
  <si>
    <t xml:space="preserve">&lt;b&gt;Castelo de Alter do Chão&lt;/b&gt;&lt;br&gt;&lt;br&gt;&lt;img src='http://www.topcastles.com/images/large/alterdochao.jpg' border='0'&gt;&lt;br&gt;&lt;br&gt;Topcastle according to http://www.topcastles.com/kastelen.php?SubMenu=main&amp;SelCastle=alterdochao&lt;br&gt;&lt;br&gt;348. Castelo de Alter do Chão&lt;br&gt;Country: Portugal&lt;br&gt;Region: &lt;br&gt;Place: </t>
  </si>
  <si>
    <t xml:space="preserve">&lt;b&gt;Hotin&lt;/b&gt;&lt;br&gt;&lt;br&gt;&lt;img src='http://www.topcastles.com/images/large/hotin.jpg' border='0'&gt;&lt;br&gt;&lt;br&gt;Topcastle according to http://www.topcastles.com/kastelen.php?SubMenu=main&amp;SelCastle=hotin&lt;br&gt;&lt;br&gt;349. Hotin&lt;br&gt;Country: Rumania&lt;br&gt;Region: &lt;br&gt;Place: </t>
  </si>
  <si>
    <t xml:space="preserve">&lt;b&gt;Fasil Ghebbi&lt;/b&gt;&lt;br&gt;&lt;br&gt;&lt;img src='http://www.topcastles.com/images/large/fasilghebbi.jpg' border='0'&gt;&lt;br&gt;&lt;br&gt;Topcastle according to http://www.topcastles.com/kastelen.php?SubMenu=main&amp;SelCastle=fasilghebbi&lt;br&gt;&lt;br&gt;350. Fasil Ghebbi&lt;br&gt;Country: Ethiopia&lt;br&gt;Region: Gondar Region&lt;br&gt;Place: </t>
  </si>
  <si>
    <t>&lt;b&gt;Ceský Šternberk (Sternberg)&lt;/b&gt;&lt;br&gt;&lt;br&gt;&lt;img src='http://www.topcastles.com/images/large/sternberk.jpg' border='0'&gt;&lt;br&gt;&lt;br&gt;Topcastle according to http://www.topcastles.com/kastelen.php?SubMenu=main&amp;SelCastle=sternberk&lt;br&gt;&lt;br&gt;351. Ceský Šternberk (Sternberg)&lt;br&gt;Country: Czechia&lt;br&gt;Region: Stredo Ceský (Mittelböhmen)&lt;br&gt;Place: Ceský Šternberk</t>
  </si>
  <si>
    <t xml:space="preserve">&lt;b&gt;Ljubljanski grad (Laibach)&lt;/b&gt;&lt;br&gt;&lt;br&gt;&lt;img src='http://www.topcastles.com/images/large/ljubljana.jpg' border='0'&gt;&lt;br&gt;&lt;br&gt;Topcastle according to http://www.topcastles.com/kastelen.php?SubMenu=main&amp;SelCastle=ljubljana&lt;br&gt;&lt;br&gt;352. Ljubljanski grad (Laibach)&lt;br&gt;Country: Slovenia&lt;br&gt;Region: Ljubljana&lt;br&gt;Place: </t>
  </si>
  <si>
    <t>&lt;b&gt;Klein-Schelken&lt;/b&gt;&lt;br&gt;&lt;br&gt;&lt;img src='http://www.topcastles.com/images/large/kleinschelken.jpg' border='0'&gt;&lt;br&gt;&lt;br&gt;Topcastle according to http://www.topcastles.com/kastelen.php?SubMenu=main&amp;SelCastle=kleinschelken&lt;br&gt;&lt;br&gt;353. Klein-Schelken&lt;br&gt;Country: Rumania&lt;br&gt;Region: Transylvanië (Siebenbürgen)&lt;br&gt;Place: Şeica Mică (Kleinschelken)</t>
  </si>
  <si>
    <t>&lt;b&gt;Castillo de Vélez-Blanco / Castillo marquesal de Vélez&lt;/b&gt;&lt;br&gt;&lt;br&gt;&lt;img src='http://www.topcastles.com/images/large/velez.jpg' border='0'&gt;&lt;br&gt;&lt;br&gt;Topcastle according to http://www.topcastles.com/kastelen.php?SubMenu=main&amp;SelCastle=velez&lt;br&gt;&lt;br&gt;354. Castillo de Vélez-Blanco / Castillo marquesal de Vélez&lt;br&gt;Country: Spain&lt;br&gt;Region: Andalucia&lt;br&gt;Place: Vélez-Blanco (Almería)</t>
  </si>
  <si>
    <t>&lt;b&gt;Château de Niort &lt;/b&gt;&lt;br&gt;&lt;br&gt;&lt;img src='http://www.topcastles.com/images/large/niort.jpg' border='0'&gt;&lt;br&gt;&lt;br&gt;Topcastle according to http://www.topcastles.com/kastelen.php?SubMenu=main&amp;SelCastle=niort&lt;br&gt;&lt;br&gt;355. Château de Niort &lt;br&gt;Country: France&lt;br&gt;Region: Poitou-Charentes&lt;br&gt;Place: Poitiers-La Rochelle</t>
  </si>
  <si>
    <t>&lt;b&gt;Château de Chaumont&lt;/b&gt;&lt;br&gt;&lt;br&gt;&lt;img src='http://www.topcastles.com/images/large/chaumont.jpg' border='0'&gt;&lt;br&gt;&lt;br&gt;Topcastle according to http://www.topcastles.com/kastelen.php?SubMenu=main&amp;SelCastle=chaumont&lt;br&gt;&lt;br&gt;356. Château de Chaumont&lt;br&gt;Country: France&lt;br&gt;Region: Centre&lt;br&gt;Place: Chaumont-sur-Loire</t>
  </si>
  <si>
    <t>&lt;b&gt;Castillo de Segura de Léon&lt;/b&gt;&lt;br&gt;&lt;br&gt;&lt;img src='http://www.topcastles.com/images/large/segura.jpg' border='0'&gt;&lt;br&gt;&lt;br&gt;Topcastle according to http://www.topcastles.com/kastelen.php?SubMenu=main&amp;SelCastle=segura&lt;br&gt;&lt;br&gt;357. Castillo de Segura de Léon&lt;br&gt;Country: Spain&lt;br&gt;Region: Extremadura&lt;br&gt;Place: Badajoz</t>
  </si>
  <si>
    <t>&lt;b&gt;Chojnik (Kynast)&lt;/b&gt;&lt;br&gt;&lt;br&gt;&lt;img src='http://www.topcastles.com/images/large/chojnik.jpg' border='0'&gt;&lt;br&gt;&lt;br&gt;Topcastle according to http://www.topcastles.com/kastelen.php?SubMenu=main&amp;SelCastle=chojnik&lt;br&gt;&lt;br&gt;358. Chojnik (Kynast)&lt;br&gt;Country: Poland&lt;br&gt;Region: Dolnoslaskie (Silesia Inferior, Nederschlesien)&lt;br&gt;Place: Sobieszow</t>
  </si>
  <si>
    <t xml:space="preserve">&lt;b&gt;Cetatea Alba (Akkermann)&lt;/b&gt;&lt;br&gt;&lt;br&gt;&lt;img src='http://www.topcastles.com/images/large/alba.jpg' border='0'&gt;&lt;br&gt;&lt;br&gt;Topcastle according to http://www.topcastles.com/kastelen.php?SubMenu=main&amp;SelCastle=alba&lt;br&gt;&lt;br&gt;359. Cetatea Alba (Akkermann)&lt;br&gt;Country: Rumania&lt;br&gt;Region: &lt;br&gt;Place: </t>
  </si>
  <si>
    <t>&lt;b&gt;Kasteel Horst (Rode)&lt;/b&gt;&lt;br&gt;&lt;br&gt;&lt;img src='http://www.topcastles.com/images/large/horst.jpg' border='0'&gt;&lt;br&gt;&lt;br&gt;Topcastle according to http://www.topcastles.com/kastelen.php?SubMenu=main&amp;SelCastle=horst&lt;br&gt;&lt;br&gt;360. Kasteel Horst (Rode)&lt;br&gt;Country: Belgium&lt;br&gt;Region: Brabant&lt;br&gt;Place: Sint-Pieters-Rode</t>
  </si>
  <si>
    <t>&lt;b&gt;Tintagel Castle&lt;/b&gt;&lt;br&gt;&lt;br&gt;&lt;img src='http://www.topcastles.com/images/large/tintagel.jpg' border='0'&gt;&lt;br&gt;&lt;br&gt;Topcastle according to http://www.topcastles.com/kastelen.php?SubMenu=main&amp;SelCastle=tintagel&lt;br&gt;&lt;br&gt;361. Tintagel Castle&lt;br&gt;Country: England&lt;br&gt;Region: South West&lt;br&gt;Place: Tintagel (Cornwall)</t>
  </si>
  <si>
    <t>&lt;b&gt;Hastings Castle&lt;/b&gt;&lt;br&gt;&lt;br&gt;&lt;img src='http://www.topcastles.com/images/large/hastings.jpg' border='0'&gt;&lt;br&gt;&lt;br&gt;Topcastle according to http://www.topcastles.com/kastelen.php?SubMenu=main&amp;SelCastle=hastings&lt;br&gt;&lt;br&gt;362. Hastings Castle&lt;br&gt;Country: England&lt;br&gt;Region: South East&lt;br&gt;Place: (Surrey)</t>
  </si>
  <si>
    <t>&lt;b&gt;Duffus Castle&lt;/b&gt;&lt;br&gt;&lt;br&gt;&lt;img src='http://www.topcastles.com/images/large/duffus.jpg' border='0'&gt;&lt;br&gt;&lt;br&gt;Topcastle according to http://www.topcastles.com/kastelen.php?SubMenu=main&amp;SelCastle=duffus&lt;br&gt;&lt;br&gt;363. Duffus Castle&lt;br&gt;Country: Scotland&lt;br&gt;Region: Grampian&lt;br&gt;Place: (Grampian)</t>
  </si>
  <si>
    <t>&lt;b&gt;Dirleton Castle&lt;/b&gt;&lt;br&gt;&lt;br&gt;&lt;img src='http://www.topcastles.com/images/large/dirleton.jpg' border='0'&gt;&lt;br&gt;&lt;br&gt;Topcastle according to http://www.topcastles.com/kastelen.php?SubMenu=main&amp;SelCastle=dirleton&lt;br&gt;&lt;br&gt;364. Dirleton Castle&lt;br&gt;Country: Scotland&lt;br&gt;Region: Edinburg and Lothian&lt;br&gt;Place: (Lothian)</t>
  </si>
  <si>
    <t>&lt;b&gt;Castillo de Buitrago del Lozoya &lt;/b&gt;&lt;br&gt;&lt;br&gt;&lt;img src='http://www.topcastles.com/images/large/buitrago.jpg' border='0'&gt;&lt;br&gt;&lt;br&gt;Topcastle according to http://www.topcastles.com/kastelen.php?SubMenu=main&amp;SelCastle=buitrago&lt;br&gt;&lt;br&gt;365. Castillo de Buitrago del Lozoya &lt;br&gt;Country: Spain&lt;br&gt;Region: Madrid&lt;br&gt;Place: Madrid</t>
  </si>
  <si>
    <t xml:space="preserve">&lt;b&gt;Dunguaire Castle&lt;/b&gt;&lt;br&gt;&lt;br&gt;&lt;img src='http://www.topcastles.com/images/large/dunguaire.jpg' border='0'&gt;&lt;br&gt;&lt;br&gt;Topcastle according to http://www.topcastles.com/kastelen.php?SubMenu=main&amp;SelCastle=dunguaire&lt;br&gt;&lt;br&gt;366. Dunguaire Castle&lt;br&gt;Country: Republic of Ireland&lt;br&gt;Region: Galway&lt;br&gt;Place: </t>
  </si>
  <si>
    <t>&lt;b&gt;Burg Raabs&lt;/b&gt;&lt;br&gt;&lt;br&gt;&lt;img src='http://www.topcastles.com/images/large/raabs.jpg' border='0'&gt;&lt;br&gt;&lt;br&gt;Topcastle according to http://www.topcastles.com/kastelen.php?SubMenu=main&amp;SelCastle=raabs&lt;br&gt;&lt;br&gt;367. Burg Raabs&lt;br&gt;Country: Austria&lt;br&gt;Region: Niederöstenreich&lt;br&gt;Place: Raabs an der Thaya</t>
  </si>
  <si>
    <t>&lt;b&gt;Château de Rathsamhausen (Ottrott)&lt;/b&gt;&lt;br&gt;&lt;br&gt;&lt;img src='http://www.topcastles.com/images/large/ratsamhausen.jpg' border='0'&gt;&lt;br&gt;&lt;br&gt;Topcastle according to http://www.topcastles.com/kastelen.php?SubMenu=main&amp;SelCastle=ratsamhausen&lt;br&gt;&lt;br&gt;368. Château de Rathsamhausen (Ottrott)&lt;br&gt;Country: France&lt;br&gt;Region: Elzas (Alsace)&lt;br&gt;Place: Ottrott</t>
  </si>
  <si>
    <t>&lt;b&gt;Churburg&lt;/b&gt;&lt;br&gt;&lt;br&gt;&lt;img src='http://www.topcastles.com/images/large/churburg.jpg' border='0'&gt;&lt;br&gt;&lt;br&gt;Topcastle according to http://www.topcastles.com/kastelen.php?SubMenu=main&amp;SelCastle=churburg&lt;br&gt;&lt;br&gt;369. Churburg&lt;br&gt;Country: Austria&lt;br&gt;Region: Tirol&lt;br&gt;Place: Vinschgau</t>
  </si>
  <si>
    <t>&lt;b&gt;Veliko Tarnavo&lt;/b&gt;&lt;br&gt;&lt;br&gt;&lt;img src='http://www.topcastles.com/images/large/tarnavo.jpg' border='0'&gt;&lt;br&gt;&lt;br&gt;Topcastle according to http://www.topcastles.com/kastelen.php?SubMenu=main&amp;SelCastle=tarnavo&lt;br&gt;&lt;br&gt;370. Veliko Tarnavo&lt;br&gt;Country: Bulgaria&lt;br&gt;Region: &lt;br&gt;Place: Veliko Tarnavo</t>
  </si>
  <si>
    <t>&lt;b&gt;Siklósi vár&lt;/b&gt;&lt;br&gt;&lt;br&gt;&lt;img src='http://www.topcastles.com/images/large/siklos.jpg' border='0'&gt;&lt;br&gt;&lt;br&gt;Topcastle according to http://www.topcastles.com/kastelen.php?SubMenu=main&amp;SelCastle=siklos&lt;br&gt;&lt;br&gt;371. Siklósi vár&lt;br&gt;Country: Hungary&lt;br&gt;Region: Dél Dunántúl (Southern Transdanubia)&lt;br&gt;Place: Siklós</t>
  </si>
  <si>
    <t>&lt;b&gt;Burg Breuburg (Odenwald)&lt;/b&gt;&lt;br&gt;&lt;br&gt;&lt;img src='http://www.topcastles.com/images/large/breuburg.jpg' border='0'&gt;&lt;br&gt;&lt;br&gt;Topcastle according to http://www.topcastles.com/kastelen.php?SubMenu=main&amp;SelCastle=breuburg&lt;br&gt;&lt;br&gt;372. Burg Breuburg (Odenwald)&lt;br&gt;Country: Germany&lt;br&gt;Region: Hessen&lt;br&gt;Place: Breuberg (Odenwald)</t>
  </si>
  <si>
    <t>&lt;b&gt;Château de Caen&lt;/b&gt;&lt;br&gt;&lt;br&gt;&lt;img src='http://www.topcastles.com/images/large/caen.jpg' border='0'&gt;&lt;br&gt;&lt;br&gt;Topcastle according to http://www.topcastles.com/kastelen.php?SubMenu=main&amp;SelCastle=caen&lt;br&gt;&lt;br&gt;373. Château de Caen&lt;br&gt;Country: France&lt;br&gt;Region: Normandie&lt;br&gt;Place: Caen</t>
  </si>
  <si>
    <t>&lt;b&gt;Ajfelova Kula (Samuilovata Krepost, Ochrid)&lt;/b&gt;&lt;br&gt;&lt;br&gt;&lt;img src='http://www.topcastles.com/images/large/ochrid.jpg' border='0'&gt;&lt;br&gt;&lt;br&gt;Topcastle according to http://www.topcastles.com/kastelen.php?SubMenu=main&amp;SelCastle=ochrid&lt;br&gt;&lt;br&gt;374. Ajfelova Kula (Samuilovata Krepost, Ochrid)&lt;br&gt;Country: Macedonia&lt;br&gt;Region: &lt;br&gt;Place: Ochrid (Ohrid)</t>
  </si>
  <si>
    <t>&lt;b&gt;Castillo de Antequera&lt;/b&gt;&lt;br&gt;&lt;br&gt;&lt;img src='http://www.topcastles.com/images/large/antequera.jpg' border='0'&gt;&lt;br&gt;&lt;br&gt;Topcastle according to http://www.topcastles.com/kastelen.php?SubMenu=main&amp;SelCastle=antequera&lt;br&gt;&lt;br&gt;375. Castillo de Antequera&lt;br&gt;Country: Spain&lt;br&gt;Region: Andalucia&lt;br&gt;Place: Antequera (Málaga)</t>
  </si>
  <si>
    <t>&lt;b&gt;Linlithgow&lt;/b&gt;&lt;br&gt;&lt;br&gt;&lt;img src='http://www.topcastles.com/images/large/linlithgow.jpg' border='0'&gt;&lt;br&gt;&lt;br&gt;Topcastle according to http://www.topcastles.com/kastelen.php?SubMenu=main&amp;SelCastle=linlithgow&lt;br&gt;&lt;br&gt;376. Linlithgow&lt;br&gt;Country: Scotland&lt;br&gt;Region: Edinburg and Lothian&lt;br&gt;Place: (Lothian)</t>
  </si>
  <si>
    <t>&lt;b&gt;Château de Peyrepertuse&lt;/b&gt;&lt;br&gt;&lt;br&gt;&lt;img src='http://www.topcastles.com/images/large/peyrepertuse.jpg' border='0'&gt;&lt;br&gt;&lt;br&gt;Topcastle according to http://www.topcastles.com/kastelen.php?SubMenu=main&amp;SelCastle=peyrepertuse&lt;br&gt;&lt;br&gt;377. Château de Peyrepertuse&lt;br&gt;Country: France&lt;br&gt;Region: Languedoc-Roussillon&lt;br&gt;Place: Ochrid (Ohrid)</t>
  </si>
  <si>
    <t>&lt;b&gt;Totnes Castle&lt;/b&gt;&lt;br&gt;&lt;br&gt;&lt;img src='http://www.topcastles.com/images/large/totnes.jpg' border='0'&gt;&lt;br&gt;&lt;br&gt;Topcastle according to http://www.topcastles.com/kastelen.php?SubMenu=main&amp;SelCastle=totnes&lt;br&gt;&lt;br&gt;378. Totnes Castle&lt;br&gt;Country: England&lt;br&gt;Region: South West&lt;br&gt;Place: (Devon)</t>
  </si>
  <si>
    <t>&lt;b&gt;Sczydlow&lt;/b&gt;&lt;br&gt;&lt;br&gt;&lt;img src='http://www.topcastles.com/images/large/szydlow.jpg' border='0'&gt;&lt;br&gt;&lt;br&gt;Topcastle according to http://www.topcastles.com/kastelen.php?SubMenu=main&amp;SelCastle=szydlow&lt;br&gt;&lt;br&gt;379. Sczydlow&lt;br&gt;Country: Poland&lt;br&gt;Region: Swietokrzyskie&lt;br&gt;Place: Szydlow</t>
  </si>
  <si>
    <t>&lt;b&gt;Alcázar puerta de Sevilla (Carmona)&lt;/b&gt;&lt;br&gt;&lt;br&gt;&lt;img src='http://www.topcastles.com/images/large/carmona.jpg' border='0'&gt;&lt;br&gt;&lt;br&gt;Topcastle according to http://www.topcastles.com/kastelen.php?SubMenu=main&amp;SelCastle=carmona&lt;br&gt;&lt;br&gt;380. Alcázar puerta de Sevilla (Carmona)&lt;br&gt;Country: Spain&lt;br&gt;Region: Andalucia&lt;br&gt;Place: Carmona</t>
  </si>
  <si>
    <t>&lt;b&gt;Castello di Soncino&lt;/b&gt;&lt;br&gt;&lt;br&gt;&lt;img src='http://www.topcastles.com/images/large/soncino.jpg' border='0'&gt;&lt;br&gt;&lt;br&gt;Topcastle according to http://www.topcastles.com/kastelen.php?SubMenu=main&amp;SelCastle=soncino&lt;br&gt;&lt;br&gt;381. Castello di Soncino&lt;br&gt;Country: Italy&lt;br&gt;Region: Lombardije (Lombardia)&lt;br&gt;Place: Soncino</t>
  </si>
  <si>
    <t>&lt;b&gt;Ciechanow (Zichenau)&lt;/b&gt;&lt;br&gt;&lt;br&gt;&lt;img src='http://www.topcastles.com/images/large/ciechanow.jpg' border='0'&gt;&lt;br&gt;&lt;br&gt;Topcastle according to http://www.topcastles.com/kastelen.php?SubMenu=main&amp;SelCastle=ciechanow&lt;br&gt;&lt;br&gt;382. Ciechanow (Zichenau)&lt;br&gt;Country: Poland&lt;br&gt;Region: Opolskie (Silesia Superior, Oberschlesien)&lt;br&gt;Place: Olsztyn</t>
  </si>
  <si>
    <t>&lt;b&gt;Castello di Caetani (Sermoneta)&lt;/b&gt;&lt;br&gt;&lt;br&gt;&lt;img src='http://www.topcastles.com/images/large/caetani.jpg' border='0'&gt;&lt;br&gt;&lt;br&gt;Topcastle according to http://www.topcastles.com/kastelen.php?SubMenu=main&amp;SelCastle=caetani&lt;br&gt;&lt;br&gt;383. Castello di Caetani (Sermoneta)&lt;br&gt;Country: Italy&lt;br&gt;Region: Lazio&lt;br&gt;Place: Sermoneta</t>
  </si>
  <si>
    <t>&lt;b&gt;Castello di Lerici&lt;/b&gt;&lt;br&gt;&lt;br&gt;&lt;img src='http://www.topcastles.com/images/large/lerici.jpg' border='0'&gt;&lt;br&gt;&lt;br&gt;Topcastle according to http://www.topcastles.com/kastelen.php?SubMenu=main&amp;SelCastle=lerici&lt;br&gt;&lt;br&gt;384. Castello di Lerici&lt;br&gt;Country: Italy&lt;br&gt;Region: Liguria&lt;br&gt;Place: Lerici</t>
  </si>
  <si>
    <t xml:space="preserve">&lt;b&gt;Hohentwiel&lt;/b&gt;&lt;br&gt;&lt;br&gt;&lt;img src='http://www.topcastles.com/images/large/hohentwiel.jpg' border='0'&gt;&lt;br&gt;&lt;br&gt;Topcastle according to http://www.topcastles.com/kastelen.php?SubMenu=main&amp;SelCastle=hohentwiel&lt;br&gt;&lt;br&gt;385. Hohentwiel&lt;br&gt;Country: Germany&lt;br&gt;Region: Baden-Würtenberg&lt;br&gt;Place: </t>
  </si>
  <si>
    <t>&lt;b&gt;To¢nik&lt;/b&gt;&lt;br&gt;&lt;br&gt;&lt;img src='http://www.topcastles.com/images/large/tocnik.jpg' border='0'&gt;&lt;br&gt;&lt;br&gt;Topcastle according to http://www.topcastles.com/kastelen.php?SubMenu=main&amp;SelCastle=tocnik&lt;br&gt;&lt;br&gt;386. To¢nik&lt;br&gt;Country: Czechia&lt;br&gt;Region: Stredo Ceský (Mittelböhmen)&lt;br&gt;Place: To¢nik (Beroun)</t>
  </si>
  <si>
    <t xml:space="preserve">&lt;b&gt;Schloss Durnstein&lt;/b&gt;&lt;br&gt;&lt;br&gt;&lt;img src='http://www.topcastles.com/images/large/durnstein.jpg' border='0'&gt;&lt;br&gt;&lt;br&gt;Topcastle according to http://www.topcastles.com/kastelen.php?SubMenu=main&amp;SelCastle=durnstein&lt;br&gt;&lt;br&gt;387. Schloss Durnstein&lt;br&gt;Country: Austria&lt;br&gt;Region: Niederöstenreich&lt;br&gt;Place: </t>
  </si>
  <si>
    <t>&lt;b&gt;Gradina Ilock (Újlak)&lt;/b&gt;&lt;br&gt;&lt;br&gt;&lt;img src='http://www.topcastles.com/images/large/ilok.jpg' border='0'&gt;&lt;br&gt;&lt;br&gt;Topcastle according to http://www.topcastles.com/kastelen.php?SubMenu=main&amp;SelCastle=ilok&lt;br&gt;&lt;br&gt;388. Gradina Ilock (Újlak)&lt;br&gt;Country: Croatia&lt;br&gt;Region: &lt;br&gt;Place: Ilok</t>
  </si>
  <si>
    <t xml:space="preserve">&lt;b&gt;Ehrenfels&lt;/b&gt;&lt;br&gt;&lt;br&gt;&lt;img src='http://www.topcastles.com/images/large/ehrenfels.jpg' border='0'&gt;&lt;br&gt;&lt;br&gt;Topcastle according to http://www.topcastles.com/kastelen.php?SubMenu=main&amp;SelCastle=ehrenfels&lt;br&gt;&lt;br&gt;389. Ehrenfels&lt;br&gt;Country: Germany&lt;br&gt;Region: Rheinland-Pfalz&lt;br&gt;Place: </t>
  </si>
  <si>
    <t>&lt;b&gt;Grodziec (Gröditzberg)&lt;/b&gt;&lt;br&gt;&lt;br&gt;&lt;img src='http://www.topcastles.com/images/large/grodziec.jpg' border='0'&gt;&lt;br&gt;&lt;br&gt;Topcastle according to http://www.topcastles.com/kastelen.php?SubMenu=main&amp;SelCastle=grodziec&lt;br&gt;&lt;br&gt;390. Grodziec (Gröditzberg)&lt;br&gt;Country: Poland&lt;br&gt;Region: Dolnoslaskie (Silesia Inferior, Nederschlesien)&lt;br&gt;Place: Grodziec</t>
  </si>
  <si>
    <t>&lt;b&gt;Castle Stalker&lt;/b&gt;&lt;br&gt;&lt;br&gt;&lt;img src='http://www.topcastles.com/images/large/stalker.jpg' border='0'&gt;&lt;br&gt;&lt;br&gt;Topcastle according to http://www.topcastles.com/kastelen.php?SubMenu=main&amp;SelCastle=stalker&lt;br&gt;&lt;br&gt;391. Castle Stalker&lt;br&gt;Country: Scotland&lt;br&gt;Region: Central&lt;br&gt;Place: (Strathclyde)</t>
  </si>
  <si>
    <t>&lt;b&gt;Castello de Luna (Albuquerque)&lt;/b&gt;&lt;br&gt;&lt;br&gt;&lt;img src='http://www.topcastles.com/images/large/albuquerque.jpg' border='0'&gt;&lt;br&gt;&lt;br&gt;Topcastle according to http://www.topcastles.com/kastelen.php?SubMenu=main&amp;SelCastle=albuquerque&lt;br&gt;&lt;br&gt;392. Castello de Luna (Albuquerque)&lt;br&gt;Country: Spain&lt;br&gt;Region: Badajoz&lt;br&gt;Place: Albuquerque</t>
  </si>
  <si>
    <t>&lt;b&gt;Burg Trausnitz&lt;/b&gt;&lt;br&gt;&lt;br&gt;&lt;img src='http://www.topcastles.com/images/large/trausnitz.jpg' border='0'&gt;&lt;br&gt;&lt;br&gt;Topcastle according to http://www.topcastles.com/kastelen.php?SubMenu=main&amp;SelCastle=trausnitz&lt;br&gt;&lt;br&gt;393. Burg Trausnitz&lt;br&gt;Country: Germany&lt;br&gt;Region: Bayern&lt;br&gt;Place: Landshut</t>
  </si>
  <si>
    <t>&lt;b&gt;Radzyn Chelminski (Rehden)&lt;/b&gt;&lt;br&gt;&lt;br&gt;&lt;img src='http://www.topcastles.com/images/large/radzyn.jpg' border='0'&gt;&lt;br&gt;&lt;br&gt;Topcastle according to http://www.topcastles.com/kastelen.php?SubMenu=main&amp;SelCastle=radzyn&lt;br&gt;&lt;br&gt;394. Radzyn Chelminski (Rehden)&lt;br&gt;Country: Poland&lt;br&gt;Region: Pomorsky (Pomerania, Pommern)&lt;br&gt;Place: Radzyn Chelminski</t>
  </si>
  <si>
    <t xml:space="preserve">&lt;b&gt;Nenagh Castle&lt;/b&gt;&lt;br&gt;&lt;br&gt;&lt;img src='http://www.topcastles.com/images/large/nenagh.jpg' border='0'&gt;&lt;br&gt;&lt;br&gt;Topcastle according to http://www.topcastles.com/kastelen.php?SubMenu=main&amp;SelCastle=nenagh&lt;br&gt;&lt;br&gt;395. Nenagh Castle&lt;br&gt;Country: Republic of Ireland&lt;br&gt;Region: Tipperay&lt;br&gt;Place: </t>
  </si>
  <si>
    <t>&lt;b&gt;Hradište Hory Tábor (Kotnov)&lt;/b&gt;&lt;br&gt;&lt;br&gt;&lt;img src='http://www.topcastles.com/images/large/tabor.jpg' border='0'&gt;&lt;br&gt;&lt;br&gt;Topcastle according to http://www.topcastles.com/kastelen.php?SubMenu=main&amp;SelCastle=tabor&lt;br&gt;&lt;br&gt;396. Hradište Hory Tábor (Kotnov)&lt;br&gt;Country: Czechia&lt;br&gt;Region: Jiho Ceský (Südböhmen)&lt;br&gt;Place: Tábor</t>
  </si>
  <si>
    <t xml:space="preserve">&lt;b&gt;Montfort (Starkenberg)&lt;/b&gt;&lt;br&gt;&lt;br&gt;&lt;img src='http://www.topcastles.com/images/large/montfort.jpg' border='0'&gt;&lt;br&gt;&lt;br&gt;Topcastle according to http://www.topcastles.com/kastelen.php?SubMenu=main&amp;SelCastle=montfort&lt;br&gt;&lt;br&gt;397. Montfort (Starkenberg)&lt;br&gt;Country: Israel&lt;br&gt;Region: &lt;br&gt;Place: </t>
  </si>
  <si>
    <t>&lt;b&gt;Pürnstein&lt;/b&gt;&lt;br&gt;&lt;br&gt;&lt;img src='http://www.topcastles.com/images/large/purnstein.jpg' border='0'&gt;&lt;br&gt;&lt;br&gt;Topcastle according to http://www.topcastles.com/kastelen.php?SubMenu=main&amp;SelCastle=purnstein&lt;br&gt;&lt;br&gt;398. Pürnstein&lt;br&gt;Country: Austria&lt;br&gt;Region: Oberösterreich&lt;br&gt;Place: Neufelden</t>
  </si>
  <si>
    <t xml:space="preserve">&lt;b&gt;Grad Zuzemberk (Seisenberg)&lt;/b&gt;&lt;br&gt;&lt;br&gt;&lt;img src='http://www.topcastles.com/images/large/zuzemberk.jpg' border='0'&gt;&lt;br&gt;&lt;br&gt;Topcastle according to http://www.topcastles.com/kastelen.php?SubMenu=main&amp;SelCastle=zuzemberk&lt;br&gt;&lt;br&gt;399. Grad Zuzemberk (Seisenberg)&lt;br&gt;Country: Slovenia&lt;br&gt;Region: Krka&lt;br&gt;Place: </t>
  </si>
  <si>
    <t>&lt;b&gt;Castello di Montebello (Bellinzona)&lt;/b&gt;&lt;br&gt;&lt;br&gt;&lt;img src='http://www.topcastles.com/images/large/montebello.jpg' border='0'&gt;&lt;br&gt;&lt;br&gt;Topcastle according to http://www.topcastles.com/kastelen.php?SubMenu=main&amp;SelCastle=montebello&lt;br&gt;&lt;br&gt;400. Castello di Montebello (Bellinzona)&lt;br&gt;Country: Switzerland&lt;br&gt;Region: Tessin&lt;br&gt;Place: Bellinzona</t>
  </si>
  <si>
    <t>&lt;b&gt;Bezdez Hrad&lt;/b&gt;&lt;br&gt;&lt;br&gt;&lt;img src='http://www.topcastles.com/images/large/bezdez.jpg' border='0'&gt;&lt;br&gt;&lt;br&gt;Topcastle according to http://www.topcastles.com/kastelen.php?SubMenu=main&amp;SelCastle=bezdez&lt;br&gt;&lt;br&gt;401. Bezdez Hrad&lt;br&gt;Country: Czechia&lt;br&gt;Region: Liberec (Reichenberg)&lt;br&gt;Place: Bezdez</t>
  </si>
  <si>
    <t xml:space="preserve">&lt;b&gt;Château de Montségur &lt;/b&gt;&lt;br&gt;&lt;br&gt;&lt;img src='http://www.topcastles.com/images/large/montsegur.jpg' border='0'&gt;&lt;br&gt;&lt;br&gt;Topcastle according to http://www.topcastles.com/kastelen.php?SubMenu=main&amp;SelCastle=montsegur&lt;br&gt;&lt;br&gt;402. Château de Montségur &lt;br&gt;Country: France&lt;br&gt;Region: Midi-Pyrénées&lt;br&gt;Place: </t>
  </si>
  <si>
    <t>&lt;b&gt;Burg Stahleck &lt;/b&gt;&lt;br&gt;&lt;br&gt;&lt;img src='http://www.topcastles.com/images/large/stahleck.jpg' border='0'&gt;&lt;br&gt;&lt;br&gt;Topcastle according to http://www.topcastles.com/kastelen.php?SubMenu=main&amp;SelCastle=stahleck&lt;br&gt;&lt;br&gt;403. Burg Stahleck &lt;br&gt;Country: Germany&lt;br&gt;Region: Rheinland-Pfalz&lt;br&gt;Place: Bacharach</t>
  </si>
  <si>
    <t>&lt;b&gt;Burg Falkenstein an der Ranna (Hofkirchen)&lt;/b&gt;&lt;br&gt;&lt;br&gt;&lt;img src='http://www.topcastles.com/images/large/falkensteinranna.jpg' border='0'&gt;&lt;br&gt;&lt;br&gt;Topcastle according to http://www.topcastles.com/kastelen.php?SubMenu=main&amp;SelCastle=falkensteinranna&lt;br&gt;&lt;br&gt;404. Burg Falkenstein an der Ranna (Hofkirchen)&lt;br&gt;Country: Austria&lt;br&gt;Region: Oberösterreich&lt;br&gt;Place: Hofkirchen</t>
  </si>
  <si>
    <t xml:space="preserve">&lt;b&gt;Château de Najac&lt;/b&gt;&lt;br&gt;&lt;br&gt;&lt;img src='http://www.topcastles.com/images/large/najac.jpg' border='0'&gt;&lt;br&gt;&lt;br&gt;Topcastle according to http://www.topcastles.com/kastelen.php?SubMenu=main&amp;SelCastle=najac&lt;br&gt;&lt;br&gt;405. Château de Najac&lt;br&gt;Country: France&lt;br&gt;Region: Midi-Pyrénées&lt;br&gt;Place: </t>
  </si>
  <si>
    <t>&lt;b&gt;Alcázar de Molina&lt;/b&gt;&lt;br&gt;&lt;br&gt;&lt;img src='http://www.topcastles.com/images/large/molina.jpg' border='0'&gt;&lt;br&gt;&lt;br&gt;Topcastle according to http://www.topcastles.com/kastelen.php?SubMenu=main&amp;SelCastle=molina&lt;br&gt;&lt;br&gt;406. Alcázar de Molina&lt;br&gt;Country: Spain&lt;br&gt;Region: Castilla-La Mancha&lt;br&gt;Place: Molina de Aragón(Guadalajara)</t>
  </si>
  <si>
    <t>&lt;b&gt;Château de Vitré &lt;/b&gt;&lt;br&gt;&lt;br&gt;&lt;img src='http://www.topcastles.com/images/large/vitre.jpg' border='0'&gt;&lt;br&gt;&lt;br&gt;Topcastle according to http://www.topcastles.com/kastelen.php?SubMenu=main&amp;SelCastle=vitre&lt;br&gt;&lt;br&gt;407. Château de Vitré &lt;br&gt;Country: France&lt;br&gt;Region: Bretagne&lt;br&gt;Place: Vitré</t>
  </si>
  <si>
    <t>&lt;b&gt;Kaštel Frankopanski (Stari grad Ogulin)&lt;/b&gt;&lt;br&gt;&lt;br&gt;&lt;img src='http://www.topcastles.com/images/large/frankopane.jpg' border='0'&gt;&lt;br&gt;&lt;br&gt;Topcastle according to http://www.topcastles.com/kastelen.php?SubMenu=main&amp;SelCastle=frankopane&lt;br&gt;&lt;br&gt;408. Kaštel Frankopanski (Stari grad Ogulin)&lt;br&gt;Country: Croatia&lt;br&gt;Region: &lt;br&gt;Place: Ogulin</t>
  </si>
  <si>
    <t>&lt;b&gt;Kasteel Radboud (Medemblik)&lt;/b&gt;&lt;br&gt;&lt;br&gt;&lt;img src='http://www.topcastles.com/images/large/medemblik.jpg' border='0'&gt;&lt;br&gt;&lt;br&gt;Topcastle according to http://www.topcastles.com/kastelen.php?SubMenu=main&amp;SelCastle=medemblik&lt;br&gt;&lt;br&gt;409. Kasteel Radboud (Medemblik)&lt;br&gt;Country: Netherlands&lt;br&gt;Region: Noord Holland&lt;br&gt;Place: Medemblik</t>
  </si>
  <si>
    <t xml:space="preserve">&lt;b&gt;Château de Dinan&lt;/b&gt;&lt;br&gt;&lt;br&gt;&lt;img src='http://www.topcastles.com/images/large/dinan.jpg' border='0'&gt;&lt;br&gt;&lt;br&gt;Topcastle according to http://www.topcastles.com/kastelen.php?SubMenu=main&amp;SelCastle=dinan&lt;br&gt;&lt;br&gt;410. Château de Dinan&lt;br&gt;Country: France&lt;br&gt;Region: Bretagne&lt;br&gt;Place: </t>
  </si>
  <si>
    <t>&lt;b&gt;Castello Svevo (Trani)&lt;/b&gt;&lt;br&gt;&lt;br&gt;&lt;img src='http://www.topcastles.com/images/large/trani.jpg' border='0'&gt;&lt;br&gt;&lt;br&gt;Topcastle according to http://www.topcastles.com/kastelen.php?SubMenu=main&amp;SelCastle=trani&lt;br&gt;&lt;br&gt;411. Castello Svevo (Trani)&lt;br&gt;Country: Italy&lt;br&gt;Region: Apulië (Puglia)&lt;br&gt;Place: Trani</t>
  </si>
  <si>
    <t>&lt;b&gt;Lipowiec (Babice)&lt;/b&gt;&lt;br&gt;&lt;br&gt;&lt;img src='http://www.topcastles.com/images/large/lipowiec.jpg' border='0'&gt;&lt;br&gt;&lt;br&gt;Topcastle according to http://www.topcastles.com/kastelen.php?SubMenu=main&amp;SelCastle=lipowiec&lt;br&gt;&lt;br&gt;412. Lipowiec (Babice)&lt;br&gt;Country: Poland&lt;br&gt;Region: Malopolskie (Lesser Poland)&lt;br&gt;Place: Lipowiec Kościelny</t>
  </si>
  <si>
    <t>&lt;b&gt;Al-Qala'a al-Gabal (Citadel of the Mountain, Al Muqattam)&lt;/b&gt;&lt;br&gt;&lt;br&gt;&lt;img src='http://www.topcastles.com/images/large/muqattam.jpg' border='0'&gt;&lt;br&gt;&lt;br&gt;Topcastle according to http://www.topcastles.com/kastelen.php?SubMenu=main&amp;SelCastle=muqattam&lt;br&gt;&lt;br&gt;413. Al-Qala'a al-Gabal (Citadel of the Mountain, Al Muqattam)&lt;br&gt;Country: Egypt&lt;br&gt;Region: &lt;br&gt;Place: Cairo</t>
  </si>
  <si>
    <t>&lt;b&gt;Königstein&lt;/b&gt;&lt;br&gt;&lt;br&gt;&lt;img src='http://www.topcastles.com/images/large/konigstein.jpg' border='0'&gt;&lt;br&gt;&lt;br&gt;Topcastle according to http://www.topcastles.com/kastelen.php?SubMenu=main&amp;SelCastle=konigstein&lt;br&gt;&lt;br&gt;414. Königstein&lt;br&gt;Country: Germany&lt;br&gt;Region: Sachsen-Anhalt&lt;br&gt;Place: Königstein</t>
  </si>
  <si>
    <t>&lt;b&gt;Château de PlessisBourré&lt;/b&gt;&lt;br&gt;&lt;br&gt;&lt;img src='http://www.topcastles.com/images/large/plessisbourre.jpg' border='0'&gt;&lt;br&gt;&lt;br&gt;Topcastle according to http://www.topcastles.com/kastelen.php?SubMenu=main&amp;SelCastle=plessisbourre&lt;br&gt;&lt;br&gt;415. Château de PlessisBourré&lt;br&gt;Country: France&lt;br&gt;Region: Pays de la Loire&lt;br&gt;Place: Ecuillé</t>
  </si>
  <si>
    <t xml:space="preserve">&lt;b&gt;Hrad Loket Burg Elbogen an der Eger, Elnbogen)&lt;/b&gt;&lt;br&gt;&lt;br&gt;&lt;img src='http://www.topcastles.com/images/large/loket.jpg' border='0'&gt;&lt;br&gt;&lt;br&gt;Topcastle according to http://www.topcastles.com/kastelen.php?SubMenu=main&amp;SelCastle=loket&lt;br&gt;&lt;br&gt;416. Hrad Loket Burg Elbogen an der Eger, Elnbogen)&lt;br&gt;Country: Czechia&lt;br&gt;Region: Vysočina (Hochland)&lt;br&gt;Place: </t>
  </si>
  <si>
    <t xml:space="preserve">&lt;b&gt;Château de Villandraut &lt;/b&gt;&lt;br&gt;&lt;br&gt;&lt;img src='http://www.topcastles.com/images/large/villandraut.jpg' border='0'&gt;&lt;br&gt;&lt;br&gt;Topcastle according to http://www.topcastles.com/kastelen.php?SubMenu=main&amp;SelCastle=villandraut&lt;br&gt;&lt;br&gt;417. Château de Villandraut &lt;br&gt;Country: France&lt;br&gt;Region: Aquitaine&lt;br&gt;Place: </t>
  </si>
  <si>
    <t>&lt;b&gt;Castillo de Alcañiz&lt;/b&gt;&lt;br&gt;&lt;br&gt;&lt;img src='http://www.topcastles.com/images/large/alcaniz.jpg' border='0'&gt;&lt;br&gt;&lt;br&gt;Topcastle according to http://www.topcastles.com/kastelen.php?SubMenu=main&amp;SelCastle=alcaniz&lt;br&gt;&lt;br&gt;418. Castillo de Alcañiz&lt;br&gt;Country: Spain&lt;br&gt;Region: Aragón&lt;br&gt;Place: Teruel</t>
  </si>
  <si>
    <t>&lt;b&gt;Meersburg (Dagobertsburg)&lt;/b&gt;&lt;br&gt;&lt;br&gt;&lt;img src='http://www.topcastles.com/images/large/meersburg.jpg' border='0'&gt;&lt;br&gt;&lt;br&gt;Topcastle according to http://www.topcastles.com/kastelen.php?SubMenu=main&amp;SelCastle=meersburg&lt;br&gt;&lt;br&gt;419. Meersburg (Dagobertsburg)&lt;br&gt;Country: Germany&lt;br&gt;Region: Bayern&lt;br&gt;Place: Meersburg</t>
  </si>
  <si>
    <t xml:space="preserve">&lt;b&gt;Castello di Torrechiara&lt;/b&gt;&lt;br&gt;&lt;br&gt;&lt;img src='http://www.topcastles.com/images/large/torrechiara.jpg' border='0'&gt;&lt;br&gt;&lt;br&gt;Topcastle according to http://www.topcastles.com/kastelen.php?SubMenu=main&amp;SelCastle=torrechiara&lt;br&gt;&lt;br&gt;420. Castello di Torrechiara&lt;br&gt;Country: Italy&lt;br&gt;Region: Emilia-Romagna&lt;br&gt;Place: </t>
  </si>
  <si>
    <t xml:space="preserve">&lt;b&gt;Bac (Vacia)&lt;/b&gt;&lt;br&gt;&lt;br&gt;&lt;img src='http://www.topcastles.com/images/large/bac.jpg' border='0'&gt;&lt;br&gt;&lt;br&gt;Topcastle according to http://www.topcastles.com/kastelen.php?SubMenu=main&amp;SelCastle=bac&lt;br&gt;&lt;br&gt;421. Bac (Vacia)&lt;br&gt;Country: Serbia&lt;br&gt;Region: &lt;br&gt;Place: </t>
  </si>
  <si>
    <t>&lt;b&gt;Cardiff Castle&lt;/b&gt;&lt;br&gt;&lt;br&gt;&lt;img src='http://www.topcastles.com/images/large/cardiff.jpg' border='0'&gt;&lt;br&gt;&lt;br&gt;Topcastle according to http://www.topcastles.com/kastelen.php?SubMenu=main&amp;SelCastle=cardiff&lt;br&gt;&lt;br&gt;422. Cardiff Castle&lt;br&gt;Country: Wales&lt;br&gt;Region: Glamorgan&lt;br&gt;Place: Cardiff</t>
  </si>
  <si>
    <t xml:space="preserve">&lt;b&gt;Bobolice &lt;/b&gt;&lt;br&gt;&lt;br&gt;&lt;img src='http://www.topcastles.com/images/large/bobolice.jpg' border='0'&gt;&lt;br&gt;&lt;br&gt;Topcastle according to http://www.topcastles.com/kastelen.php?SubMenu=main&amp;SelCastle=bobolice&lt;br&gt;&lt;br&gt;423. Bobolice &lt;br&gt;Country: Poland&lt;br&gt;Region: Zachodnio-Pomorskie&lt;br&gt;Place: Bobolice </t>
  </si>
  <si>
    <t>&lt;b&gt;Burg Berwartstein&lt;/b&gt;&lt;br&gt;&lt;br&gt;&lt;img src='http://www.topcastles.com/images/large/berwartstein.jpg' border='0'&gt;&lt;br&gt;&lt;br&gt;Topcastle according to http://www.topcastles.com/kastelen.php?SubMenu=main&amp;SelCastle=berwartstein&lt;br&gt;&lt;br&gt;424. Burg Berwartstein&lt;br&gt;Country: Germany&lt;br&gt;Region: Rheinland-Pfalz&lt;br&gt;Place: Bad Bergzabern</t>
  </si>
  <si>
    <t xml:space="preserve">&lt;b&gt;Kostel ob Kolpi (Grafenwarth)&lt;/b&gt;&lt;br&gt;&lt;br&gt;&lt;img src='http://www.topcastles.com/images/large/kostel.jpg' border='0'&gt;&lt;br&gt;&lt;br&gt;Topcastle according to http://www.topcastles.com/kastelen.php?SubMenu=main&amp;SelCastle=kostel&lt;br&gt;&lt;br&gt;425. Kostel ob Kolpi (Grafenwarth)&lt;br&gt;Country: Slovenia&lt;br&gt;Region: Kocevsko und die Bela Krajina&lt;br&gt;Place: </t>
  </si>
  <si>
    <t>&lt;b&gt;Lincoln Castle&lt;/b&gt;&lt;br&gt;&lt;br&gt;&lt;img src='http://www.topcastles.com/images/large/lincoln.jpg' border='0'&gt;&lt;br&gt;&lt;br&gt;Topcastle according to http://www.topcastles.com/kastelen.php?SubMenu=main&amp;SelCastle=lincoln&lt;br&gt;&lt;br&gt;426. Lincoln Castle&lt;br&gt;Country: England&lt;br&gt;Region: East Midlands&lt;br&gt;Place: Lincoln (Lincolnshire)</t>
  </si>
  <si>
    <t xml:space="preserve">&lt;b&gt;Grad Kamen (Stain)&lt;/b&gt;&lt;br&gt;&lt;br&gt;&lt;img src='http://www.topcastles.com/images/large/kamen.jpg' border='0'&gt;&lt;br&gt;&lt;br&gt;Topcastle according to http://www.topcastles.com/kastelen.php?SubMenu=main&amp;SelCastle=kamen&lt;br&gt;&lt;br&gt;427. Grad Kamen (Stain)&lt;br&gt;Country: Slovenia&lt;br&gt;Region: Gorenjsko&lt;br&gt;Place: </t>
  </si>
  <si>
    <t>&lt;b&gt;Corroy le Chateau&lt;/b&gt;&lt;br&gt;&lt;br&gt;&lt;img src='http://www.topcastles.com/images/large/corroy.jpg' border='0'&gt;&lt;br&gt;&lt;br&gt;Topcastle according to http://www.topcastles.com/kastelen.php?SubMenu=main&amp;SelCastle=corroy&lt;br&gt;&lt;br&gt;428. Corroy le Chateau&lt;br&gt;Country: Belgium&lt;br&gt;Region: Namen&lt;br&gt;Place: Corroy</t>
  </si>
  <si>
    <t>&lt;b&gt;Kasteel Hoensbroek&lt;/b&gt;&lt;br&gt;&lt;br&gt;&lt;img src='http://www.topcastles.com/images/large/hoensbroek.jpg' border='0'&gt;&lt;br&gt;&lt;br&gt;Topcastle according to http://www.topcastles.com/kastelen.php?SubMenu=main&amp;SelCastle=hoensbroek&lt;br&gt;&lt;br&gt;429. Kasteel Hoensbroek&lt;br&gt;Country: Netherlands&lt;br&gt;Region: Limburg&lt;br&gt;Place: Hoensbroek</t>
  </si>
  <si>
    <t xml:space="preserve">&lt;b&gt;Lahneck&lt;/b&gt;&lt;br&gt;&lt;br&gt;&lt;img src='http://www.topcastles.com/images/large/lahneck.jpg' border='0'&gt;&lt;br&gt;&lt;br&gt;Topcastle according to http://www.topcastles.com/kastelen.php?SubMenu=main&amp;SelCastle=lahneck&lt;br&gt;&lt;br&gt;430. Lahneck&lt;br&gt;Country: Germany&lt;br&gt;Region: Rheinland-Pfalz&lt;br&gt;Place: </t>
  </si>
  <si>
    <t>&lt;b&gt;Castillo de Javier&lt;/b&gt;&lt;br&gt;&lt;br&gt;&lt;img src='http://www.topcastles.com/images/large/javier.jpg' border='0'&gt;&lt;br&gt;&lt;br&gt;Topcastle according to http://www.topcastles.com/kastelen.php?SubMenu=main&amp;SelCastle=javier&lt;br&gt;&lt;br&gt;431. Castillo de Javier&lt;br&gt;Country: Spain&lt;br&gt;Region: Navarra&lt;br&gt;Place: Javier</t>
  </si>
  <si>
    <t>&lt;b&gt;Dunvegan Castle&lt;/b&gt;&lt;br&gt;&lt;br&gt;&lt;img src='http://www.topcastles.com/images/large/dunvegan.jpg' border='0'&gt;&lt;br&gt;&lt;br&gt;Topcastle according to http://www.topcastles.com/kastelen.php?SubMenu=main&amp;SelCastle=dunvegan&lt;br&gt;&lt;br&gt;432. Dunvegan Castle&lt;br&gt;Country: Scotland&lt;br&gt;Region: Highland&lt;br&gt;Place: Isle of Skye</t>
  </si>
  <si>
    <t xml:space="preserve">&lt;b&gt;Chlemoutzi (Clairmont, Castel Tornese)&lt;/b&gt;&lt;br&gt;&lt;br&gt;&lt;img src='http://www.topcastles.com/images/large/chlemoutsi.jpg' border='0'&gt;&lt;br&gt;&lt;br&gt;Topcastle according to http://www.topcastles.com/kastelen.php?SubMenu=main&amp;SelCastle=chlemoutsi&lt;br&gt;&lt;br&gt;433. Chlemoutzi (Clairmont, Castel Tornese)&lt;br&gt;Country: Greece&lt;br&gt;Region: &lt;br&gt;Place: </t>
  </si>
  <si>
    <t>&lt;b&gt;Bolton Castle&lt;/b&gt;&lt;br&gt;&lt;br&gt;&lt;img src='http://www.topcastles.com/images/large/bolton.jpg' border='0'&gt;&lt;br&gt;&lt;br&gt;Topcastle according to http://www.topcastles.com/kastelen.php?SubMenu=main&amp;SelCastle=bolton&lt;br&gt;&lt;br&gt;434. Bolton Castle&lt;br&gt;Country: England&lt;br&gt;Region: Yorkshire and Humber&lt;br&gt;Place: Wensleydale</t>
  </si>
  <si>
    <t>&lt;b&gt;Burg Vufflens&lt;/b&gt;&lt;br&gt;&lt;br&gt;&lt;img src='http://www.topcastles.com/images/large/vufflens.jpg' border='0'&gt;&lt;br&gt;&lt;br&gt;Topcastle according to http://www.topcastles.com/kastelen.php?SubMenu=main&amp;SelCastle=vufflens&lt;br&gt;&lt;br&gt;435. Burg Vufflens&lt;br&gt;Country: Switzerland&lt;br&gt;Region: Genfersee&lt;br&gt;Place: Vufflens-le-Château (Kanton Vaud)</t>
  </si>
  <si>
    <t>&lt;b&gt;Kost Hrad&lt;/b&gt;&lt;br&gt;&lt;br&gt;&lt;img src='http://www.topcastles.com/images/large/kost.jpg' border='0'&gt;&lt;br&gt;&lt;br&gt;Topcastle according to http://www.topcastles.com/kastelen.php?SubMenu=main&amp;SelCastle=kost&lt;br&gt;&lt;br&gt;436. Kost Hrad&lt;br&gt;Country: Czechia&lt;br&gt;Region: Hradeck Králové (Königgrätz)&lt;br&gt;Place: Libosovice (nabij Podkost, Jičín district)</t>
  </si>
  <si>
    <t xml:space="preserve">&lt;b&gt;Stari grad Samobor&lt;/b&gt;&lt;br&gt;&lt;br&gt;&lt;img src='http://www.topcastles.com/images/large/samobor.jpg' border='0'&gt;&lt;br&gt;&lt;br&gt;Topcastle according to http://www.topcastles.com/kastelen.php?SubMenu=main&amp;SelCastle=samobor&lt;br&gt;&lt;br&gt;437. Stari grad Samobor&lt;br&gt;Country: Croatia&lt;br&gt;Region: Zagreb&lt;br&gt;Place: </t>
  </si>
  <si>
    <t>&lt;b&gt;Pevensey Castle&lt;/b&gt;&lt;br&gt;&lt;br&gt;&lt;img src='http://www.topcastles.com/images/large/pevensey.jpg' border='0'&gt;&lt;br&gt;&lt;br&gt;Topcastle according to http://www.topcastles.com/kastelen.php?SubMenu=main&amp;SelCastle=pevensey&lt;br&gt;&lt;br&gt;438. Pevensey Castle&lt;br&gt;Country: England&lt;br&gt;Region: South East&lt;br&gt;Place: (Surrey)</t>
  </si>
  <si>
    <t>&lt;b&gt;Trematon Castle&lt;/b&gt;&lt;br&gt;&lt;br&gt;&lt;img src='http://www.topcastles.com/images/large/trematon.jpg' border='0'&gt;&lt;br&gt;&lt;br&gt;Topcastle according to http://www.topcastles.com/kastelen.php?SubMenu=main&amp;SelCastle=trematon&lt;br&gt;&lt;br&gt;439. Trematon Castle&lt;br&gt;Country: England&lt;br&gt;Region: South West&lt;br&gt;Place: Trematon (Cornwall)</t>
  </si>
  <si>
    <t>&lt;b&gt;Castillo de Simancas &lt;/b&gt;&lt;br&gt;&lt;br&gt;&lt;img src='http://www.topcastles.com/images/large/simancas.jpg' border='0'&gt;&lt;br&gt;&lt;br&gt;Topcastle according to http://www.topcastles.com/kastelen.php?SubMenu=main&amp;SelCastle=simancas&lt;br&gt;&lt;br&gt;440. Castillo de Simancas &lt;br&gt;Country: Spain&lt;br&gt;Region: Castilla y León&lt;br&gt;Place: Simancas (Valladolid)</t>
  </si>
  <si>
    <t>&lt;b&gt;Olsztyn (Hohlstein)&lt;/b&gt;&lt;br&gt;&lt;br&gt;&lt;img src='http://www.topcastles.com/images/large/olsztyn.jpg' border='0'&gt;&lt;br&gt;&lt;br&gt;Topcastle according to http://www.topcastles.com/kastelen.php?SubMenu=main&amp;SelCastle=olsztyn&lt;br&gt;&lt;br&gt;441. Olsztyn (Hohlstein)&lt;br&gt;Country: Poland&lt;br&gt;Region: Opolskie (Silesia Superior, Oberschlesien)&lt;br&gt;Place: Olsztyn</t>
  </si>
  <si>
    <t>&lt;b&gt;Castillo de Peñíscola &lt;/b&gt;&lt;br&gt;&lt;br&gt;&lt;img src='http://www.topcastles.com/images/large/peniscola.jpg' border='0'&gt;&lt;br&gt;&lt;br&gt;Topcastle according to http://www.topcastles.com/kastelen.php?SubMenu=main&amp;SelCastle=peniscola&lt;br&gt;&lt;br&gt;442. Castillo de Peñíscola &lt;br&gt;Country: Spain&lt;br&gt;Region: Valencia&lt;br&gt;Place: Castellón de la Plana</t>
  </si>
  <si>
    <t>&lt;b&gt;Rosslyn Castle&lt;/b&gt;&lt;br&gt;&lt;br&gt;&lt;img src='http://www.topcastles.com/images/large/rosslyn.jpg' border='0'&gt;&lt;br&gt;&lt;br&gt;Topcastle according to http://www.topcastles.com/kastelen.php?SubMenu=main&amp;SelCastle=rosslyn&lt;br&gt;&lt;br&gt;443. Rosslyn Castle&lt;br&gt;Country: Scotland&lt;br&gt;Region: Edinburg and Lothian&lt;br&gt;Place: (Lothian)</t>
  </si>
  <si>
    <t xml:space="preserve">&lt;b&gt;Burg Landsberg&lt;/b&gt;&lt;br&gt;&lt;br&gt;&lt;img src='http://www.topcastles.com/images/large/landsberg.jpg' border='0'&gt;&lt;br&gt;&lt;br&gt;Topcastle according to http://www.topcastles.com/kastelen.php?SubMenu=main&amp;SelCastle=landsberg&lt;br&gt;&lt;br&gt;444. Burg Landsberg&lt;br&gt;Country: France&lt;br&gt;Region: Elzas (Alsace)&lt;br&gt;Place: </t>
  </si>
  <si>
    <t>&lt;b&gt;Kasteel van Valkenburg&lt;/b&gt;&lt;br&gt;&lt;br&gt;&lt;img src='http://www.topcastles.com/images/large/valkenburg.jpg' border='0'&gt;&lt;br&gt;&lt;br&gt;Topcastle according to http://www.topcastles.com/kastelen.php?SubMenu=main&amp;SelCastle=valkenburg&lt;br&gt;&lt;br&gt;445. Kasteel van Valkenburg&lt;br&gt;Country: Netherlands&lt;br&gt;Region: Limburg&lt;br&gt;Place: Valkenburg</t>
  </si>
  <si>
    <t>&lt;b&gt;Hrad Trosky&lt;/b&gt;&lt;br&gt;&lt;br&gt;&lt;img src='http://www.topcastles.com/images/large/trosky.jpg' border='0'&gt;&lt;br&gt;&lt;br&gt;Topcastle according to http://www.topcastles.com/kastelen.php?SubMenu=main&amp;SelCastle=trosky&lt;br&gt;&lt;br&gt;446. Hrad Trosky&lt;br&gt;Country: Czechia&lt;br&gt;Region: Liberec (Reichenberg)&lt;br&gt;Place: Rovensko pod Troskami</t>
  </si>
  <si>
    <t xml:space="preserve">&lt;b&gt;Castelo de Penéla (Penella)&lt;/b&gt;&lt;br&gt;&lt;br&gt;&lt;img src='http://www.topcastles.com/images/large/penela.jpg' border='0'&gt;&lt;br&gt;&lt;br&gt;Topcastle according to http://www.topcastles.com/kastelen.php?SubMenu=main&amp;SelCastle=penela&lt;br&gt;&lt;br&gt;447. Castelo de Penéla (Penella)&lt;br&gt;Country: Portugal&lt;br&gt;Region: &lt;br&gt;Place: </t>
  </si>
  <si>
    <t xml:space="preserve">&lt;b&gt;Castello di Rodeneck (Schloss Rodenegg)&lt;/b&gt;&lt;br&gt;&lt;br&gt;&lt;img src='http://www.topcastles.com/images/large/rodeneck.jpg' border='0'&gt;&lt;br&gt;&lt;br&gt;Topcastle according to http://www.topcastles.com/kastelen.php?SubMenu=main&amp;SelCastle=rodeneck&lt;br&gt;&lt;br&gt;448. Castello di Rodeneck (Schloss Rodenegg)&lt;br&gt;Country: Italy&lt;br&gt;Region: Trento (Zuid-Tirol, Trentino)&lt;br&gt;Place: </t>
  </si>
  <si>
    <t>&lt;b&gt;Castillo de Escalona&lt;/b&gt;&lt;br&gt;&lt;br&gt;&lt;img src='http://www.topcastles.com/images/large/escalona.jpg' border='0'&gt;&lt;br&gt;&lt;br&gt;Topcastle according to http://www.topcastles.com/kastelen.php?SubMenu=main&amp;SelCastle=escalona&lt;br&gt;&lt;br&gt;449. Castillo de Escalona&lt;br&gt;Country: Spain&lt;br&gt;Region: Castilla-La Mancha&lt;br&gt;Place: Toledo</t>
  </si>
  <si>
    <t xml:space="preserve">&lt;b&gt;Burg Kriebstein&lt;/b&gt;&lt;br&gt;&lt;br&gt;&lt;img src='http://www.topcastles.com/images/large/kriebstein.jpg' border='0'&gt;&lt;br&gt;&lt;br&gt;Topcastle according to http://www.topcastles.com/kastelen.php?SubMenu=main&amp;SelCastle=kriebstein&lt;br&gt;&lt;br&gt;450. Burg Kriebstein&lt;br&gt;Country: Germany&lt;br&gt;Region: Sachsen-Anhalt&lt;br&gt;Place: </t>
  </si>
  <si>
    <t xml:space="preserve">&lt;b&gt;Burg Steinsberg&lt;/b&gt;&lt;br&gt;&lt;br&gt;&lt;img src='http://www.topcastles.com/images/large/steinsberg.jpg' border='0'&gt;&lt;br&gt;&lt;br&gt;Topcastle according to http://www.topcastles.com/kastelen.php?SubMenu=main&amp;SelCastle=steinsberg&lt;br&gt;&lt;br&gt;451. Burg Steinsberg&lt;br&gt;Country: Germany&lt;br&gt;Region: Baden-Würtenberg&lt;br&gt;Place: Sinsheim-Weiler </t>
  </si>
  <si>
    <t>&lt;b&gt;Dobrzyn (Golub)&lt;/b&gt;&lt;br&gt;&lt;br&gt;&lt;img src='http://www.topcastles.com/images/large/golub.jpg' border='0'&gt;&lt;br&gt;&lt;br&gt;Topcastle according to http://www.topcastles.com/kastelen.php?SubMenu=main&amp;SelCastle=golub&lt;br&gt;&lt;br&gt;452. Dobrzyn (Golub)&lt;br&gt;Country: Poland&lt;br&gt;Region: Pomorsky (Pomerania, Pommern)&lt;br&gt;Place: Golub</t>
  </si>
  <si>
    <t xml:space="preserve">&lt;b&gt;Castello di Maretsch&lt;/b&gt;&lt;br&gt;&lt;br&gt;&lt;img src='http://www.topcastles.com/images/large/maretsch.jpg' border='0'&gt;&lt;br&gt;&lt;br&gt;Topcastle according to http://www.topcastles.com/kastelen.php?SubMenu=main&amp;SelCastle=maretsch&lt;br&gt;&lt;br&gt;453. Castello di Maretsch&lt;br&gt;Country: Italy&lt;br&gt;Region: Trento (Zuid-Tirol, Trentino)&lt;br&gt;Place: </t>
  </si>
  <si>
    <t xml:space="preserve">&lt;b&gt;Castello dei Conti Guidi (Poppi)&lt;/b&gt;&lt;br&gt;&lt;br&gt;&lt;img src='http://www.topcastles.com/images/large/poppi.jpg' border='0'&gt;&lt;br&gt;&lt;br&gt;Topcastle according to http://www.topcastles.com/kastelen.php?SubMenu=main&amp;SelCastle=poppi&lt;br&gt;&lt;br&gt;454. Castello dei Conti Guidi (Poppi)&lt;br&gt;Country: Italy&lt;br&gt;Region: Toscane (Toscana)&lt;br&gt;Place: </t>
  </si>
  <si>
    <t>&lt;b&gt;Turaida (Treiden)&lt;/b&gt;&lt;br&gt;&lt;br&gt;&lt;img src='http://www.topcastles.com/images/large/treiden.jpg' border='0'&gt;&lt;br&gt;&lt;br&gt;Topcastle according to http://www.topcastles.com/kastelen.php?SubMenu=main&amp;SelCastle=treiden&lt;br&gt;&lt;br&gt;455. Turaida (Treiden)&lt;br&gt;Country: Latvia&lt;br&gt;Region: &lt;br&gt;Place: Turaida</t>
  </si>
  <si>
    <t xml:space="preserve">&lt;b&gt;Spinalonga (Kalidonia)&lt;/b&gt;&lt;br&gt;&lt;br&gt;&lt;img src='http://www.topcastles.com/images/large/spinalonga.jpg' border='0'&gt;&lt;br&gt;&lt;br&gt;Topcastle according to http://www.topcastles.com/kastelen.php?SubMenu=main&amp;SelCastle=spinalonga&lt;br&gt;&lt;br&gt;456. Spinalonga (Kalidonia)&lt;br&gt;Country: Greece&lt;br&gt;Region: Kreta&lt;br&gt;Place: </t>
  </si>
  <si>
    <t xml:space="preserve">&lt;b&gt;Gutenberg&lt;/b&gt;&lt;br&gt;&lt;br&gt;&lt;img src='http://www.topcastles.com/images/large/gutenberg.jpg' border='0'&gt;&lt;br&gt;&lt;br&gt;Topcastle according to http://www.topcastles.com/kastelen.php?SubMenu=main&amp;SelCastle=gutenberg&lt;br&gt;&lt;br&gt;457. Gutenberg&lt;br&gt;Country: Liechtenstein&lt;br&gt;Region: &lt;br&gt;Place: </t>
  </si>
  <si>
    <t>&lt;b&gt;Castello del Buonconsiglio&lt;/b&gt;&lt;br&gt;&lt;br&gt;&lt;img src='http://www.topcastles.com/images/large/buonconsiglio.jpg' border='0'&gt;&lt;br&gt;&lt;br&gt;Topcastle according to http://www.topcastles.com/kastelen.php?SubMenu=main&amp;SelCastle=buonconsiglio&lt;br&gt;&lt;br&gt;458. Castello del Buonconsiglio&lt;br&gt;Country: Italy&lt;br&gt;Region: Trento (Zuid-Tirol, Trentino)&lt;br&gt;Place: Trento</t>
  </si>
  <si>
    <t xml:space="preserve">&lt;b&gt;Waldeck&lt;/b&gt;&lt;br&gt;&lt;br&gt;&lt;img src='http://www.topcastles.com/images/large/waldeck.jpg' border='0'&gt;&lt;br&gt;&lt;br&gt;Topcastle according to http://www.topcastles.com/kastelen.php?SubMenu=main&amp;SelCastle=waldeck&lt;br&gt;&lt;br&gt;459. Waldeck&lt;br&gt;Country: France&lt;br&gt;Region: Elzas (Alsace)&lt;br&gt;Place: </t>
  </si>
  <si>
    <t>&lt;b&gt;Le Mura di Montagnana (Castello di San Zeno, Rocca degli Alberi)&lt;/b&gt;&lt;br&gt;&lt;br&gt;&lt;img src='http://www.topcastles.com/images/large/montagnana.jpg' border='0'&gt;&lt;br&gt;&lt;br&gt;Topcastle according to http://www.topcastles.com/kastelen.php?SubMenu=main&amp;SelCastle=montagnana&lt;br&gt;&lt;br&gt;460. Le Mura di Montagnana (Castello di San Zeno, Rocca degli Alberi)&lt;br&gt;Country: Italy&lt;br&gt;Region: Emilia-Romagna&lt;br&gt;Place: Montagnana</t>
  </si>
  <si>
    <t xml:space="preserve">&lt;b&gt;Stari grad Ribnik (Razbor)&lt;/b&gt;&lt;br&gt;&lt;br&gt;&lt;img src='http://www.topcastles.com/images/large/ribnik.jpg' border='0'&gt;&lt;br&gt;&lt;br&gt;Topcastle according to http://www.topcastles.com/kastelen.php?SubMenu=main&amp;SelCastle=ribnik&lt;br&gt;&lt;br&gt;461. Stari grad Ribnik (Razbor)&lt;br&gt;Country: Croatia&lt;br&gt;Region: &lt;br&gt;Place: </t>
  </si>
  <si>
    <t xml:space="preserve">&lt;b&gt;Schloss Borl (Ankenstein)&lt;/b&gt;&lt;br&gt;&lt;br&gt;&lt;img src='http://www.topcastles.com/images/large/borl.jpg' border='0'&gt;&lt;br&gt;&lt;br&gt;Topcastle according to http://www.topcastles.com/kastelen.php?SubMenu=main&amp;SelCastle=borl&lt;br&gt;&lt;br&gt;462. Schloss Borl (Ankenstein)&lt;br&gt;Country: Slovenia&lt;br&gt;Region: Ptujsko Polje&lt;br&gt;Place: </t>
  </si>
  <si>
    <t>&lt;b&gt;Burg Bernstein&lt;/b&gt;&lt;br&gt;&lt;br&gt;&lt;img src='http://www.topcastles.com/images/large/bernstein.jpg' border='0'&gt;&lt;br&gt;&lt;br&gt;Topcastle according to http://www.topcastles.com/kastelen.php?SubMenu=main&amp;SelCastle=bernstein&lt;br&gt;&lt;br&gt;463. Burg Bernstein&lt;br&gt;Country: France&lt;br&gt;Region: Elzas (Alsace)&lt;br&gt;Place: Dambach-la-Ville</t>
  </si>
  <si>
    <t xml:space="preserve">&lt;b&gt;Hohenfreyberg&lt;/b&gt;&lt;br&gt;&lt;br&gt;&lt;img src='http://www.topcastles.com/images/large/hohenfreiberg.jpg' border='0'&gt;&lt;br&gt;&lt;br&gt;Topcastle according to http://www.topcastles.com/kastelen.php?SubMenu=main&amp;SelCastle=hohenfreiberg&lt;br&gt;&lt;br&gt;464. Hohenfreyberg&lt;br&gt;Country: Germany&lt;br&gt;Region: Bayern&lt;br&gt;Place: </t>
  </si>
  <si>
    <t xml:space="preserve">&lt;b&gt;Seebenstein&lt;/b&gt;&lt;br&gt;&lt;br&gt;&lt;img src='http://www.topcastles.com/images/large/seebenstein.jpg' border='0'&gt;&lt;br&gt;&lt;br&gt;Topcastle according to http://www.topcastles.com/kastelen.php?SubMenu=main&amp;SelCastle=seebenstein&lt;br&gt;&lt;br&gt;465. Seebenstein&lt;br&gt;Country: Austria&lt;br&gt;Region: Niederöstenreich&lt;br&gt;Place: </t>
  </si>
  <si>
    <t xml:space="preserve">&lt;b&gt;Grad Predjama (Luegg)&lt;/b&gt;&lt;br&gt;&lt;br&gt;&lt;img src='http://www.topcastles.com/images/large/jama.jpg' border='0'&gt;&lt;br&gt;&lt;br&gt;Topcastle according to http://www.topcastles.com/kastelen.php?SubMenu=main&amp;SelCastle=jama&lt;br&gt;&lt;br&gt;466. Grad Predjama (Luegg)&lt;br&gt;Country: Slovenia&lt;br&gt;Region: Notranjsko&lt;br&gt;Place: </t>
  </si>
  <si>
    <t>&lt;b&gt;Burg Falkenstein (Harz, Pansfelde)&lt;/b&gt;&lt;br&gt;&lt;br&gt;&lt;img src='http://www.topcastles.com/images/large/falkensteinharz.jpg' border='0'&gt;&lt;br&gt;&lt;br&gt;Topcastle according to http://www.topcastles.com/kastelen.php?SubMenu=main&amp;SelCastle=falkensteinharz&lt;br&gt;&lt;br&gt;467. Burg Falkenstein (Harz, Pansfelde)&lt;br&gt;Country: Germany&lt;br&gt;Region: Sachsen-Anhalt&lt;br&gt;Place: Pansfelde</t>
  </si>
  <si>
    <t>&lt;b&gt;El Palau-Castell d'Alaquàs&lt;/b&gt;&lt;br&gt;&lt;br&gt;&lt;img src='http://www.topcastles.com/images/large/alacuas.jpg' border='0'&gt;&lt;br&gt;&lt;br&gt;Topcastle according to http://www.topcastles.com/kastelen.php?SubMenu=main&amp;SelCastle=alacuas&lt;br&gt;&lt;br&gt;468. El Palau-Castell d'Alaquàs&lt;br&gt;Country: Spain&lt;br&gt;Region: Valencia&lt;br&gt;Place: Alaquàs</t>
  </si>
  <si>
    <t>&lt;b&gt;Lewes Castle&lt;/b&gt;&lt;br&gt;&lt;br&gt;&lt;img src='http://www.topcastles.com/images/large/lewes.jpg' border='0'&gt;&lt;br&gt;&lt;br&gt;Topcastle according to http://www.topcastles.com/kastelen.php?SubMenu=main&amp;SelCastle=lewes&lt;br&gt;&lt;br&gt;469. Lewes Castle&lt;br&gt;Country: England&lt;br&gt;Region: South East&lt;br&gt;Place: (Surrey)</t>
  </si>
  <si>
    <t>&lt;b&gt;Castillo de Játiva  (Xàtiva)&lt;/b&gt;&lt;br&gt;&lt;br&gt;&lt;img src='http://www.topcastles.com/images/large/jativa.jpg' border='0'&gt;&lt;br&gt;&lt;br&gt;Topcastle according to http://www.topcastles.com/kastelen.php?SubMenu=main&amp;SelCastle=jativa&lt;br&gt;&lt;br&gt;470. Castillo de Játiva  (Xàtiva)&lt;br&gt;Country: Spain&lt;br&gt;Region: Valencia&lt;br&gt;Place: Játiva</t>
  </si>
  <si>
    <t xml:space="preserve">&lt;b&gt;Cetin&lt;/b&gt;&lt;br&gt;&lt;br&gt;&lt;img src='http://www.topcastles.com/images/large/cetin.jpg' border='0'&gt;&lt;br&gt;&lt;br&gt;Topcastle according to http://www.topcastles.com/kastelen.php?SubMenu=main&amp;SelCastle=cetin&lt;br&gt;&lt;br&gt;471. Cetin&lt;br&gt;Country: Croatia&lt;br&gt;Region: &lt;br&gt;Place: </t>
  </si>
  <si>
    <t>&lt;b&gt;Tosterup Slott&lt;/b&gt;&lt;br&gt;&lt;br&gt;&lt;img src='http://www.topcastles.com/images/large/tosterup.jpg' border='0'&gt;&lt;br&gt;&lt;br&gt;Topcastle according to http://www.topcastles.com/kastelen.php?SubMenu=main&amp;SelCastle=tosterup&lt;br&gt;&lt;br&gt;472. Tosterup Slott&lt;br&gt;Country: Sweden&lt;br&gt;Region: Sydsverige (South Sweden)&lt;br&gt;Place:  Tomelilla (Skåne)</t>
  </si>
  <si>
    <t>&lt;b&gt;Alcázar de Alcalá de Guadaira&lt;/b&gt;&lt;br&gt;&lt;br&gt;&lt;img src='http://www.topcastles.com/images/large/guadaira.jpg' border='0'&gt;&lt;br&gt;&lt;br&gt;Topcastle according to http://www.topcastles.com/kastelen.php?SubMenu=main&amp;SelCastle=guadaira&lt;br&gt;&lt;br&gt;473. Alcázar de Alcalá de Guadaira&lt;br&gt;Country: Spain&lt;br&gt;Region: Andalucia&lt;br&gt;Place: Guadaira (Seville)</t>
  </si>
  <si>
    <t>&lt;b&gt;Novigrad&lt;/b&gt;&lt;br&gt;&lt;br&gt;&lt;img src='http://www.topcastles.com/images/large/novigrad.jpg' border='0'&gt;&lt;br&gt;&lt;br&gt;Topcastle according to http://www.topcastles.com/kastelen.php?SubMenu=main&amp;SelCastle=novigrad&lt;br&gt;&lt;br&gt;474. Novigrad&lt;br&gt;Country: Croatia&lt;br&gt;Region: &lt;br&gt;Place: Golubac</t>
  </si>
  <si>
    <t>&lt;b&gt;Braemar Castle&lt;/b&gt;&lt;br&gt;&lt;br&gt;&lt;img src='http://www.topcastles.com/images/large/braemar.jpg' border='0'&gt;&lt;br&gt;&lt;br&gt;Topcastle according to http://www.topcastles.com/kastelen.php?SubMenu=main&amp;SelCastle=braemar&lt;br&gt;&lt;br&gt;475. Braemar Castle&lt;br&gt;Country: Scotland&lt;br&gt;Region: Grampian&lt;br&gt;Place: Braemar (Grampian)</t>
  </si>
  <si>
    <t>&lt;b&gt;Teczyn (Rüdno)&lt;/b&gt;&lt;br&gt;&lt;br&gt;&lt;img src='http://www.topcastles.com/images/large/teczyn.jpg' border='0'&gt;&lt;br&gt;&lt;br&gt;Topcastle according to http://www.topcastles.com/kastelen.php?SubMenu=main&amp;SelCastle=teczyn&lt;br&gt;&lt;br&gt;476. Teczyn (Rüdno)&lt;br&gt;Country: Poland&lt;br&gt;Region: Malopolskie (Lesser Poland)&lt;br&gt;Place: Rudno</t>
  </si>
  <si>
    <t>&lt;b&gt;Rabí Hrad&lt;/b&gt;&lt;br&gt;&lt;br&gt;&lt;img src='http://www.topcastles.com/images/large/rabi.jpg' border='0'&gt;&lt;br&gt;&lt;br&gt;Topcastle according to http://www.topcastles.com/kastelen.php?SubMenu=main&amp;SelCastle=rabi&lt;br&gt;&lt;br&gt;477. Rabí Hrad&lt;br&gt;Country: Czechia&lt;br&gt;Region: Plzen (Pilsen)&lt;br&gt;Place: Rabí (Klatovy)</t>
  </si>
  <si>
    <t>&lt;b&gt;Ravenscraig Castle&lt;/b&gt;&lt;br&gt;&lt;br&gt;&lt;img src='http://www.topcastles.com/images/large/ravenscraig.jpg' border='0'&gt;&lt;br&gt;&lt;br&gt;Topcastle according to http://www.topcastles.com/kastelen.php?SubMenu=main&amp;SelCastle=ravenscraig&lt;br&gt;&lt;br&gt;478. Ravenscraig Castle&lt;br&gt;Country: Scotland&lt;br&gt;Region: Central&lt;br&gt;Place: (Fife)</t>
  </si>
  <si>
    <t>&lt;b&gt;Drum Castle&lt;/b&gt;&lt;br&gt;&lt;br&gt;&lt;img src='http://www.topcastles.com/images/large/drum.jpg' border='0'&gt;&lt;br&gt;&lt;br&gt;Topcastle according to http://www.topcastles.com/kastelen.php?SubMenu=main&amp;SelCastle=drum&lt;br&gt;&lt;br&gt;479. Drum Castle&lt;br&gt;Country: Scotland&lt;br&gt;Region: Grampian&lt;br&gt;Place: (Grampian)</t>
  </si>
  <si>
    <t>&lt;b&gt;Castillo de Ulldecona&lt;/b&gt;&lt;br&gt;&lt;br&gt;&lt;img src='http://www.topcastles.com/images/large/ulldecona.jpg' border='0'&gt;&lt;br&gt;&lt;br&gt;Topcastle according to http://www.topcastles.com/kastelen.php?SubMenu=main&amp;SelCastle=ulldecona&lt;br&gt;&lt;br&gt;480. Castillo de Ulldecona&lt;br&gt;Country: Spain&lt;br&gt;Region: Extremadura&lt;br&gt;Place: Ulldecona</t>
  </si>
  <si>
    <t>&lt;b&gt;Burg Drachenfels&lt;/b&gt;&lt;br&gt;&lt;br&gt;&lt;img src='http://www.topcastles.com/images/large/drachenfels.jpg' border='0'&gt;&lt;br&gt;&lt;br&gt;Topcastle according to http://www.topcastles.com/kastelen.php?SubMenu=main&amp;SelCastle=drachenfels&lt;br&gt;&lt;br&gt;481. Burg Drachenfels&lt;br&gt;Country: Germany&lt;br&gt;Region: Nordrhein-Westfalen&lt;br&gt;Place: Königswinter</t>
  </si>
  <si>
    <t>&lt;b&gt;Agadir Casbah&lt;/b&gt;&lt;br&gt;&lt;br&gt;&lt;img src='http://www.topcastles.com/images/large/agadir.jpg' border='0'&gt;&lt;br&gt;&lt;br&gt;Topcastle according to http://www.topcastles.com/kastelen.php?SubMenu=main&amp;SelCastle=agadir&lt;br&gt;&lt;br&gt;482. Agadir Casbah&lt;br&gt;Country: Morocco&lt;br&gt;Region: &lt;br&gt;Place: Agadir</t>
  </si>
  <si>
    <t>&lt;b&gt;Palanok (Mukachevo)&lt;/b&gt;&lt;br&gt;&lt;br&gt;&lt;img src='http://www.topcastles.com/images/large/palanok.jpg' border='0'&gt;&lt;br&gt;&lt;br&gt;Topcastle according to http://www.topcastles.com/kastelen.php?SubMenu=main&amp;SelCastle=palanok&lt;br&gt;&lt;br&gt;483. Palanok (Mukachevo)&lt;br&gt;Country: Ukraine&lt;br&gt;Region: &lt;br&gt;Place: Mukachevo</t>
  </si>
  <si>
    <t>&lt;b&gt;Castillo de Soutomaior (Sotomayor)&lt;/b&gt;&lt;br&gt;&lt;br&gt;&lt;img src='http://www.topcastles.com/images/large/sotomayor.jpg' border='0'&gt;&lt;br&gt;&lt;br&gt;Topcastle according to http://www.topcastles.com/kastelen.php?SubMenu=main&amp;SelCastle=sotomayor&lt;br&gt;&lt;br&gt;484. Castillo de Soutomaior (Sotomayor)&lt;br&gt;Country: Spain&lt;br&gt;Region: Galicia&lt;br&gt;Place: Soutomaior (Pontevedra)</t>
  </si>
  <si>
    <t>&lt;b&gt;Château des Comtes de Foix &lt;/b&gt;&lt;br&gt;&lt;br&gt;&lt;img src='http://www.topcastles.com/images/large/foixs.jpg' border='0'&gt;&lt;br&gt;&lt;br&gt;Topcastle according to http://www.topcastles.com/kastelen.php?SubMenu=main&amp;SelCastle=foixs&lt;br&gt;&lt;br&gt;485. Château des Comtes de Foix &lt;br&gt;Country: France&lt;br&gt;Region: Midi-Pyrénées&lt;br&gt;Place: Ariege</t>
  </si>
  <si>
    <t>&lt;b&gt;Cetatea Severinului&lt;/b&gt;&lt;br&gt;&lt;br&gt;&lt;img src='http://www.topcastles.com/images/large/severin.jpg' border='0'&gt;&lt;br&gt;&lt;br&gt;Topcastle according to http://www.topcastles.com/kastelen.php?SubMenu=main&amp;SelCastle=severin&lt;br&gt;&lt;br&gt;486. Cetatea Severinului&lt;br&gt;Country: Rumania&lt;br&gt;Region: &lt;br&gt;Place: Turnu Severin</t>
  </si>
  <si>
    <t xml:space="preserve">&lt;b&gt;Baghras (Gaston)&lt;/b&gt;&lt;br&gt;&lt;br&gt;&lt;img src='http://www.topcastles.com/images/large/baghras.jpg' border='0'&gt;&lt;br&gt;&lt;br&gt;Topcastle according to http://www.topcastles.com/kastelen.php?SubMenu=main&amp;SelCastle=baghras&lt;br&gt;&lt;br&gt;487. Baghras (Gaston)&lt;br&gt;Country: Turkey&lt;br&gt;Region: &lt;br&gt;Place: </t>
  </si>
  <si>
    <t>&lt;b&gt;Schloss Sargans (Sarganz)&lt;/b&gt;&lt;br&gt;&lt;br&gt;&lt;img src='http://www.topcastles.com/images/large/sargans.jpg' border='0'&gt;&lt;br&gt;&lt;br&gt;Topcastle according to http://www.topcastles.com/kastelen.php?SubMenu=main&amp;SelCastle=sargans&lt;br&gt;&lt;br&gt;488. Schloss Sargans (Sarganz)&lt;br&gt;Country: Switzerland&lt;br&gt;Region: Ostschweiz&lt;br&gt;Place: ((Kanton St. Gallen)</t>
  </si>
  <si>
    <t>&lt;b&gt;Edessa&lt;/b&gt;&lt;br&gt;&lt;br&gt;&lt;img src='http://www.topcastles.com/images/large/edessa.jpg' border='0'&gt;&lt;br&gt;&lt;br&gt;Topcastle according to http://www.topcastles.com/kastelen.php?SubMenu=main&amp;SelCastle=edessa&lt;br&gt;&lt;br&gt;489. Edessa&lt;br&gt;Country: Turkey&lt;br&gt;Region: Gibenet&lt;br&gt;Place: Urfa</t>
  </si>
  <si>
    <t xml:space="preserve">&lt;b&gt;Kaštel Grobnik&lt;/b&gt;&lt;br&gt;&lt;br&gt;&lt;img src='http://www.topcastles.com/images/large/grobnik.jpg' border='0'&gt;&lt;br&gt;&lt;br&gt;Topcastle according to http://www.topcastles.com/kastelen.php?SubMenu=main&amp;SelCastle=grobnik&lt;br&gt;&lt;br&gt;490. Kaštel Grobnik&lt;br&gt;Country: Croatia&lt;br&gt;Region: &lt;br&gt;Place: </t>
  </si>
  <si>
    <t>&lt;b&gt;St. andrews Castle&lt;/b&gt;&lt;br&gt;&lt;br&gt;&lt;img src='http://www.topcastles.com/images/large/standrews.jpg' border='0'&gt;&lt;br&gt;&lt;br&gt;Topcastle according to http://www.topcastles.com/kastelen.php?SubMenu=main&amp;SelCastle=standrews&lt;br&gt;&lt;br&gt;491. St. andrews Castle&lt;br&gt;Country: Scotland&lt;br&gt;Region: Central&lt;br&gt;Place: (Fife)</t>
  </si>
  <si>
    <t>&lt;b&gt;Schloss Anholt&lt;/b&gt;&lt;br&gt;&lt;br&gt;&lt;img src='http://www.topcastles.com/images/large/anholt.jpg' border='0'&gt;&lt;br&gt;&lt;br&gt;Topcastle according to http://www.topcastles.com/kastelen.php?SubMenu=main&amp;SelCastle=anholt&lt;br&gt;&lt;br&gt;492. Schloss Anholt&lt;br&gt;Country: Germany&lt;br&gt;Region: Nordrhein-Westfalen&lt;br&gt;Place: Isselburg</t>
  </si>
  <si>
    <t>&lt;b&gt;Dunottar Castle&lt;/b&gt;&lt;br&gt;&lt;br&gt;&lt;img src='http://www.topcastles.com/images/large/dunottar.jpg' border='0'&gt;&lt;br&gt;&lt;br&gt;Topcastle according to http://www.topcastles.com/kastelen.php?SubMenu=main&amp;SelCastle=dunottar&lt;br&gt;&lt;br&gt;493. Dunottar Castle&lt;br&gt;Country: Scotland&lt;br&gt;Region: Grampian&lt;br&gt;Place: (Grampian)</t>
  </si>
  <si>
    <t>&lt;b&gt;Caesaria&lt;/b&gt;&lt;br&gt;&lt;br&gt;&lt;img src='http://www.topcastles.com/images/large/caesaria.jpg' border='0'&gt;&lt;br&gt;&lt;br&gt;Topcastle according to http://www.topcastles.com/kastelen.php?SubMenu=main&amp;SelCastle=caesaria&lt;br&gt;&lt;br&gt;494. Caesaria&lt;br&gt;Country: Israel&lt;br&gt;Region: &lt;br&gt;Place: Haifa - Tel Aviv</t>
  </si>
  <si>
    <t xml:space="preserve">&lt;b&gt;Athlone Castle&lt;/b&gt;&lt;br&gt;&lt;br&gt;&lt;img src='http://www.topcastles.com/images/large/athlone.jpg' border='0'&gt;&lt;br&gt;&lt;br&gt;Topcastle according to http://www.topcastles.com/kastelen.php?SubMenu=main&amp;SelCastle=athlone&lt;br&gt;&lt;br&gt;495. Athlone Castle&lt;br&gt;Country: Republic of Ireland&lt;br&gt;Region: Westmeath&lt;br&gt;Place: </t>
  </si>
  <si>
    <t xml:space="preserve">&lt;b&gt;Rajhenburg (Reichenburg)&lt;/b&gt;&lt;br&gt;&lt;br&gt;&lt;img src='http://www.topcastles.com/images/large/rajhenburg.jpg' border='0'&gt;&lt;br&gt;&lt;br&gt;Topcastle according to http://www.topcastles.com/kastelen.php?SubMenu=main&amp;SelCastle=rajhenburg&lt;br&gt;&lt;br&gt;496. Rajhenburg (Reichenburg)&lt;br&gt;Country: Slovenia&lt;br&gt;Region: Zasavje und Posavje&lt;br&gt;Place: </t>
  </si>
  <si>
    <t>&lt;b&gt;Nidzica (Neidenburg)&lt;/b&gt;&lt;br&gt;&lt;br&gt;&lt;img src='http://www.topcastles.com/images/large/nidzica.jpg' border='0'&gt;&lt;br&gt;&lt;br&gt;Topcastle according to http://www.topcastles.com/kastelen.php?SubMenu=main&amp;SelCastle=nidzica&lt;br&gt;&lt;br&gt;497. Nidzica (Neidenburg)&lt;br&gt;Country: Poland&lt;br&gt;Region: Warminsko-Mazursky (Masuria)&lt;br&gt;Place: Nidzica</t>
  </si>
  <si>
    <t>&lt;b&gt;Esztergomi vár (Gran)&lt;/b&gt;&lt;br&gt;&lt;br&gt;&lt;img src='http://www.topcastles.com/images/large/esztergom.jpg' border='0'&gt;&lt;br&gt;&lt;br&gt;Topcastle according to http://www.topcastles.com/kastelen.php?SubMenu=main&amp;SelCastle=esztergom&lt;br&gt;&lt;br&gt;498. Esztergomi vár (Gran)&lt;br&gt;Country: Hungary&lt;br&gt;Region: Közép Magyarország (Central Hungary)&lt;br&gt;Place: Esztergom (Komárom-Esztergom)</t>
  </si>
  <si>
    <t>&lt;b&gt;Château de Rambures &lt;/b&gt;&lt;br&gt;&lt;br&gt;&lt;img src='http://www.topcastles.com/images/large/rambures.jpg' border='0'&gt;&lt;br&gt;&lt;br&gt;Topcastle according to http://www.topcastles.com/kastelen.php?SubMenu=main&amp;SelCastle=rambures&lt;br&gt;&lt;br&gt;499. Château de Rambures &lt;br&gt;Country: France&lt;br&gt;Region: Picardie&lt;br&gt;Place: Rambures</t>
  </si>
  <si>
    <t xml:space="preserve">&lt;b&gt;Denbigh Castle&lt;/b&gt;&lt;br&gt;&lt;br&gt;&lt;img src='http://www.topcastles.com/images/large/denbigh.jpg' border='0'&gt;&lt;br&gt;&lt;br&gt;Topcastle according to http://www.topcastles.com/kastelen.php?SubMenu=main&amp;SelCastle=denbigh&lt;br&gt;&lt;br&gt;500. Denbigh Castle&lt;br&gt;Country: Wales&lt;br&gt;Region: Clwyd&lt;br&gt;Place: </t>
  </si>
  <si>
    <t>&lt;b&gt;Dumbartin Castle&lt;/b&gt;&lt;br&gt;&lt;br&gt;&lt;img src='http://www.topcastles.com/images/large/dumbartin.jpg' border='0'&gt;&lt;br&gt;&lt;br&gt;Topcastle according to http://www.topcastles.com/kastelen.php?SubMenu=main&amp;SelCastle=dumbartin&lt;br&gt;&lt;br&gt;501. Dumbartin Castle&lt;br&gt;Country: Scotland&lt;br&gt;Region: Central&lt;br&gt;Place: (Strathclyde)</t>
  </si>
  <si>
    <t xml:space="preserve">&lt;b&gt;Scarborough Castle&lt;/b&gt;&lt;br&gt;&lt;br&gt;&lt;img src='http://www.topcastles.com/images/large/scarborough.jpg' border='0'&gt;&lt;br&gt;&lt;br&gt;Topcastle according to http://www.topcastles.com/kastelen.php?SubMenu=main&amp;SelCastle=scarborough&lt;br&gt;&lt;br&gt;502. Scarborough Castle&lt;br&gt;Country: England&lt;br&gt;Region: Yorkshire and Humber&lt;br&gt;Place: </t>
  </si>
  <si>
    <t>&lt;b&gt;Reichenberg (Hessen)&lt;/b&gt;&lt;br&gt;&lt;br&gt;&lt;img src='http://www.topcastles.com/images/large/reichenberg.jpg' border='0'&gt;&lt;br&gt;&lt;br&gt;Topcastle according to http://www.topcastles.com/kastelen.php?SubMenu=main&amp;SelCastle=reichenberg&lt;br&gt;&lt;br&gt;503. Reichenberg (Hessen)&lt;br&gt;Country: Germany&lt;br&gt;Region: Hessen&lt;br&gt;Place: (Wiesbaden)</t>
  </si>
  <si>
    <t>&lt;b&gt;Schauenburg&lt;/b&gt;&lt;br&gt;&lt;br&gt;&lt;img src='http://www.topcastles.com/images/large/schauenburg.jpg' border='0'&gt;&lt;br&gt;&lt;br&gt;Topcastle according to http://www.topcastles.com/kastelen.php?SubMenu=main&amp;SelCastle=schauenburg&lt;br&gt;&lt;br&gt;504. Schauenburg&lt;br&gt;Country: Germany&lt;br&gt;Region: Baden-Würtenberg&lt;br&gt;Place: (Schwartzwald)</t>
  </si>
  <si>
    <t>&lt;b&gt;Frankenstein&lt;/b&gt;&lt;br&gt;&lt;br&gt;&lt;img src='http://www.topcastles.com/images/large/frankenstein.jpg' border='0'&gt;&lt;br&gt;&lt;br&gt;Topcastle according to http://www.topcastles.com/kastelen.php?SubMenu=main&amp;SelCastle=frankenstein&lt;br&gt;&lt;br&gt;505. Frankenstein&lt;br&gt;Country: Germany&lt;br&gt;Region: Rheinland-Pfalz&lt;br&gt;Place: Mühltal</t>
  </si>
  <si>
    <t>&lt;b&gt;Velhartice (Welhartitz)&lt;/b&gt;&lt;br&gt;&lt;br&gt;&lt;img src='http://www.topcastles.com/images/large/welhartitz.jpg' border='0'&gt;&lt;br&gt;&lt;br&gt;Topcastle according to http://www.topcastles.com/kastelen.php?SubMenu=main&amp;SelCastle=welhartitz&lt;br&gt;&lt;br&gt;506. Velhartice (Welhartitz)&lt;br&gt;Country: Czechia&lt;br&gt;Region: Plzen (Pilsen)&lt;br&gt;Place: Velhartice</t>
  </si>
  <si>
    <t>&lt;b&gt;Hrad Švihov (Schwihau)&lt;/b&gt;&lt;br&gt;&lt;br&gt;&lt;img src='http://www.topcastles.com/images/large/svihov.jpg' border='0'&gt;&lt;br&gt;&lt;br&gt;Topcastle according to http://www.topcastles.com/kastelen.php?SubMenu=main&amp;SelCastle=svihov&lt;br&gt;&lt;br&gt;507. Hrad Švihov (Schwihau)&lt;br&gt;Country: Czechia&lt;br&gt;Region: Jiho Ceský (Südböhmen)&lt;br&gt;Place: Švihov</t>
  </si>
  <si>
    <t xml:space="preserve">&lt;b&gt;Hrad Landštejn&lt;/b&gt;&lt;br&gt;&lt;br&gt;&lt;img src='http://www.topcastles.com/images/large/landstejn.jpg' border='0'&gt;&lt;br&gt;&lt;br&gt;Topcastle according to http://www.topcastles.com/kastelen.php?SubMenu=main&amp;SelCastle=landstejn&lt;br&gt;&lt;br&gt;508. Hrad Landštejn&lt;br&gt;Country: Czechia&lt;br&gt;Region: Jiho Ceský (Südböhmen)&lt;br&gt;Place: </t>
  </si>
  <si>
    <t xml:space="preserve">&lt;b&gt;Landskron&lt;/b&gt;&lt;br&gt;&lt;br&gt;&lt;img src='http://www.topcastles.com/images/large/landskron.jpg' border='0'&gt;&lt;br&gt;&lt;br&gt;Topcastle according to http://www.topcastles.com/kastelen.php?SubMenu=main&amp;SelCastle=landskron&lt;br&gt;&lt;br&gt;509. Landskron&lt;br&gt;Country: Austria&lt;br&gt;Region: Kärnten&lt;br&gt;Place: </t>
  </si>
  <si>
    <t>&lt;b&gt;Burg Nürburg&lt;/b&gt;&lt;br&gt;&lt;br&gt;&lt;img src='http://www.topcastles.com/images/large/nurburg.jpg' border='0'&gt;&lt;br&gt;&lt;br&gt;Topcastle according to http://www.topcastles.com/kastelen.php?SubMenu=main&amp;SelCastle=nurburg&lt;br&gt;&lt;br&gt;510. Burg Nürburg&lt;br&gt;Country: Germany&lt;br&gt;Region: Rheinland-Pfalz&lt;br&gt;Place: Nürburg</t>
  </si>
  <si>
    <t>&lt;b&gt;Frombork (Frauenburg)&lt;/b&gt;&lt;br&gt;&lt;br&gt;&lt;img src='http://www.topcastles.com/images/large/frombork.jpg' border='0'&gt;&lt;br&gt;&lt;br&gt;Topcastle according to http://www.topcastles.com/kastelen.php?SubMenu=main&amp;SelCastle=frombork&lt;br&gt;&lt;br&gt;511. Frombork (Frauenburg)&lt;br&gt;Country: Poland&lt;br&gt;Region: Pomorsky (Pomerania, Pommern)&lt;br&gt;Place: Frombork</t>
  </si>
  <si>
    <t>&lt;b&gt;Château de Quéribus&lt;/b&gt;&lt;br&gt;&lt;br&gt;&lt;img src='http://www.topcastles.com/images/large/queribus.jpg' border='0'&gt;&lt;br&gt;&lt;br&gt;Topcastle according to http://www.topcastles.com/kastelen.php?SubMenu=main&amp;SelCastle=queribus&lt;br&gt;&lt;br&gt;512. Château de Quéribus&lt;br&gt;Country: France&lt;br&gt;Region: Languedoc-Roussillon&lt;br&gt;Place: Cucugnan</t>
  </si>
  <si>
    <t xml:space="preserve">&lt;b&gt;Burg Fleckenstein&lt;/b&gt;&lt;br&gt;&lt;br&gt;&lt;img src='http://www.topcastles.com/images/large/fleckenstein.jpg' border='0'&gt;&lt;br&gt;&lt;br&gt;Topcastle according to http://www.topcastles.com/kastelen.php?SubMenu=main&amp;SelCastle=fleckenstein&lt;br&gt;&lt;br&gt;513. Burg Fleckenstein&lt;br&gt;Country: France&lt;br&gt;Region: Elzas (Alsace)&lt;br&gt;Place: </t>
  </si>
  <si>
    <t xml:space="preserve">&lt;b&gt;Schloss Tratzberg&lt;/b&gt;&lt;br&gt;&lt;br&gt;&lt;img src='http://www.topcastles.com/images/large/tratzberg.jpg' border='0'&gt;&lt;br&gt;&lt;br&gt;Topcastle according to http://www.topcastles.com/kastelen.php?SubMenu=main&amp;SelCastle=tratzberg&lt;br&gt;&lt;br&gt;514. Schloss Tratzberg&lt;br&gt;Country: Austria&lt;br&gt;Region: Tirol&lt;br&gt;Place: </t>
  </si>
  <si>
    <t xml:space="preserve">&lt;b&gt;Kidwelly Castle (Cydweli)&lt;/b&gt;&lt;br&gt;&lt;br&gt;&lt;img src='http://www.topcastles.com/images/large/kidwelly.jpg' border='0'&gt;&lt;br&gt;&lt;br&gt;Topcastle according to http://www.topcastles.com/kastelen.php?SubMenu=main&amp;SelCastle=kidwelly&lt;br&gt;&lt;br&gt;515. Kidwelly Castle (Cydweli)&lt;br&gt;Country: Wales&lt;br&gt;Region: Dyfed&lt;br&gt;Place: </t>
  </si>
  <si>
    <t>&lt;b&gt;Castillo de Consuegra&lt;/b&gt;&lt;br&gt;&lt;br&gt;&lt;img src='http://www.topcastles.com/images/large/consuegra.jpg' border='0'&gt;&lt;br&gt;&lt;br&gt;Topcastle according to http://www.topcastles.com/kastelen.php?SubMenu=main&amp;SelCastle=consuegra&lt;br&gt;&lt;br&gt;516. Castillo de Consuegra&lt;br&gt;Country: Spain&lt;br&gt;Region: Castilla-La Mancha&lt;br&gt;Place: Consuegra</t>
  </si>
  <si>
    <t xml:space="preserve">&lt;b&gt;Burg Drachenfels&lt;/b&gt;&lt;br&gt;&lt;br&gt;&lt;img src='http://www.topcastles.com/images/large/drachenfelspfaltz.jpg' border='0'&gt;&lt;br&gt;&lt;br&gt;Topcastle according to http://www.topcastles.com/kastelen.php?SubMenu=main&amp;SelCastle=drachenfelspfaltz&lt;br&gt;&lt;br&gt;517. Burg Drachenfels&lt;br&gt;Country: Germany&lt;br&gt;Region: Rheinland-Pfalz&lt;br&gt;Place: </t>
  </si>
  <si>
    <t xml:space="preserve">&lt;b&gt;Grad Celje (Cilli)&lt;/b&gt;&lt;br&gt;&lt;br&gt;&lt;img src='http://www.topcastles.com/images/large/delje.jpg' border='0'&gt;&lt;br&gt;&lt;br&gt;Topcastle according to http://www.topcastles.com/kastelen.php?SubMenu=main&amp;SelCastle=delje&lt;br&gt;&lt;br&gt;518. Grad Celje (Cilli)&lt;br&gt;Country: Slovenia&lt;br&gt;Region: Štajerska (Untersteiermark, Lower Styria)&lt;br&gt;Place: </t>
  </si>
  <si>
    <t>&lt;b&gt;Eckartsburg (Eckartsberga)&lt;/b&gt;&lt;br&gt;&lt;br&gt;&lt;img src='http://www.topcastles.com/images/large/eckartsburg.jpg' border='0'&gt;&lt;br&gt;&lt;br&gt;Topcastle according to http://www.topcastles.com/kastelen.php?SubMenu=main&amp;SelCastle=eckartsburg&lt;br&gt;&lt;br&gt;519. Eckartsburg (Eckartsberga)&lt;br&gt;Country: Germany&lt;br&gt;Region: Sachsen-Anhalt&lt;br&gt;Place: Eckartsberga</t>
  </si>
  <si>
    <t>&lt;b&gt;Skutari (Shkodra)&lt;/b&gt;&lt;br&gt;&lt;br&gt;&lt;img src='http://www.topcastles.com/images/large/skutari.jpg' border='0'&gt;&lt;br&gt;&lt;br&gt;Topcastle according to http://www.topcastles.com/kastelen.php?SubMenu=main&amp;SelCastle=skutari&lt;br&gt;&lt;br&gt;520. Skutari (Shkodra)&lt;br&gt;Country: Albania&lt;br&gt;Region: Shkodra&lt;br&gt;Place: Shkodra</t>
  </si>
  <si>
    <t>&lt;b&gt;Palamidi (Nafplion, Napoli di Romania)&lt;/b&gt;&lt;br&gt;&lt;br&gt;&lt;img src='http://www.topcastles.com/images/large/nauplia.jpg' border='0'&gt;&lt;br&gt;&lt;br&gt;Topcastle according to http://www.topcastles.com/kastelen.php?SubMenu=main&amp;SelCastle=nauplia&lt;br&gt;&lt;br&gt;521. Palamidi (Nafplion, Napoli di Romania)&lt;br&gt;Country: Greece&lt;br&gt;Region: Peloponnisos&lt;br&gt;Place: Nafplion (Nauplia)</t>
  </si>
  <si>
    <t>&lt;b&gt;Mistra&lt;/b&gt;&lt;br&gt;&lt;br&gt;&lt;img src='http://www.topcastles.com/images/large/mistra.jpg' border='0'&gt;&lt;br&gt;&lt;br&gt;Topcastle according to http://www.topcastles.com/kastelen.php?SubMenu=main&amp;SelCastle=mistra&lt;br&gt;&lt;br&gt;522. Mistra&lt;br&gt;Country: Greece&lt;br&gt;Region: Peloponnisos&lt;br&gt;Place: Sparta</t>
  </si>
  <si>
    <t xml:space="preserve">&lt;b&gt;Dvorac Pazin (Mitterburg, Montecuccoli)&lt;/b&gt;&lt;br&gt;&lt;br&gt;&lt;img src='http://www.topcastles.com/images/large/pazin.jpg' border='0'&gt;&lt;br&gt;&lt;br&gt;Topcastle according to http://www.topcastles.com/kastelen.php?SubMenu=main&amp;SelCastle=pazin&lt;br&gt;&lt;br&gt;523. Dvorac Pazin (Mitterburg, Montecuccoli)&lt;br&gt;Country: Croatia&lt;br&gt;Region: Istria&lt;br&gt;Place: </t>
  </si>
  <si>
    <t>&lt;b&gt;Château de Beynac&lt;/b&gt;&lt;br&gt;&lt;br&gt;&lt;img src='http://www.topcastles.com/images/large/beynac.jpg' border='0'&gt;&lt;br&gt;&lt;br&gt;Topcastle according to http://www.topcastles.com/kastelen.php?SubMenu=main&amp;SelCastle=beynac&lt;br&gt;&lt;br&gt;524. Château de Beynac&lt;br&gt;Country: France&lt;br&gt;Region: Aquitaine&lt;br&gt;Place: Beynac et Cazenac</t>
  </si>
  <si>
    <t xml:space="preserve">&lt;b&gt;Château de Beaufort&lt;/b&gt;&lt;br&gt;&lt;br&gt;&lt;img src='http://www.topcastles.com/images/large/beaufortlux.jpg' border='0'&gt;&lt;br&gt;&lt;br&gt;Topcastle according to http://www.topcastles.com/kastelen.php?SubMenu=main&amp;SelCastle=beaufortlux&lt;br&gt;&lt;br&gt;525. Château de Beaufort&lt;br&gt;Country: Luxemburg&lt;br&gt;Region: &lt;br&gt;Place: </t>
  </si>
  <si>
    <t>&lt;b&gt;Burg Brömserburg (Niederburg)&lt;/b&gt;&lt;br&gt;&lt;br&gt;&lt;img src='http://www.topcastles.com/images/large/bromserburg.jpg' border='0'&gt;&lt;br&gt;&lt;br&gt;Topcastle according to http://www.topcastles.com/kastelen.php?SubMenu=main&amp;SelCastle=bromserburg&lt;br&gt;&lt;br&gt;526. Burg Brömserburg (Niederburg)&lt;br&gt;Country: Germany&lt;br&gt;Region: Hessen&lt;br&gt;Place: Rüdesheim</t>
  </si>
  <si>
    <t>&lt;b&gt;Örebro Slott&lt;/b&gt;&lt;br&gt;&lt;br&gt;&lt;img src='http://www.topcastles.com/images/large/orebro.jpg' border='0'&gt;&lt;br&gt;&lt;br&gt;Topcastle according to http://www.topcastles.com/kastelen.php?SubMenu=main&amp;SelCastle=orebro&lt;br&gt;&lt;br&gt;527. Örebro Slott&lt;br&gt;Country: Sweden&lt;br&gt;Region: Östra Mellansverige (East Middle Sweden)&lt;br&gt;Place: Örebro</t>
  </si>
  <si>
    <t>&lt;b&gt;Château d'Étampes&lt;/b&gt;&lt;br&gt;&lt;br&gt;&lt;img src='http://www.topcastles.com/images/large/etampes.jpg' border='0'&gt;&lt;br&gt;&lt;br&gt;Topcastle according to http://www.topcastles.com/kastelen.php?SubMenu=main&amp;SelCastle=etampes&lt;br&gt;&lt;br&gt;528. Château d'Étampes&lt;br&gt;Country: France&lt;br&gt;Region: Ile-de-France&lt;br&gt;Place: Etampes</t>
  </si>
  <si>
    <t>Pawlowo (Lochstädt)</t>
  </si>
  <si>
    <t>&lt;b&gt;Pawlowo (Lochstädt)&lt;/b&gt;&lt;br&gt;&lt;br&gt;&lt;img src='http://www.topcastles.com/images/large/lochstadt.jpg' border='0'&gt;&lt;br&gt;&lt;br&gt;Topcastle according to http://www.topcastles.com/kastelen.php?SubMenu=main&amp;SelCastle=lochstadt&lt;br&gt;&lt;br&gt;529. Pawlowo (Lochstädt)&lt;br&gt;Country: Russia&lt;br&gt;Region: Pawlowo &lt;br&gt;Place: Kaliningrad</t>
  </si>
  <si>
    <t>&lt;b&gt;Citadel Quait-Bay&lt;/b&gt;&lt;br&gt;&lt;br&gt;&lt;img src='http://www.topcastles.com/images/large/quaitbay.jpg' border='0'&gt;&lt;br&gt;&lt;br&gt;Topcastle according to http://www.topcastles.com/kastelen.php?SubMenu=main&amp;SelCastle=quaitbay&lt;br&gt;&lt;br&gt;530. Citadel Quait-Bay&lt;br&gt;Country: Egypt&lt;br&gt;Region: &lt;br&gt;Place: Alexandrië</t>
  </si>
  <si>
    <t>&lt;b&gt;Burg Hornberg am Neckar (Götzenburg)&lt;/b&gt;&lt;br&gt;&lt;br&gt;&lt;img src='http://www.topcastles.com/images/large/hornberg.jpg' border='0'&gt;&lt;br&gt;&lt;br&gt;Topcastle according to http://www.topcastles.com/kastelen.php?SubMenu=main&amp;SelCastle=hornberg&lt;br&gt;&lt;br&gt;531. Burg Hornberg am Neckar (Götzenburg)&lt;br&gt;Country: Germany&lt;br&gt;Region: Baden-Würtenberg&lt;br&gt;Place: Neckarzimmern</t>
  </si>
  <si>
    <t xml:space="preserve">&lt;b&gt;Burg Hardegg&lt;/b&gt;&lt;br&gt;&lt;br&gt;&lt;img src='http://www.topcastles.com/images/large/hardegg.jpg' border='0'&gt;&lt;br&gt;&lt;br&gt;Topcastle according to http://www.topcastles.com/kastelen.php?SubMenu=main&amp;SelCastle=hardegg&lt;br&gt;&lt;br&gt;532. Burg Hardegg&lt;br&gt;Country: Austria&lt;br&gt;Region: Niederöstenreich&lt;br&gt;Place: </t>
  </si>
  <si>
    <t>&lt;b&gt;Castello dalle Rosse Torri (Ivrea)&lt;/b&gt;&lt;br&gt;&lt;br&gt;&lt;img src='http://www.topcastles.com/images/large/ivrea.jpg' border='0'&gt;&lt;br&gt;&lt;br&gt;Topcastle according to http://www.topcastles.com/kastelen.php?SubMenu=main&amp;SelCastle=ivrea&lt;br&gt;&lt;br&gt;533. Castello dalle Rosse Torri (Ivrea)&lt;br&gt;Country: Italy&lt;br&gt;Region: Lombardije (Lombardia)&lt;br&gt;Place: Ivrea</t>
  </si>
  <si>
    <t xml:space="preserve">&lt;b&gt;Castel Boymont (Boimont)&lt;/b&gt;&lt;br&gt;&lt;br&gt;&lt;img src='http://www.topcastles.com/images/large/boymont.jpg' border='0'&gt;&lt;br&gt;&lt;br&gt;Topcastle according to http://www.topcastles.com/kastelen.php?SubMenu=main&amp;SelCastle=boymont&lt;br&gt;&lt;br&gt;534. Castel Boymont (Boimont)&lt;br&gt;Country: Italy&lt;br&gt;Region: Trento (Zuid-Tirol, Trentino)&lt;br&gt;Place: </t>
  </si>
  <si>
    <t xml:space="preserve">&lt;b&gt;Bender (Citatea Tighina)&lt;/b&gt;&lt;br&gt;&lt;br&gt;&lt;img src='http://www.topcastles.com/images/large/tighina.jpg' border='0'&gt;&lt;br&gt;&lt;br&gt;Topcastle according to http://www.topcastles.com/kastelen.php?SubMenu=main&amp;SelCastle=tighina&lt;br&gt;&lt;br&gt;535. Bender (Citatea Tighina)&lt;br&gt;Country: Moldova&lt;br&gt;Region: &lt;br&gt;Place: </t>
  </si>
  <si>
    <t xml:space="preserve">&lt;b&gt;Grad Prem&lt;/b&gt;&lt;br&gt;&lt;br&gt;&lt;img src='http://www.topcastles.com/images/large/prem.jpg' border='0'&gt;&lt;br&gt;&lt;br&gt;Topcastle according to http://www.topcastles.com/kastelen.php?SubMenu=main&amp;SelCastle=prem&lt;br&gt;&lt;br&gt;536. Grad Prem&lt;br&gt;Country: Slovenia&lt;br&gt;Region: Notranjsko&lt;br&gt;Place: </t>
  </si>
  <si>
    <t>&lt;b&gt;Castello Scaligero (Malcesine)&lt;/b&gt;&lt;br&gt;&lt;br&gt;&lt;img src='http://www.topcastles.com/images/large/malcesine.jpg' border='0'&gt;&lt;br&gt;&lt;br&gt;Topcastle according to http://www.topcastles.com/kastelen.php?SubMenu=main&amp;SelCastle=malcesine&lt;br&gt;&lt;br&gt;537. Castello Scaligero (Malcesine)&lt;br&gt;Country: Italy&lt;br&gt;Region: Veneto (Venetia)&lt;br&gt;Place: Malcesine</t>
  </si>
  <si>
    <t>&lt;b&gt;Slot Loevestein&lt;/b&gt;&lt;br&gt;&lt;br&gt;&lt;img src='http://www.topcastles.com/images/large/loevestein.jpg' border='0'&gt;&lt;br&gt;&lt;br&gt;Topcastle according to http://www.topcastles.com/kastelen.php?SubMenu=main&amp;SelCastle=loevestein&lt;br&gt;&lt;br&gt;538. Slot Loevestein&lt;br&gt;Country: Netherlands&lt;br&gt;Region: Gelderland&lt;br&gt;Place: Woudrichem</t>
  </si>
  <si>
    <t>&lt;b&gt;Rheinpfalz Hardenburg&lt;/b&gt;&lt;br&gt;&lt;br&gt;&lt;img src='http://www.topcastles.com/images/large/hartenburg.jpg' border='0'&gt;&lt;br&gt;&lt;br&gt;Topcastle according to http://www.topcastles.com/kastelen.php?SubMenu=main&amp;SelCastle=hartenburg&lt;br&gt;&lt;br&gt;539. Rheinpfalz Hardenburg&lt;br&gt;Country: Germany&lt;br&gt;Region: Rheinland-Pfalz&lt;br&gt;Place: Bad Dürkheim</t>
  </si>
  <si>
    <t>&lt;b&gt;Carreg Cennen Castle&lt;/b&gt;&lt;br&gt;&lt;br&gt;&lt;img src='http://www.topcastles.com/images/large/carregcennen.jpg' border='0'&gt;&lt;br&gt;&lt;br&gt;Topcastle according to http://www.topcastles.com/kastelen.php?SubMenu=main&amp;SelCastle=carregcennen&lt;br&gt;&lt;br&gt;540. Carreg Cennen Castle&lt;br&gt;Country: Wales&lt;br&gt;Region: Dyfed&lt;br&gt;Place: (Carmarthenshire)</t>
  </si>
  <si>
    <t xml:space="preserve">&lt;b&gt;Kaunas&lt;/b&gt;&lt;br&gt;&lt;br&gt;&lt;img src='http://www.topcastles.com/images/large/kaunas.jpg' border='0'&gt;&lt;br&gt;&lt;br&gt;Topcastle according to http://www.topcastles.com/kastelen.php?SubMenu=main&amp;SelCastle=kaunas&lt;br&gt;&lt;br&gt;541. Kaunas&lt;br&gt;Country: Lithuania&lt;br&gt;Region: &lt;br&gt;Place: </t>
  </si>
  <si>
    <t>&lt;b&gt;Swiny  (Schweinhaus)&lt;/b&gt;&lt;br&gt;&lt;br&gt;&lt;img src='http://www.topcastles.com/images/large/swiny.jpg' border='0'&gt;&lt;br&gt;&lt;br&gt;Topcastle according to http://www.topcastles.com/kastelen.php?SubMenu=main&amp;SelCastle=swiny&lt;br&gt;&lt;br&gt;542. Swiny  (Schweinhaus)&lt;br&gt;Country: Poland&lt;br&gt;Region: Dolnoslaskie (Silesia Inferior, Nederschlesien)&lt;br&gt;Place: Swiny</t>
  </si>
  <si>
    <t>&lt;b&gt;Durham Castle&lt;/b&gt;&lt;br&gt;&lt;br&gt;&lt;img src='http://www.topcastles.com/images/large/durham.jpg' border='0'&gt;&lt;br&gt;&lt;br&gt;Topcastle according to http://www.topcastles.com/kastelen.php?SubMenu=main&amp;SelCastle=durham&lt;br&gt;&lt;br&gt;543. Durham Castle&lt;br&gt;Country: England&lt;br&gt;Region: North East&lt;br&gt;Place: (Durham)</t>
  </si>
  <si>
    <t>&lt;b&gt;Valencia de Don Juan&lt;/b&gt;&lt;br&gt;&lt;br&gt;&lt;img src='http://www.topcastles.com/images/large/valencia.jpg' border='0'&gt;&lt;br&gt;&lt;br&gt;Topcastle according to http://www.topcastles.com/kastelen.php?SubMenu=main&amp;SelCastle=valencia&lt;br&gt;&lt;br&gt;544. Valencia de Don Juan&lt;br&gt;Country: Spain&lt;br&gt;Region: Castilla y León&lt;br&gt;Place: Valencia de Don Juan (León)</t>
  </si>
  <si>
    <t>&lt;b&gt;Château de Grandson&lt;/b&gt;&lt;br&gt;&lt;br&gt;&lt;img src='http://www.topcastles.com/images/large/grandson.jpg' border='0'&gt;&lt;br&gt;&lt;br&gt;Topcastle according to http://www.topcastles.com/kastelen.php?SubMenu=main&amp;SelCastle=grandson&lt;br&gt;&lt;br&gt;545. Château de Grandson&lt;br&gt;Country: Switzerland&lt;br&gt;Region: Genfersee&lt;br&gt;Place: Grandson (Kanton Vaud)</t>
  </si>
  <si>
    <t>&lt;b&gt;Greyerz (Château de Gruyeres)&lt;/b&gt;&lt;br&gt;&lt;br&gt;&lt;img src='http://www.topcastles.com/images/large/gruyeres.jpg' border='0'&gt;&lt;br&gt;&lt;br&gt;Topcastle according to http://www.topcastles.com/kastelen.php?SubMenu=main&amp;SelCastle=gruyeres&lt;br&gt;&lt;br&gt;546. Greyerz (Château de Gruyeres)&lt;br&gt;Country: Switzerland&lt;br&gt;Region: Genfersee&lt;br&gt;Place: Gruyeres (Kanton Fribourg)</t>
  </si>
  <si>
    <t xml:space="preserve">&lt;b&gt;Hirosaki&lt;/b&gt;&lt;br&gt;&lt;br&gt;&lt;img src='http://www.topcastles.com/images/large/hirosaki.jpg' border='0'&gt;&lt;br&gt;&lt;br&gt;Topcastle according to http://www.topcastles.com/kastelen.php?SubMenu=main&amp;SelCastle=hirosaki&lt;br&gt;&lt;br&gt;547. Hirosaki&lt;br&gt;Country: Japan&lt;br&gt;Region: &lt;br&gt;Place: </t>
  </si>
  <si>
    <t>&lt;b&gt;Reszel (Rössel)&lt;/b&gt;&lt;br&gt;&lt;br&gt;&lt;img src='http://www.topcastles.com/images/large/reszel.jpg' border='0'&gt;&lt;br&gt;&lt;br&gt;Topcastle according to http://www.topcastles.com/kastelen.php?SubMenu=main&amp;SelCastle=reszel&lt;br&gt;&lt;br&gt;548. Reszel (Rössel)&lt;br&gt;Country: Poland&lt;br&gt;Region: Warminsko-Mazursky (Masuria)&lt;br&gt;Place: Zabkowice Slaskie</t>
  </si>
  <si>
    <t xml:space="preserve">&lt;b&gt;Grad Bizeljsko (Wisell)&lt;/b&gt;&lt;br&gt;&lt;br&gt;&lt;img src='http://www.topcastles.com/images/large/bizelsjko.jpg' border='0'&gt;&lt;br&gt;&lt;br&gt;Topcastle according to http://www.topcastles.com/kastelen.php?SubMenu=main&amp;SelCastle=bizelsjko&lt;br&gt;&lt;br&gt;549. Grad Bizeljsko (Wisell)&lt;br&gt;Country: Slovenia&lt;br&gt;Region: Štajerska (Untersteiermark, Lower Styria)&lt;br&gt;Place: </t>
  </si>
  <si>
    <t>&lt;b&gt;Palazzo Vecchio&lt;/b&gt;&lt;br&gt;&lt;br&gt;&lt;img src='http://www.topcastles.com/images/large/palazzovecchio.jpg' border='0'&gt;&lt;br&gt;&lt;br&gt;Topcastle according to http://www.topcastles.com/kastelen.php?SubMenu=main&amp;SelCastle=palazzovecchio&lt;br&gt;&lt;br&gt;550. Palazzo Vecchio&lt;br&gt;Country: Italy&lt;br&gt;Region: Toscane (Toscana)&lt;br&gt;Place: Florence (Firenze)</t>
  </si>
  <si>
    <t>&lt;b&gt;Sween Castle&lt;/b&gt;&lt;br&gt;&lt;br&gt;&lt;img src='http://www.topcastles.com/images/large/sween.jpg' border='0'&gt;&lt;br&gt;&lt;br&gt;Topcastle according to http://www.topcastles.com/kastelen.php?SubMenu=main&amp;SelCastle=sween&lt;br&gt;&lt;br&gt;551. Sween Castle&lt;br&gt;Country: Scotland&lt;br&gt;Region: Central&lt;br&gt;Place: (Strathclyde)</t>
  </si>
  <si>
    <t>&lt;b&gt;Burg Hohenrechberg&lt;/b&gt;&lt;br&gt;&lt;br&gt;&lt;img src='http://www.topcastles.com/images/large/hohenrechberg.jpg' border='0'&gt;&lt;br&gt;&lt;br&gt;Topcastle according to http://www.topcastles.com/kastelen.php?SubMenu=main&amp;SelCastle=hohenrechberg&lt;br&gt;&lt;br&gt;552. Burg Hohenrechberg&lt;br&gt;Country: Germany&lt;br&gt;Region: Baden-Würtenberg&lt;br&gt;Place: Rechberg</t>
  </si>
  <si>
    <t>&lt;b&gt;Mir Castle&lt;/b&gt;&lt;br&gt;&lt;br&gt;&lt;img src='http://www.topcastles.com/images/large/mir.jpg' border='0'&gt;&lt;br&gt;&lt;br&gt;Topcastle according to http://www.topcastles.com/kastelen.php?SubMenu=main&amp;SelCastle=mir&lt;br&gt;&lt;br&gt;553. Mir Castle&lt;br&gt;Country: Belarus&lt;br&gt;Region: Grodno Region, Korelichi District  &lt;br&gt;Place: Minsk</t>
  </si>
  <si>
    <t>&lt;b&gt;Castillo de Maqueda&lt;/b&gt;&lt;br&gt;&lt;br&gt;&lt;img src='http://www.topcastles.com/images/large/maqueda.jpg' border='0'&gt;&lt;br&gt;&lt;br&gt;Topcastle according to http://www.topcastles.com/kastelen.php?SubMenu=main&amp;SelCastle=maqueda&lt;br&gt;&lt;br&gt;554. Castillo de Maqueda&lt;br&gt;Country: Spain&lt;br&gt;Region: Castilla-La Mancha&lt;br&gt;Place: Maqueda (Toledo)</t>
  </si>
  <si>
    <t>&lt;b&gt;Queensborough Castle&lt;/b&gt;&lt;br&gt;&lt;br&gt;&lt;img src='http://www.topcastles.com/images/large/queensborough.jpg' border='0'&gt;&lt;br&gt;&lt;br&gt;Topcastle according to http://www.topcastles.com/kastelen.php?SubMenu=main&amp;SelCastle=queensborough&lt;br&gt;&lt;br&gt;555. Queensborough Castle&lt;br&gt;Country: England&lt;br&gt;Region: South East&lt;br&gt;Place: (Kent)</t>
  </si>
  <si>
    <t>&lt;b&gt;Kasteel Wijnendale&lt;/b&gt;&lt;br&gt;&lt;br&gt;&lt;img src='http://www.topcastles.com/images/large/wijnendale.jpg' border='0'&gt;&lt;br&gt;&lt;br&gt;Topcastle according to http://www.topcastles.com/kastelen.php?SubMenu=main&amp;SelCastle=wijnendale&lt;br&gt;&lt;br&gt;556. Kasteel Wijnendale&lt;br&gt;Country: Belgium&lt;br&gt;Region: West Vlaanderen&lt;br&gt;Place: Wijnendale</t>
  </si>
  <si>
    <t xml:space="preserve">&lt;b&gt;Châteaudun&lt;/b&gt;&lt;br&gt;&lt;br&gt;&lt;img src='http://www.topcastles.com/images/large/chateaudun.jpg' border='0'&gt;&lt;br&gt;&lt;br&gt;Topcastle according to http://www.topcastles.com/kastelen.php?SubMenu=main&amp;SelCastle=chateaudun&lt;br&gt;&lt;br&gt;557. Châteaudun&lt;br&gt;Country: France&lt;br&gt;Region: Centre&lt;br&gt;Place: </t>
  </si>
  <si>
    <t>&lt;b&gt;Forte di San Leo&lt;/b&gt;&lt;br&gt;&lt;br&gt;&lt;img src='http://www.topcastles.com/images/large/sanleo.jpg' border='0'&gt;&lt;br&gt;&lt;br&gt;Topcastle according to http://www.topcastles.com/kastelen.php?SubMenu=main&amp;SelCastle=sanleo&lt;br&gt;&lt;br&gt;558. Forte di San Leo&lt;br&gt;Country: Italy&lt;br&gt;Region: Marche&lt;br&gt;Place: San Leo</t>
  </si>
  <si>
    <t>&lt;b&gt;Tamworth Castle&lt;/b&gt;&lt;br&gt;&lt;br&gt;&lt;img src='http://www.topcastles.com/images/large/tamworth.jpg' border='0'&gt;&lt;br&gt;&lt;br&gt;Topcastle according to http://www.topcastles.com/kastelen.php?SubMenu=main&amp;SelCastle=tamworth&lt;br&gt;&lt;br&gt;559. Tamworth Castle&lt;br&gt;Country: England&lt;br&gt;Region: West Midlands&lt;br&gt;Place: (Stafforddshire)</t>
  </si>
  <si>
    <t>&lt;b&gt;Grad Podcetrtek (Windischlandsberg, Landsperch)&lt;/b&gt;&lt;br&gt;&lt;br&gt;&lt;img src='http://www.topcastles.com/images/large/podcetrtek.jpg' border='0'&gt;&lt;br&gt;&lt;br&gt;Topcastle according to http://www.topcastles.com/kastelen.php?SubMenu=main&amp;SelCastle=podcetrtek&lt;br&gt;&lt;br&gt;560. Grad Podcetrtek (Windischlandsberg, Landsperch)&lt;br&gt;Country: Slovenia&lt;br&gt;Region: Štajerska (Untersteiermark, Lower Styria)&lt;br&gt;Place: Podčetrtek</t>
  </si>
  <si>
    <t>&lt;b&gt;Kasteel Keverberg (Motte van Kessel)&lt;/b&gt;&lt;br&gt;&lt;br&gt;&lt;img src='http://www.topcastles.com/images/large/kessel.jpg' border='0'&gt;&lt;br&gt;&lt;br&gt;Topcastle according to http://www.topcastles.com/kastelen.php?SubMenu=main&amp;SelCastle=kessel&lt;br&gt;&lt;br&gt;561. Kasteel Keverberg (Motte van Kessel)&lt;br&gt;Country: Netherlands&lt;br&gt;Region: Limburg&lt;br&gt;Place: Kessel</t>
  </si>
  <si>
    <t xml:space="preserve">&lt;b&gt;Château d'Esch-sur-sûre&lt;/b&gt;&lt;br&gt;&lt;br&gt;&lt;img src='http://www.topcastles.com/images/large/eschsursure.jpg' border='0'&gt;&lt;br&gt;&lt;br&gt;Topcastle according to http://www.topcastles.com/kastelen.php?SubMenu=main&amp;SelCastle=eschsursure&lt;br&gt;&lt;br&gt;562. Château d'Esch-sur-sûre&lt;br&gt;Country: Luxemburg&lt;br&gt;Region: &lt;br&gt;Place: </t>
  </si>
  <si>
    <t>&lt;b&gt;Whitecastle (Castle Gwyn)&lt;/b&gt;&lt;br&gt;&lt;br&gt;&lt;img src='http://www.topcastles.com/images/large/whitecastle.jpg' border='0'&gt;&lt;br&gt;&lt;br&gt;Topcastle according to http://www.topcastles.com/kastelen.php?SubMenu=main&amp;SelCastle=whitecastle&lt;br&gt;&lt;br&gt;563. Whitecastle (Castle Gwyn)&lt;br&gt;Country: Wales&lt;br&gt;Region: Gwynedd&lt;br&gt;Place: Abergavenny</t>
  </si>
  <si>
    <t>&lt;b&gt;Tannenburg&lt;/b&gt;&lt;br&gt;&lt;br&gt;&lt;img src='http://www.topcastles.com/images/large/tannenberg.jpg' border='0'&gt;&lt;br&gt;&lt;br&gt;Topcastle according to http://www.topcastles.com/kastelen.php?SubMenu=main&amp;SelCastle=tannenberg&lt;br&gt;&lt;br&gt;564. Tannenburg&lt;br&gt;Country: Germany&lt;br&gt;Region: Hessen&lt;br&gt;Place: Nentershausen</t>
  </si>
  <si>
    <t>&lt;b&gt;Castillo de Altafulla&lt;/b&gt;&lt;br&gt;&lt;br&gt;&lt;img src='http://www.topcastles.com/images/large/altafulla.jpg' border='0'&gt;&lt;br&gt;&lt;br&gt;Topcastle according to http://www.topcastles.com/kastelen.php?SubMenu=main&amp;SelCastle=altafulla&lt;br&gt;&lt;br&gt;565. Castillo de Altafulla&lt;br&gt;Country: Spain&lt;br&gt;Region: Catalunya&lt;br&gt;Place: Altafulla (Tarragona)</t>
  </si>
  <si>
    <t>&lt;b&gt;Somoskő vártörténet&lt;/b&gt;&lt;br&gt;&lt;br&gt;&lt;img src='http://www.topcastles.com/images/large/somosko.jpg' border='0'&gt;&lt;br&gt;&lt;br&gt;Topcastle according to http://www.topcastles.com/kastelen.php?SubMenu=main&amp;SelCastle=somosko&lt;br&gt;&lt;br&gt;566. Somoskő vártörténet&lt;br&gt;Country: Hungary&lt;br&gt;Region: Észak Magyaroszág (Northern Hungary)&lt;br&gt;Place: Somosko</t>
  </si>
  <si>
    <t xml:space="preserve">&lt;b&gt;Château de Puilaurens (Tarn) &lt;/b&gt;&lt;br&gt;&lt;br&gt;&lt;img src='http://www.topcastles.com/images/large/puilaurens.jpg' border='0'&gt;&lt;br&gt;&lt;br&gt;Topcastle according to http://www.topcastles.com/kastelen.php?SubMenu=main&amp;SelCastle=puilaurens&lt;br&gt;&lt;br&gt;567. Château de Puilaurens (Tarn) &lt;br&gt;Country: France&lt;br&gt;Region: Languedoc-Roussillon&lt;br&gt;Place: </t>
  </si>
  <si>
    <t xml:space="preserve">&lt;b&gt;Inverness Castle&lt;/b&gt;&lt;br&gt;&lt;br&gt;&lt;img src='http://www.topcastles.com/images/large/inverness.jpg' border='0'&gt;&lt;br&gt;&lt;br&gt;Topcastle according to http://www.topcastles.com/kastelen.php?SubMenu=main&amp;SelCastle=inverness&lt;br&gt;&lt;br&gt;568. Inverness Castle&lt;br&gt;Country: Scotland&lt;br&gt;Region: Highland&lt;br&gt;Place: </t>
  </si>
  <si>
    <t>&lt;b&gt;Sigulda (Segewold)&lt;/b&gt;&lt;br&gt;&lt;br&gt;&lt;img src='http://www.topcastles.com/images/large/segewold.jpg' border='0'&gt;&lt;br&gt;&lt;br&gt;Topcastle according to http://www.topcastles.com/kastelen.php?SubMenu=main&amp;SelCastle=segewold&lt;br&gt;&lt;br&gt;569. Sigulda (Segewold)&lt;br&gt;Country: Latvia&lt;br&gt;Region: &lt;br&gt;Place: Sigulda</t>
  </si>
  <si>
    <t xml:space="preserve">&lt;b&gt;Oystermouth Castle&lt;/b&gt;&lt;br&gt;&lt;br&gt;&lt;img src='http://www.topcastles.com/images/large/oystermouth.jpg' border='0'&gt;&lt;br&gt;&lt;br&gt;Topcastle according to http://www.topcastles.com/kastelen.php?SubMenu=main&amp;SelCastle=oystermouth&lt;br&gt;&lt;br&gt;570. Oystermouth Castle&lt;br&gt;Country: Wales&lt;br&gt;Region: Glamorgan&lt;br&gt;Place: </t>
  </si>
  <si>
    <t xml:space="preserve">&lt;b&gt;Château de Chambois &lt;/b&gt;&lt;br&gt;&lt;br&gt;&lt;img src='http://www.topcastles.com/images/large/chambois.jpg' border='0'&gt;&lt;br&gt;&lt;br&gt;Topcastle according to http://www.topcastles.com/kastelen.php?SubMenu=main&amp;SelCastle=chambois&lt;br&gt;&lt;br&gt;571. Château de Chambois &lt;br&gt;Country: France&lt;br&gt;Region: Normandie&lt;br&gt;Place: </t>
  </si>
  <si>
    <t>&lt;b&gt;Bauske&lt;/b&gt;&lt;br&gt;&lt;br&gt;&lt;img src='http://www.topcastles.com/images/large/bauske.jpg' border='0'&gt;&lt;br&gt;&lt;br&gt;Topcastle according to http://www.topcastles.com/kastelen.php?SubMenu=main&amp;SelCastle=bauske&lt;br&gt;&lt;br&gt;572. Bauske&lt;br&gt;Country: Estonia&lt;br&gt;Region: &lt;br&gt;Place: Bauska</t>
  </si>
  <si>
    <t>&lt;b&gt;Lublin &lt;/b&gt;&lt;br&gt;&lt;br&gt;&lt;img src='http://www.topcastles.com/images/large/lublin.jpg' border='0'&gt;&lt;br&gt;&lt;br&gt;Topcastle according to http://www.topcastles.com/kastelen.php?SubMenu=main&amp;SelCastle=lublin&lt;br&gt;&lt;br&gt;573. Lublin &lt;br&gt;Country: Poland&lt;br&gt;Region: Lubelskie (Lublin)&lt;br&gt;Place: Lublin</t>
  </si>
  <si>
    <t>&lt;b&gt;Riga&lt;/b&gt;&lt;br&gt;&lt;br&gt;&lt;img src='http://www.topcastles.com/images/large/riga.jpg' border='0'&gt;&lt;br&gt;&lt;br&gt;Topcastle according to http://www.topcastles.com/kastelen.php?SubMenu=main&amp;SelCastle=riga&lt;br&gt;&lt;br&gt;574. Riga&lt;br&gt;Country: Latvia&lt;br&gt;Region: &lt;br&gt;Place: Riga</t>
  </si>
  <si>
    <t xml:space="preserve">&lt;b&gt;Madenburg&lt;/b&gt;&lt;br&gt;&lt;br&gt;&lt;img src='http://www.topcastles.com/images/large/madenburg.jpg' border='0'&gt;&lt;br&gt;&lt;br&gt;Topcastle according to http://www.topcastles.com/kastelen.php?SubMenu=main&amp;SelCastle=madenburg&lt;br&gt;&lt;br&gt;575. Madenburg&lt;br&gt;Country: Germany&lt;br&gt;Region: Rheinland-Pfalz&lt;br&gt;Place: </t>
  </si>
  <si>
    <t xml:space="preserve">&lt;b&gt;Château de Montreuil-Bellay&lt;/b&gt;&lt;br&gt;&lt;br&gt;&lt;img src='http://www.topcastles.com/images/large/montreuilbellay.jpg' border='0'&gt;&lt;br&gt;&lt;br&gt;Topcastle according to http://www.topcastles.com/kastelen.php?SubMenu=main&amp;SelCastle=montreuilbellay&lt;br&gt;&lt;br&gt;576. Château de Montreuil-Bellay&lt;br&gt;Country: France&lt;br&gt;Region: Pays de la Loire&lt;br&gt;Place: </t>
  </si>
  <si>
    <t>&lt;b&gt;Newcastle upon Tyne Castle&lt;/b&gt;&lt;br&gt;&lt;br&gt;&lt;img src='http://www.topcastles.com/images/large/newcastleupontyne.jpg' border='0'&gt;&lt;br&gt;&lt;br&gt;Topcastle according to http://www.topcastles.com/kastelen.php?SubMenu=main&amp;SelCastle=newcastleupontyne&lt;br&gt;&lt;br&gt;577. Newcastle upon Tyne Castle&lt;br&gt;Country: England&lt;br&gt;Region: North East&lt;br&gt;Place: (Tyne &amp; Wear)</t>
  </si>
  <si>
    <t>&lt;b&gt;Craigievar Castle&lt;/b&gt;&lt;br&gt;&lt;br&gt;&lt;img src='http://www.topcastles.com/images/large/craigievar.jpg' border='0'&gt;&lt;br&gt;&lt;br&gt;Topcastle according to http://www.topcastles.com/kastelen.php?SubMenu=main&amp;SelCastle=craigievar&lt;br&gt;&lt;br&gt;578. Craigievar Castle&lt;br&gt;Country: Scotland&lt;br&gt;Region: Grampian&lt;br&gt;Place: (Grampian)</t>
  </si>
  <si>
    <t>&lt;b&gt;Rocca di Ostia&lt;/b&gt;&lt;br&gt;&lt;br&gt;&lt;img src='http://www.topcastles.com/images/large/ostia.jpg' border='0'&gt;&lt;br&gt;&lt;br&gt;Topcastle according to http://www.topcastles.com/kastelen.php?SubMenu=main&amp;SelCastle=ostia&lt;br&gt;&lt;br&gt;579. Rocca di Ostia&lt;br&gt;Country: Italy&lt;br&gt;Region: Lazio&lt;br&gt;Place: Roma</t>
  </si>
  <si>
    <t>&lt;b&gt;Grad Rihemberk (Richenberg, Branik)&lt;/b&gt;&lt;br&gt;&lt;br&gt;&lt;img src='http://www.topcastles.com/images/large/rihemberk.jpg' border='0'&gt;&lt;br&gt;&lt;br&gt;Topcastle according to http://www.topcastles.com/kastelen.php?SubMenu=main&amp;SelCastle=rihemberk&lt;br&gt;&lt;br&gt;580. Grad Rihemberk (Richenberg, Branik)&lt;br&gt;Country: Slovenia&lt;br&gt;Region: Gorisko und die Brda&lt;br&gt;Place: Branik</t>
  </si>
  <si>
    <t xml:space="preserve">&lt;b&gt;Sisak (Sissek)&lt;/b&gt;&lt;br&gt;&lt;br&gt;&lt;img src='http://www.topcastles.com/images/large/sisak.jpg' border='0'&gt;&lt;br&gt;&lt;br&gt;Topcastle according to http://www.topcastles.com/kastelen.php?SubMenu=main&amp;SelCastle=sisak&lt;br&gt;&lt;br&gt;581. Sisak (Sissek)&lt;br&gt;Country: Croatia&lt;br&gt;Region: &lt;br&gt;Place: </t>
  </si>
  <si>
    <t>&lt;b&gt;Hukvaldy Hrad (Hochwald)&lt;/b&gt;&lt;br&gt;&lt;br&gt;&lt;img src='http://www.topcastles.com/images/large/hukvaldy.jpg' border='0'&gt;&lt;br&gt;&lt;br&gt;Topcastle according to http://www.topcastles.com/kastelen.php?SubMenu=main&amp;SelCastle=hukvaldy&lt;br&gt;&lt;br&gt;582. Hukvaldy Hrad (Hochwald)&lt;br&gt;Country: Czechia&lt;br&gt;Region: Moravia Slezský (Mährisch-Schlesien)&lt;br&gt;Place: Hukvaldy</t>
  </si>
  <si>
    <t>&lt;b&gt;Château de Josselin &lt;/b&gt;&lt;br&gt;&lt;br&gt;&lt;img src='http://www.topcastles.com/images/large/josselin.jpg' border='0'&gt;&lt;br&gt;&lt;br&gt;Topcastle according to http://www.topcastles.com/kastelen.php?SubMenu=main&amp;SelCastle=josselin&lt;br&gt;&lt;br&gt;583. Château de Josselin &lt;br&gt;Country: France&lt;br&gt;Region: Bretagne&lt;br&gt;Place: Morbihan</t>
  </si>
  <si>
    <t>&lt;b&gt;Schloss Rapperswil (Rapperswyl)&lt;/b&gt;&lt;br&gt;&lt;br&gt;&lt;img src='http://www.topcastles.com/images/large/rapperswyl.jpg' border='0'&gt;&lt;br&gt;&lt;br&gt;Topcastle according to http://www.topcastles.com/kastelen.php?SubMenu=main&amp;SelCastle=rapperswyl&lt;br&gt;&lt;br&gt;584. Schloss Rapperswil (Rapperswyl)&lt;br&gt;Country: Switzerland&lt;br&gt;Region: Ostschweiz&lt;br&gt;Place: Rapperswil( Kantons St. Gallen)</t>
  </si>
  <si>
    <t>&lt;b&gt;Kastelholm&lt;/b&gt;&lt;br&gt;&lt;br&gt;&lt;img src='http://www.topcastles.com/images/large/kastelholm.jpg' border='0'&gt;&lt;br&gt;&lt;br&gt;Topcastle according to http://www.topcastles.com/kastelen.php?SubMenu=main&amp;SelCastle=kastelholm&lt;br&gt;&lt;br&gt;585. Kastelholm&lt;br&gt;Country: Finland&lt;br&gt;Region: &lt;br&gt;Place: Åland</t>
  </si>
  <si>
    <t>&lt;b&gt;Slot Brederode&lt;/b&gt;&lt;br&gt;&lt;br&gt;&lt;img src='http://www.topcastles.com/images/large/brederode.jpg' border='0'&gt;&lt;br&gt;&lt;br&gt;Topcastle according to http://www.topcastles.com/kastelen.php?SubMenu=main&amp;SelCastle=brederode&lt;br&gt;&lt;br&gt;586. Slot Brederode&lt;br&gt;Country: Netherlands&lt;br&gt;Region: Noord Holland&lt;br&gt;Place: Santpoort</t>
  </si>
  <si>
    <t>&lt;b&gt;Kilchurn Castle&lt;/b&gt;&lt;br&gt;&lt;br&gt;&lt;img src='http://www.topcastles.com/images/large/kilchurn.jpg' border='0'&gt;&lt;br&gt;&lt;br&gt;Topcastle according to http://www.topcastles.com/kastelen.php?SubMenu=main&amp;SelCastle=kilchurn&lt;br&gt;&lt;br&gt;587. Kilchurn Castle&lt;br&gt;Country: Scotland&lt;br&gt;Region: Highland&lt;br&gt;Place: northeastern end of Loch Awe, Oban 29 km (Argyll &amp; Bute)</t>
  </si>
  <si>
    <t>&lt;b&gt;Borgeby Slott&lt;/b&gt;&lt;br&gt;&lt;br&gt;&lt;img src='http://www.topcastles.com/images/large/borgeby.jpg' border='0'&gt;&lt;br&gt;&lt;br&gt;Topcastle according to http://www.topcastles.com/kastelen.php?SubMenu=main&amp;SelCastle=borgeby&lt;br&gt;&lt;br&gt;588. Borgeby Slott&lt;br&gt;Country: Sweden&lt;br&gt;Region: Sydsverige (South Sweden)&lt;br&gt;Place: Pallas (Skåne)</t>
  </si>
  <si>
    <t xml:space="preserve">&lt;b&gt;Erzurum Kalesi&lt;/b&gt;&lt;br&gt;&lt;br&gt;&lt;img src='http://www.topcastles.com/images/large/erzurum.jpg' border='0'&gt;&lt;br&gt;&lt;br&gt;Topcastle according to http://www.topcastles.com/kastelen.php?SubMenu=main&amp;SelCastle=erzurum&lt;br&gt;&lt;br&gt;589. Erzurum Kalesi&lt;br&gt;Country: Turkey&lt;br&gt;Region: &lt;br&gt;Place: </t>
  </si>
  <si>
    <t>&lt;b&gt;Lützelbourg (Lützelstein, Ottrott)&lt;/b&gt;&lt;br&gt;&lt;br&gt;&lt;img src='http://www.topcastles.com/images/large/lutzelburg.jpg' border='0'&gt;&lt;br&gt;&lt;br&gt;Topcastle according to http://www.topcastles.com/kastelen.php?SubMenu=main&amp;SelCastle=lutzelburg&lt;br&gt;&lt;br&gt;590. Lützelbourg (Lützelstein, Ottrott)&lt;br&gt;Country: France&lt;br&gt;Region: Elzas (Alsace)&lt;br&gt;Place: Ottrott</t>
  </si>
  <si>
    <t>&lt;b&gt;Hosap Kalesi&lt;/b&gt;&lt;br&gt;&lt;br&gt;&lt;img src='http://www.topcastles.com/images/large/hosap.jpg' border='0'&gt;&lt;br&gt;&lt;br&gt;Topcastle according to http://www.topcastles.com/kastelen.php?SubMenu=main&amp;SelCastle=hosap&lt;br&gt;&lt;br&gt;591. Hosap Kalesi&lt;br&gt;Country: Turkey&lt;br&gt;Region: &lt;br&gt;Place: Güzelsu</t>
  </si>
  <si>
    <t>&lt;b&gt;Schloss Rosenburg am Kampf&lt;/b&gt;&lt;br&gt;&lt;br&gt;&lt;img src='http://www.topcastles.com/images/large/rosenburg.jpg' border='0'&gt;&lt;br&gt;&lt;br&gt;Topcastle according to http://www.topcastles.com/kastelen.php?SubMenu=main&amp;SelCastle=rosenburg&lt;br&gt;&lt;br&gt;592. Schloss Rosenburg am Kampf&lt;br&gt;Country: Austria&lt;br&gt;Region: Niederöstenreich&lt;br&gt;Place: Rosenburg am Kampf</t>
  </si>
  <si>
    <t xml:space="preserve">&lt;b&gt;Anamur&lt;/b&gt;&lt;br&gt;&lt;br&gt;&lt;img src='http://www.topcastles.com/images/large/anamur.jpg' border='0'&gt;&lt;br&gt;&lt;br&gt;Topcastle according to http://www.topcastles.com/kastelen.php?SubMenu=main&amp;SelCastle=anamur&lt;br&gt;&lt;br&gt;593. Anamur&lt;br&gt;Country: Turkey&lt;br&gt;Region: &lt;br&gt;Place: </t>
  </si>
  <si>
    <t>&lt;b&gt;Donjon de Houdan&lt;/b&gt;&lt;br&gt;&lt;br&gt;&lt;img src='http://www.topcastles.com/images/large/houdan.jpg' border='0'&gt;&lt;br&gt;&lt;br&gt;Topcastle according to http://www.topcastles.com/kastelen.php?SubMenu=main&amp;SelCastle=houdan&lt;br&gt;&lt;br&gt;594. Donjon de Houdan&lt;br&gt;Country: France&lt;br&gt;Region: Ile-de-France&lt;br&gt;Place: Houdan</t>
  </si>
  <si>
    <t>&lt;b&gt;Szigligeti vár&lt;/b&gt;&lt;br&gt;&lt;br&gt;&lt;img src='http://www.topcastles.com/images/large/szigliget.jpg' border='0'&gt;&lt;br&gt;&lt;br&gt;Topcastle according to http://www.topcastles.com/kastelen.php?SubMenu=main&amp;SelCastle=szigliget&lt;br&gt;&lt;br&gt;595. Szigligeti vár&lt;br&gt;Country: Hungary&lt;br&gt;Region: Közép Dunántúl (Central Transdanubia)&lt;br&gt;Place: Szigliget</t>
  </si>
  <si>
    <t>&lt;b&gt;Bollerup&lt;/b&gt;&lt;br&gt;&lt;br&gt;&lt;img src='http://www.topcastles.com/images/large/bollerup.jpg' border='0'&gt;&lt;br&gt;&lt;br&gt;Topcastle according to http://www.topcastles.com/kastelen.php?SubMenu=main&amp;SelCastle=bollerup&lt;br&gt;&lt;br&gt;596. Bollerup&lt;br&gt;Country: Sweden&lt;br&gt;Region: Sydsverige (South Sweden)&lt;br&gt;Place: Österlen (Skåne)</t>
  </si>
  <si>
    <t>&lt;b&gt;Quala'at Masyaf (Assassin's Castle, Hashshashin or Nizari)&lt;/b&gt;&lt;br&gt;&lt;br&gt;&lt;img src='http://www.topcastles.com/images/large/masyaf.jpg' border='0'&gt;&lt;br&gt;&lt;br&gt;Topcastle according to http://www.topcastles.com/kastelen.php?SubMenu=main&amp;SelCastle=masyaf&lt;br&gt;&lt;br&gt;597. Quala'at Masyaf (Assassin's Castle, Hashshashin or Nizari)&lt;br&gt;Country: Syria&lt;br&gt;Region: &lt;br&gt;Place: Masyaf</t>
  </si>
  <si>
    <t xml:space="preserve">&lt;b&gt;Castelo de Feira&lt;/b&gt;&lt;br&gt;&lt;br&gt;&lt;img src='http://www.topcastles.com/images/large/feira.jpg' border='0'&gt;&lt;br&gt;&lt;br&gt;Topcastle according to http://www.topcastles.com/kastelen.php?SubMenu=main&amp;SelCastle=feira&lt;br&gt;&lt;br&gt;598. Castelo de Feira&lt;br&gt;Country: Portugal&lt;br&gt;Region: &lt;br&gt;Place: </t>
  </si>
  <si>
    <t>&lt;b&gt;Kasteel Turnhout&lt;/b&gt;&lt;br&gt;&lt;br&gt;&lt;img src='http://www.topcastles.com/images/large/turnhout.jpg' border='0'&gt;&lt;br&gt;&lt;br&gt;Topcastle according to http://www.topcastles.com/kastelen.php?SubMenu=main&amp;SelCastle=turnhout&lt;br&gt;&lt;br&gt;599. Kasteel Turnhout&lt;br&gt;Country: Belgium&lt;br&gt;Region: Antwerpen&lt;br&gt;Place: Turnhout</t>
  </si>
  <si>
    <t>&lt;b&gt;Castillo de Trujillo &lt;/b&gt;&lt;br&gt;&lt;br&gt;&lt;img src='http://www.topcastles.com/images/large/trujillo.jpg' border='0'&gt;&lt;br&gt;&lt;br&gt;Topcastle according to http://www.topcastles.com/kastelen.php?SubMenu=main&amp;SelCastle=trujillo&lt;br&gt;&lt;br&gt;600. Castillo de Trujillo &lt;br&gt;Country: Spain&lt;br&gt;Region: Extremadura&lt;br&gt;Place: Trujillo (Cáceres)</t>
  </si>
  <si>
    <t>&lt;b&gt;Kasteel Helmond&lt;/b&gt;&lt;br&gt;&lt;br&gt;&lt;img src='http://www.topcastles.com/images/large/helmond.jpg' border='0'&gt;&lt;br&gt;&lt;br&gt;Topcastle according to http://www.topcastles.com/kastelen.php?SubMenu=main&amp;SelCastle=helmond&lt;br&gt;&lt;br&gt;601. Kasteel Helmond&lt;br&gt;Country: Netherlands&lt;br&gt;Region: Noord Brabant&lt;br&gt;Place: Helmond</t>
  </si>
  <si>
    <t>&lt;b&gt;Kildrummy Castle&lt;/b&gt;&lt;br&gt;&lt;br&gt;&lt;img src='http://www.topcastles.com/images/large/killdrummy.jpg' border='0'&gt;&lt;br&gt;&lt;br&gt;Topcastle according to http://www.topcastles.com/kastelen.php?SubMenu=main&amp;SelCastle=killdrummy&lt;br&gt;&lt;br&gt;602. Kildrummy Castle&lt;br&gt;Country: Scotland&lt;br&gt;Region: Grampian&lt;br&gt;Place: Grampian (Aberdeen)</t>
  </si>
  <si>
    <t>&lt;b&gt;Hrad Házmburk (Klapý, Hassenburg, Zajícuv Hhrad)&lt;/b&gt;&lt;br&gt;&lt;br&gt;&lt;img src='http://www.topcastles.com/images/large/hassenburg.jpg' border='0'&gt;&lt;br&gt;&lt;br&gt;Topcastle according to http://www.topcastles.com/kastelen.php?SubMenu=main&amp;SelCastle=hassenburg&lt;br&gt;&lt;br&gt;603. Hrad Házmburk (Klapý, Hassenburg, Zajícuv Hhrad)&lt;br&gt;Country: Czechia&lt;br&gt;Region: Ústi nad Labem (Aussig)&lt;br&gt;Place: Házmburk</t>
  </si>
  <si>
    <t>&lt;b&gt;Citadel of Ani (Palace of the Bagratids)&lt;/b&gt;&lt;br&gt;&lt;br&gt;&lt;img src='http://www.topcastles.com/images/large/ani.jpg' border='0'&gt;&lt;br&gt;&lt;br&gt;Topcastle according to http://www.topcastles.com/kastelen.php?SubMenu=main&amp;SelCastle=ani&lt;br&gt;&lt;br&gt;604. Citadel of Ani (Palace of the Bagratids)&lt;br&gt;Country: Turkey&lt;br&gt;Region: Armenië&lt;br&gt;Place: Kars</t>
  </si>
  <si>
    <t>&lt;b&gt;Burg Greifenstein&lt;/b&gt;&lt;br&gt;&lt;br&gt;&lt;img src='http://www.topcastles.com/images/large/greifenstein.jpg' border='0'&gt;&lt;br&gt;&lt;br&gt;Topcastle according to http://www.topcastles.com/kastelen.php?SubMenu=main&amp;SelCastle=greifenstein&lt;br&gt;&lt;br&gt;605. Burg Greifenstein&lt;br&gt;Country: Germany&lt;br&gt;Region: Hessen&lt;br&gt;Place: Greifenstein</t>
  </si>
  <si>
    <t>&lt;b&gt;Burg Runkel (an der Lahn)&lt;/b&gt;&lt;br&gt;&lt;br&gt;&lt;img src='http://www.topcastles.com/images/large/runkel.jpg' border='0'&gt;&lt;br&gt;&lt;br&gt;Topcastle according to http://www.topcastles.com/kastelen.php?SubMenu=main&amp;SelCastle=runkel&lt;br&gt;&lt;br&gt;606. Burg Runkel (an der Lahn)&lt;br&gt;Country: Germany&lt;br&gt;Region: Hessen&lt;br&gt;Place: Runkel an der Lahn</t>
  </si>
  <si>
    <t xml:space="preserve">&lt;b&gt;Burg Nanstein (Landstuhl)&lt;/b&gt;&lt;br&gt;&lt;br&gt;&lt;img src='http://www.topcastles.com/images/large/nanstein.jpg' border='0'&gt;&lt;br&gt;&lt;br&gt;Topcastle according to http://www.topcastles.com/kastelen.php?SubMenu=main&amp;SelCastle=nanstein&lt;br&gt;&lt;br&gt;607. Burg Nanstein (Landstuhl)&lt;br&gt;Country: Germany&lt;br&gt;Region: Rheinland-Pfalz&lt;br&gt;Place: </t>
  </si>
  <si>
    <t>&lt;b&gt;Château de Fallais&lt;/b&gt;&lt;br&gt;&lt;br&gt;&lt;img src='http://www.topcastles.com/images/large/fallais.jpg' border='0'&gt;&lt;br&gt;&lt;br&gt;Topcastle according to http://www.topcastles.com/kastelen.php?SubMenu=main&amp;SelCastle=fallais&lt;br&gt;&lt;br&gt;608. Château de Fallais&lt;br&gt;Country: Belgium&lt;br&gt;Region: Luik&lt;br&gt;Place: Fallais</t>
  </si>
  <si>
    <t xml:space="preserve">&lt;b&gt;Burg Guttenberg&lt;/b&gt;&lt;br&gt;&lt;br&gt;&lt;img src='http://www.topcastles.com/images/large/guttenberg.jpg' border='0'&gt;&lt;br&gt;&lt;br&gt;Topcastle according to http://www.topcastles.com/kastelen.php?SubMenu=main&amp;SelCastle=guttenberg&lt;br&gt;&lt;br&gt;609. Burg Guttenberg&lt;br&gt;Country: Germany&lt;br&gt;Region: Baden-Würtenberg&lt;br&gt;Place: Haßmersheim-Neckarmühlbach </t>
  </si>
  <si>
    <t>&lt;b&gt;Kyrenia (Girne Kalesi)&lt;/b&gt;&lt;br&gt;&lt;br&gt;&lt;img src='http://www.topcastles.com/images/large/kyrenia.jpg' border='0'&gt;&lt;br&gt;&lt;br&gt;Topcastle according to http://www.topcastles.com/kastelen.php?SubMenu=main&amp;SelCastle=kyrenia&lt;br&gt;&lt;br&gt;610. Kyrenia (Girne Kalesi)&lt;br&gt;Country: Cyprus&lt;br&gt;Region: Turks Cyprus&lt;br&gt;Place: Kyrenia</t>
  </si>
  <si>
    <t>&lt;b&gt;Grad Velika Nedelja (Groß-Sonntag)&lt;/b&gt;&lt;br&gt;&lt;br&gt;&lt;img src='http://www.topcastles.com/images/large/velikanedelja.jpg' border='0'&gt;&lt;br&gt;&lt;br&gt;Topcastle according to http://www.topcastles.com/kastelen.php?SubMenu=main&amp;SelCastle=velikanedelja&lt;br&gt;&lt;br&gt;611. Grad Velika Nedelja (Groß-Sonntag)&lt;br&gt;Country: Slovenia&lt;br&gt;Region: Ptujsko Polje&lt;br&gt;Place: Velika Nedelja</t>
  </si>
  <si>
    <t xml:space="preserve">&lt;b&gt;Qila Rohtas (Rothas Fort)&lt;/b&gt;&lt;br&gt;&lt;br&gt;&lt;img src='http://www.topcastles.com/images/large/qilarohtas.jpg' border='0'&gt;&lt;br&gt;&lt;br&gt;Topcastle according to http://www.topcastles.com/kastelen.php?SubMenu=main&amp;SelCastle=qilarohtas&lt;br&gt;&lt;br&gt;612. Qila Rohtas (Rothas Fort)&lt;br&gt;Country: Pakistan&lt;br&gt;Region: &lt;br&gt;Place: </t>
  </si>
  <si>
    <t>&lt;b&gt;Kasselburg&lt;/b&gt;&lt;br&gt;&lt;br&gt;&lt;img src='http://www.topcastles.com/images/large/kasselburg.jpg' border='0'&gt;&lt;br&gt;&lt;br&gt;Topcastle according to http://www.topcastles.com/kastelen.php?SubMenu=main&amp;SelCastle=kasselburg&lt;br&gt;&lt;br&gt;613. Kasselburg&lt;br&gt;Country: Germany&lt;br&gt;Region: Rheinland-Pfalz&lt;br&gt;Place: Pelm</t>
  </si>
  <si>
    <t>&lt;b&gt;Schloss Kyburg&lt;/b&gt;&lt;br&gt;&lt;br&gt;&lt;img src='http://www.topcastles.com/images/large/kyburg.jpg' border='0'&gt;&lt;br&gt;&lt;br&gt;Topcastle according to http://www.topcastles.com/kastelen.php?SubMenu=main&amp;SelCastle=kyburg&lt;br&gt;&lt;br&gt;614. Schloss Kyburg&lt;br&gt;Country: Switzerland&lt;br&gt;Region: Mittelland&lt;br&gt;Place: Kyburg (Kanton Zürich)</t>
  </si>
  <si>
    <t>&lt;b&gt;Kasteel Teylingen&lt;/b&gt;&lt;br&gt;&lt;br&gt;&lt;img src='http://www.topcastles.com/images/large/teylingen.jpg' border='0'&gt;&lt;br&gt;&lt;br&gt;Topcastle according to http://www.topcastles.com/kastelen.php?SubMenu=main&amp;SelCastle=teylingen&lt;br&gt;&lt;br&gt;615. Kasteel Teylingen&lt;br&gt;Country: Netherlands&lt;br&gt;Region: Zuid Holland&lt;br&gt;Place: Sassenheim</t>
  </si>
  <si>
    <t>&lt;b&gt;Crichton Castle&lt;/b&gt;&lt;br&gt;&lt;br&gt;&lt;img src='http://www.topcastles.com/images/large/crichton.jpg' border='0'&gt;&lt;br&gt;&lt;br&gt;Topcastle according to http://www.topcastles.com/kastelen.php?SubMenu=main&amp;SelCastle=crichton&lt;br&gt;&lt;br&gt;616. Crichton Castle&lt;br&gt;Country: Scotland&lt;br&gt;Region: Edinburg and Lothian&lt;br&gt;Place: (Lothian)</t>
  </si>
  <si>
    <t>&lt;b&gt;Château de la Bastille (Prison de la Bastille)&lt;/b&gt;&lt;br&gt;&lt;br&gt;&lt;img src='http://www.topcastles.com/images/large/bastille.jpg' border='0'&gt;&lt;br&gt;&lt;br&gt;Topcastle according to http://www.topcastles.com/kastelen.php?SubMenu=main&amp;SelCastle=bastille&lt;br&gt;&lt;br&gt;617. Château de la Bastille (Prison de la Bastille)&lt;br&gt;Country: France&lt;br&gt;Region: Ile-de-France&lt;br&gt;Place: Paris</t>
  </si>
  <si>
    <t>&lt;b&gt;Kasteel Cleydael&lt;/b&gt;&lt;br&gt;&lt;br&gt;&lt;img src='http://www.topcastles.com/images/large/cleydael.jpg' border='0'&gt;&lt;br&gt;&lt;br&gt;Topcastle according to http://www.topcastles.com/kastelen.php?SubMenu=main&amp;SelCastle=cleydael&lt;br&gt;&lt;br&gt;618. Kasteel Cleydael&lt;br&gt;Country: Belgium&lt;br&gt;Region: Antwerpen&lt;br&gt;Place: Aartselaar</t>
  </si>
  <si>
    <t xml:space="preserve">&lt;b&gt;Sterrenberg&lt;/b&gt;&lt;br&gt;&lt;br&gt;&lt;img src='http://www.topcastles.com/images/large/sterrenberg.jpg' border='0'&gt;&lt;br&gt;&lt;br&gt;Topcastle according to http://www.topcastles.com/kastelen.php?SubMenu=main&amp;SelCastle=sterrenberg&lt;br&gt;&lt;br&gt;619. Sterrenberg&lt;br&gt;Country: Germany&lt;br&gt;Region: Rheinland-Pfalz&lt;br&gt;Place: </t>
  </si>
  <si>
    <t>&lt;b&gt;Drzewica&lt;/b&gt;&lt;br&gt;&lt;br&gt;&lt;img src='http://www.topcastles.com/images/large/drzewica.jpg' border='0'&gt;&lt;br&gt;&lt;br&gt;Topcastle according to http://www.topcastles.com/kastelen.php?SubMenu=main&amp;SelCastle=drzewica&lt;br&gt;&lt;br&gt;620. Drzewica&lt;br&gt;Country: Poland&lt;br&gt;Region: Lodzkie (Central Poland)&lt;br&gt;Place: Drzewica</t>
  </si>
  <si>
    <t>&lt;b&gt;Kasteel Huis Bergh&lt;/b&gt;&lt;br&gt;&lt;br&gt;&lt;img src='http://www.topcastles.com/images/large/bergh.jpg' border='0'&gt;&lt;br&gt;&lt;br&gt;Topcastle according to http://www.topcastles.com/kastelen.php?SubMenu=main&amp;SelCastle=bergh&lt;br&gt;&lt;br&gt;621. Kasteel Huis Bergh&lt;br&gt;Country: Netherlands&lt;br&gt;Region: Gelderland&lt;br&gt;Place: s-Heerenberg</t>
  </si>
  <si>
    <t xml:space="preserve">&lt;b&gt;Wiltz&lt;/b&gt;&lt;br&gt;&lt;br&gt;&lt;img src='http://www.topcastles.com/images/large/wiltz.jpg' border='0'&gt;&lt;br&gt;&lt;br&gt;Topcastle according to http://www.topcastles.com/kastelen.php?SubMenu=main&amp;SelCastle=wiltz&lt;br&gt;&lt;br&gt;622. Wiltz&lt;br&gt;Country: Luxemburg&lt;br&gt;Region: &lt;br&gt;Place: </t>
  </si>
  <si>
    <t>&lt;b&gt;Gyulai vár&lt;/b&gt;&lt;br&gt;&lt;br&gt;&lt;img src='http://www.topcastles.com/images/large/gyula.jpg' border='0'&gt;&lt;br&gt;&lt;br&gt;Topcastle according to http://www.topcastles.com/kastelen.php?SubMenu=main&amp;SelCastle=gyula&lt;br&gt;&lt;br&gt;623. Gyulai vár&lt;br&gt;Country: Hungary&lt;br&gt;Region: Dél Alföld (Southern Great Plain)&lt;br&gt;Place: Gyula</t>
  </si>
  <si>
    <t xml:space="preserve">&lt;b&gt;Château d'Ecaussines-Lalaing&lt;/b&gt;&lt;br&gt;&lt;br&gt;&lt;img src='http://www.topcastles.com/images/large/ecaussineslalaing.jpg' border='0'&gt;&lt;br&gt;&lt;br&gt;Topcastle according to http://www.topcastles.com/kastelen.php?SubMenu=main&amp;SelCastle=ecaussineslalaing&lt;br&gt;&lt;br&gt;624. Château d'Ecaussines-Lalaing&lt;br&gt;Country: Belgium&lt;br&gt;Region: Henegouwen&lt;br&gt;Place: </t>
  </si>
  <si>
    <t>&lt;b&gt;Castillo de Mur &lt;/b&gt;&lt;br&gt;&lt;br&gt;&lt;img src='http://www.topcastles.com/images/large/mur.jpg' border='0'&gt;&lt;br&gt;&lt;br&gt;Topcastle according to http://www.topcastles.com/kastelen.php?SubMenu=main&amp;SelCastle=mur&lt;br&gt;&lt;br&gt;625. Castillo de Mur &lt;br&gt;Country: Spain&lt;br&gt;Region: Catalunya&lt;br&gt;Place: Castell de Mur (Lérida)</t>
  </si>
  <si>
    <t xml:space="preserve">&lt;b&gt;Grad Rifnik (Reichenegg)&lt;/b&gt;&lt;br&gt;&lt;br&gt;&lt;img src='http://www.topcastles.com/images/large/rifnik.jpg' border='0'&gt;&lt;br&gt;&lt;br&gt;Topcastle according to http://www.topcastles.com/kastelen.php?SubMenu=main&amp;SelCastle=rifnik&lt;br&gt;&lt;br&gt;626. Grad Rifnik (Reichenegg)&lt;br&gt;Country: Slovenia&lt;br&gt;Region: Štajerska (Untersteiermark, Lower Styria)&lt;br&gt;Place: </t>
  </si>
  <si>
    <t>&lt;b&gt;Burg Laupen&lt;/b&gt;&lt;br&gt;&lt;br&gt;&lt;img src='http://www.topcastles.com/images/large/laupen.jpg' border='0'&gt;&lt;br&gt;&lt;br&gt;Topcastle according to http://www.topcastles.com/kastelen.php?SubMenu=main&amp;SelCastle=laupen&lt;br&gt;&lt;br&gt;627. Burg Laupen&lt;br&gt;Country: Switzerland&lt;br&gt;Region: Mittelland&lt;br&gt;Place: Laupen (Kanton Bern)</t>
  </si>
  <si>
    <t xml:space="preserve">&lt;b&gt;Castelo de Porto de Mos&lt;/b&gt;&lt;br&gt;&lt;br&gt;&lt;img src='http://www.topcastles.com/images/large/portodemos.jpg' border='0'&gt;&lt;br&gt;&lt;br&gt;Topcastle according to http://www.topcastles.com/kastelen.php?SubMenu=main&amp;SelCastle=portodemos&lt;br&gt;&lt;br&gt;628. Castelo de Porto de Mos&lt;br&gt;Country: Portugal&lt;br&gt;Region: &lt;br&gt;Place: </t>
  </si>
  <si>
    <t xml:space="preserve">&lt;b&gt;Schloss Moosham&lt;/b&gt;&lt;br&gt;&lt;br&gt;&lt;img src='http://www.topcastles.com/images/large/moosham.jpg' border='0'&gt;&lt;br&gt;&lt;br&gt;Topcastle according to http://www.topcastles.com/kastelen.php?SubMenu=main&amp;SelCastle=moosham&lt;br&gt;&lt;br&gt;629. Schloss Moosham&lt;br&gt;Country: Austria&lt;br&gt;Region: Salzburg&lt;br&gt;Place: </t>
  </si>
  <si>
    <t xml:space="preserve">&lt;b&gt;Kantara&lt;/b&gt;&lt;br&gt;&lt;br&gt;&lt;img src='http://www.topcastles.com/images/large/kantara.jpg' border='0'&gt;&lt;br&gt;&lt;br&gt;Topcastle according to http://www.topcastles.com/kastelen.php?SubMenu=main&amp;SelCastle=kantara&lt;br&gt;&lt;br&gt;630. Kantara&lt;br&gt;Country: Cyprus&lt;br&gt;Region: &lt;br&gt;Place: </t>
  </si>
  <si>
    <t xml:space="preserve">&lt;b&gt;Palais des Rois de Majorque (Perpignan)&lt;/b&gt;&lt;br&gt;&lt;br&gt;&lt;img src='http://www.topcastles.com/images/large/perpignan.jpg' border='0'&gt;&lt;br&gt;&lt;br&gt;Topcastle according to http://www.topcastles.com/kastelen.php?SubMenu=main&amp;SelCastle=perpignan&lt;br&gt;&lt;br&gt;631. Palais des Rois de Majorque (Perpignan)&lt;br&gt;Country: France&lt;br&gt;Region: Languedoc-Roussillon&lt;br&gt;Place: </t>
  </si>
  <si>
    <t xml:space="preserve">&lt;b&gt;Nicosia (Lefkoşa)&lt;/b&gt;&lt;br&gt;&lt;br&gt;&lt;img src='http://www.topcastles.com/images/large/nicosia.jpg' border='0'&gt;&lt;br&gt;&lt;br&gt;Topcastle according to http://www.topcastles.com/kastelen.php?SubMenu=main&amp;SelCastle=nicosia&lt;br&gt;&lt;br&gt;632. Nicosia (Lefkoşa)&lt;br&gt;Country: Cyprus&lt;br&gt;Region: &lt;br&gt;Place: </t>
  </si>
  <si>
    <t xml:space="preserve">&lt;b&gt;Middleham Castle&lt;/b&gt;&lt;br&gt;&lt;br&gt;&lt;img src='http://www.topcastles.com/images/large/middleham.jpg' border='0'&gt;&lt;br&gt;&lt;br&gt;Topcastle according to http://www.topcastles.com/kastelen.php?SubMenu=main&amp;SelCastle=middleham&lt;br&gt;&lt;br&gt;633. Middleham Castle&lt;br&gt;Country: England&lt;br&gt;Region: Yorkshire and Humber&lt;br&gt;Place: </t>
  </si>
  <si>
    <t>&lt;b&gt;Burg Nideggen&lt;/b&gt;&lt;br&gt;&lt;br&gt;&lt;img src='http://www.topcastles.com/images/large/nideggen.jpg' border='0'&gt;&lt;br&gt;&lt;br&gt;Topcastle according to http://www.topcastles.com/kastelen.php?SubMenu=main&amp;SelCastle=nideggen&lt;br&gt;&lt;br&gt;634. Burg Nideggen&lt;br&gt;Country: Germany&lt;br&gt;Region: Rheinland-Pfalz&lt;br&gt;Place: Nideggen</t>
  </si>
  <si>
    <t>&lt;b&gt;Castillo de San Juan de la Suda de Tortosa&lt;/b&gt;&lt;br&gt;&lt;br&gt;&lt;img src='http://www.topcastles.com/images/large/tortosa.jpg' border='0'&gt;&lt;br&gt;&lt;br&gt;Topcastle according to http://www.topcastles.com/kastelen.php?SubMenu=main&amp;SelCastle=tortosa&lt;br&gt;&lt;br&gt;635. Castillo de San Juan de la Suda de Tortosa&lt;br&gt;Country: Spain&lt;br&gt;Region: Catalunya&lt;br&gt;Place: Tortosa (Tarragona)</t>
  </si>
  <si>
    <t>&lt;b&gt;Château de Conciergerie&lt;/b&gt;&lt;br&gt;&lt;br&gt;&lt;img src='http://www.topcastles.com/images/large/conciergerie.jpg' border='0'&gt;&lt;br&gt;&lt;br&gt;Topcastle according to http://www.topcastles.com/kastelen.php?SubMenu=main&amp;SelCastle=conciergerie&lt;br&gt;&lt;br&gt;636. Château de Conciergerie&lt;br&gt;Country: France&lt;br&gt;Region: Ile-de-France&lt;br&gt;Place: Paris</t>
  </si>
  <si>
    <t xml:space="preserve">&lt;b&gt;Stari grad Veliki Kalnik&lt;/b&gt;&lt;br&gt;&lt;br&gt;&lt;img src='http://www.topcastles.com/images/large/velikikalnik.jpg' border='0'&gt;&lt;br&gt;&lt;br&gt;Topcastle according to http://www.topcastles.com/kastelen.php?SubMenu=main&amp;SelCastle=velikikalnik&lt;br&gt;&lt;br&gt;637. Stari grad Veliki Kalnik&lt;br&gt;Country: Croatia&lt;br&gt;Region: &lt;br&gt;Place: </t>
  </si>
  <si>
    <t>&lt;b&gt;Szymbark (Schönberg)&lt;/b&gt;&lt;br&gt;&lt;br&gt;&lt;img src='http://www.topcastles.com/images/large/ishakpasa.jpg' border='0'&gt;&lt;br&gt;&lt;br&gt;Topcastle according to http://www.topcastles.com/kastelen.php?SubMenu=main&amp;SelCastle=ishakpasa&lt;br&gt;&lt;br&gt;638. Szymbark (Schönberg)&lt;br&gt;Country: Turkey&lt;br&gt;Region: &lt;br&gt;Place: Dogubeyazit</t>
  </si>
  <si>
    <t>&lt;b&gt;Nunney Castle&lt;/b&gt;&lt;br&gt;&lt;br&gt;&lt;img src='http://www.topcastles.com/images/large/nunney.jpg' border='0'&gt;&lt;br&gt;&lt;br&gt;Topcastle according to http://www.topcastles.com/kastelen.php?SubMenu=main&amp;SelCastle=nunney&lt;br&gt;&lt;br&gt;639. Nunney Castle&lt;br&gt;Country: England&lt;br&gt;Region: South West&lt;br&gt;Place: (Somerset)</t>
  </si>
  <si>
    <t xml:space="preserve">&lt;b&gt;Nagoya&lt;/b&gt;&lt;br&gt;&lt;br&gt;&lt;img src='http://www.topcastles.com/images/large/nagoya.jpg' border='0'&gt;&lt;br&gt;&lt;br&gt;Topcastle according to http://www.topcastles.com/kastelen.php?SubMenu=main&amp;SelCastle=nagoya&lt;br&gt;&lt;br&gt;640. Nagoya&lt;br&gt;Country: Japan&lt;br&gt;Region: &lt;br&gt;Place: </t>
  </si>
  <si>
    <t>&lt;b&gt;Torun (Thorn)&lt;/b&gt;&lt;br&gt;&lt;br&gt;&lt;img src='http://www.topcastles.com/images/large/torun.jpg' border='0'&gt;&lt;br&gt;&lt;br&gt;Topcastle according to http://www.topcastles.com/kastelen.php?SubMenu=main&amp;SelCastle=torun&lt;br&gt;&lt;br&gt;641. Torun (Thorn)&lt;br&gt;Country: Poland&lt;br&gt;Region: Kujawksko-Pomorskie&lt;br&gt;Place: Torun</t>
  </si>
  <si>
    <t xml:space="preserve">&lt;b&gt;Buffavento&lt;/b&gt;&lt;br&gt;&lt;br&gt;&lt;img src='http://www.topcastles.com/images/large/buffavento.jpg' border='0'&gt;&lt;br&gt;&lt;br&gt;Topcastle according to http://www.topcastles.com/kastelen.php?SubMenu=main&amp;SelCastle=buffavento&lt;br&gt;&lt;br&gt;642. Buffavento&lt;br&gt;Country: Cyprus&lt;br&gt;Region: &lt;br&gt;Place: </t>
  </si>
  <si>
    <t>&lt;b&gt;Burg Prunn an der Altmühl&lt;/b&gt;&lt;br&gt;&lt;br&gt;&lt;img src='http://www.topcastles.com/images/large/prunn.jpg' border='0'&gt;&lt;br&gt;&lt;br&gt;Topcastle according to http://www.topcastles.com/kastelen.php?SubMenu=main&amp;SelCastle=prunn&lt;br&gt;&lt;br&gt;643. Burg Prunn an der Altmühl&lt;br&gt;Country: Germany&lt;br&gt;Region: Bayern&lt;br&gt;Place: Riedenburg</t>
  </si>
  <si>
    <t xml:space="preserve">&lt;b&gt;Burg Sprechenstein (Castel Pietra)&lt;/b&gt;&lt;br&gt;&lt;br&gt;&lt;img src='http://www.topcastles.com/images/large/sprechenstein.jpg' border='0'&gt;&lt;br&gt;&lt;br&gt;Topcastle according to http://www.topcastles.com/kastelen.php?SubMenu=main&amp;SelCastle=sprechenstein&lt;br&gt;&lt;br&gt;644. Burg Sprechenstein (Castel Pietra)&lt;br&gt;Country: Italy&lt;br&gt;Region: Trento (Zuid-Tirol, Trentino)&lt;br&gt;Place: </t>
  </si>
  <si>
    <t>&lt;b&gt;Kasteel Hernen&lt;/b&gt;&lt;br&gt;&lt;br&gt;&lt;img src='http://www.topcastles.com/images/large/hernen.jpg' border='0'&gt;&lt;br&gt;&lt;br&gt;Topcastle according to http://www.topcastles.com/kastelen.php?SubMenu=main&amp;SelCastle=hernen&lt;br&gt;&lt;br&gt;645. Kasteel Hernen&lt;br&gt;Country: Netherlands&lt;br&gt;Region: Gelderland&lt;br&gt;Place: Hernen</t>
  </si>
  <si>
    <t xml:space="preserve">&lt;b&gt;Aberystwyth Castle &lt;/b&gt;&lt;br&gt;&lt;br&gt;&lt;img src='http://www.topcastles.com/images/large/aberystwyth.jpg' border='0'&gt;&lt;br&gt;&lt;br&gt;Topcastle according to http://www.topcastles.com/kastelen.php?SubMenu=main&amp;SelCastle=aberystwyth&lt;br&gt;&lt;br&gt;646. Aberystwyth Castle &lt;br&gt;Country: Wales&lt;br&gt;Region: Dyfed&lt;br&gt;Place: </t>
  </si>
  <si>
    <t xml:space="preserve">&lt;b&gt;Narva&lt;/b&gt;&lt;br&gt;&lt;br&gt;&lt;img src='http://www.topcastles.com/images/large/narva.jpg' border='0'&gt;&lt;br&gt;&lt;br&gt;Topcastle according to http://www.topcastles.com/kastelen.php?SubMenu=main&amp;SelCastle=narva&lt;br&gt;&lt;br&gt;647. Narva&lt;br&gt;Country: Estonia&lt;br&gt;Region: &lt;br&gt;Place: </t>
  </si>
  <si>
    <t>&lt;b&gt;Hrad Kokorín &lt;/b&gt;&lt;br&gt;&lt;br&gt;&lt;img src='http://www.topcastles.com/images/large/kokorin.jpg' border='0'&gt;&lt;br&gt;&lt;br&gt;Topcastle according to http://www.topcastles.com/kastelen.php?SubMenu=main&amp;SelCastle=kokorin&lt;br&gt;&lt;br&gt;648. Hrad Kokorín &lt;br&gt;Country: Czechia&lt;br&gt;Region: Stredo Ceský (Mittelböhmen)&lt;br&gt;Place: Kokorín</t>
  </si>
  <si>
    <t>&lt;b&gt;Castillo de Jadraque (Castello del Cid)&lt;/b&gt;&lt;br&gt;&lt;br&gt;&lt;img src='http://www.topcastles.com/images/large/jadraque.jpg' border='0'&gt;&lt;br&gt;&lt;br&gt;Topcastle according to http://www.topcastles.com/kastelen.php?SubMenu=main&amp;SelCastle=jadraque&lt;br&gt;&lt;br&gt;649. Castillo de Jadraque (Castello del Cid)&lt;br&gt;Country: Spain&lt;br&gt;Region: Castilla-La Mancha&lt;br&gt;Place: Jadraque (Guadalajara)</t>
  </si>
  <si>
    <t xml:space="preserve">&lt;b&gt;Dunamase Castle&lt;/b&gt;&lt;br&gt;&lt;br&gt;&lt;img src='http://www.topcastles.com/images/large/dunamase.jpg' border='0'&gt;&lt;br&gt;&lt;br&gt;Topcastle according to http://www.topcastles.com/kastelen.php?SubMenu=main&amp;SelCastle=dunamase&lt;br&gt;&lt;br&gt;650. Dunamase Castle&lt;br&gt;Country: Republic of Ireland&lt;br&gt;Region: Laois&lt;br&gt;Place: </t>
  </si>
  <si>
    <t xml:space="preserve">&lt;b&gt;Rocca Sanvitale (Fontanellato)&lt;/b&gt;&lt;br&gt;&lt;br&gt;&lt;img src='http://www.topcastles.com/images/large/fontanellato.jpg' border='0'&gt;&lt;br&gt;&lt;br&gt;Topcastle according to http://www.topcastles.com/kastelen.php?SubMenu=main&amp;SelCastle=fontanellato&lt;br&gt;&lt;br&gt;651. Rocca Sanvitale (Fontanellato)&lt;br&gt;Country: Italy&lt;br&gt;Region: Emilia-Romagna&lt;br&gt;Place: </t>
  </si>
  <si>
    <t>&lt;b&gt;Château de la Roche En Ardenne&lt;/b&gt;&lt;br&gt;&lt;br&gt;&lt;img src='http://www.topcastles.com/images/large/rocheenardenne.jpg' border='0'&gt;&lt;br&gt;&lt;br&gt;Topcastle according to http://www.topcastles.com/kastelen.php?SubMenu=main&amp;SelCastle=rocheenardenne&lt;br&gt;&lt;br&gt;652. Château de la Roche En Ardenne&lt;br&gt;Country: Belgium&lt;br&gt;Region: Luxemburg&lt;br&gt;Place: Roche en Ardenne</t>
  </si>
  <si>
    <t>&lt;b&gt;Château de La Roche Guyon&lt;/b&gt;&lt;br&gt;&lt;br&gt;&lt;img src='http://www.topcastles.com/images/large/rocheguyon.jpg' border='0'&gt;&lt;br&gt;&lt;br&gt;Topcastle according to http://www.topcastles.com/kastelen.php?SubMenu=main&amp;SelCastle=rocheguyon&lt;br&gt;&lt;br&gt;653. Château de La Roche Guyon&lt;br&gt;Country: France&lt;br&gt;Region: Ile-de-France&lt;br&gt;Place: La Roche-Guyon</t>
  </si>
  <si>
    <t>&lt;b&gt;Hollókõ vár&lt;/b&gt;&lt;br&gt;&lt;br&gt;&lt;img src='http://www.topcastles.com/images/large/holloko.jpg' border='0'&gt;&lt;br&gt;&lt;br&gt;Topcastle according to http://www.topcastles.com/kastelen.php?SubMenu=main&amp;SelCastle=holloko&lt;br&gt;&lt;br&gt;654. Hollókõ vár&lt;br&gt;Country: Hungary&lt;br&gt;Region: Észak Magyaroszág (Northern Hungary)&lt;br&gt;Place: Hollókõ</t>
  </si>
  <si>
    <t>&lt;b&gt;Korycus (Kiz Kalesi "Maiden's Castle")&lt;/b&gt;&lt;br&gt;&lt;br&gt;&lt;img src='http://www.topcastles.com/images/large/korycus.jpg' border='0'&gt;&lt;br&gt;&lt;br&gt;Topcastle according to http://www.topcastles.com/kastelen.php?SubMenu=main&amp;SelCastle=korycus&lt;br&gt;&lt;br&gt;655. Korycus (Kiz Kalesi "Maiden's Castle")&lt;br&gt;Country: Turkey&lt;br&gt;Region: Erdemli&lt;br&gt;Place: Mersin</t>
  </si>
  <si>
    <t>&lt;b&gt;Reinhardstein (Kasteel van Renaud Metternich)&lt;/b&gt;&lt;br&gt;&lt;br&gt;&lt;img src='http://www.topcastles.com/images/large/reinhardstein.jpg' border='0'&gt;&lt;br&gt;&lt;br&gt;Topcastle according to http://www.topcastles.com/kastelen.php?SubMenu=main&amp;SelCastle=reinhardstein&lt;br&gt;&lt;br&gt;656. Reinhardstein (Kasteel van Renaud Metternich)&lt;br&gt;Country: Belgium&lt;br&gt;Region: Luik&lt;br&gt;Place: Waimes</t>
  </si>
  <si>
    <t>&lt;b&gt;Altenburg&lt;/b&gt;&lt;br&gt;&lt;br&gt;&lt;img src='http://www.topcastles.com/images/large/altenburg.jpg' border='0'&gt;&lt;br&gt;&lt;br&gt;Topcastle according to http://www.topcastles.com/kastelen.php?SubMenu=main&amp;SelCastle=altenburg&lt;br&gt;&lt;br&gt;657. Altenburg&lt;br&gt;Country: Germany&lt;br&gt;Region: Sachsen-Anhalt&lt;br&gt;Place: Bamberg</t>
  </si>
  <si>
    <t>&lt;b&gt;Castillo de Nogales&lt;/b&gt;&lt;br&gt;&lt;br&gt;&lt;img src='http://www.topcastles.com/images/large/nogales.jpg' border='0'&gt;&lt;br&gt;&lt;br&gt;Topcastle according to http://www.topcastles.com/kastelen.php?SubMenu=main&amp;SelCastle=nogales&lt;br&gt;&lt;br&gt;658. Castillo de Nogales&lt;br&gt;Country: Spain&lt;br&gt;Region: Extremadura&lt;br&gt;Place: Nogeles (Badajoz)</t>
  </si>
  <si>
    <t>&lt;b&gt;Castello di Ussel&lt;/b&gt;&lt;br&gt;&lt;br&gt;&lt;img src='http://www.topcastles.com/images/large/ussel.jpg' border='0'&gt;&lt;br&gt;&lt;br&gt;Topcastle according to http://www.topcastles.com/kastelen.php?SubMenu=main&amp;SelCastle=ussel&lt;br&gt;&lt;br&gt;659. Castello di Ussel&lt;br&gt;Country: Italy&lt;br&gt;Region: Valle d'Aosta&lt;br&gt;Place: Chatillon</t>
  </si>
  <si>
    <t>&lt;b&gt;Château de Walzin&lt;/b&gt;&lt;br&gt;&lt;br&gt;&lt;img src='http://www.topcastles.com/images/large/walzin.jpg' border='0'&gt;&lt;br&gt;&lt;br&gt;Topcastle according to http://www.topcastles.com/kastelen.php?SubMenu=main&amp;SelCastle=walzin&lt;br&gt;&lt;br&gt;660. Château de Walzin&lt;br&gt;Country: Belgium&lt;br&gt;Region: Namen&lt;br&gt;Place: Dréhance (Dinant)</t>
  </si>
  <si>
    <t xml:space="preserve">&lt;b&gt;Burg Schlaining (Schlainig)&lt;/b&gt;&lt;br&gt;&lt;br&gt;&lt;img src='http://www.topcastles.com/images/large/schlainig.jpg' border='0'&gt;&lt;br&gt;&lt;br&gt;Topcastle according to http://www.topcastles.com/kastelen.php?SubMenu=main&amp;SelCastle=schlainig&lt;br&gt;&lt;br&gt;661. Burg Schlaining (Schlainig)&lt;br&gt;Country: Austria&lt;br&gt;Region: Burgenland&lt;br&gt;Place: </t>
  </si>
  <si>
    <t xml:space="preserve">&lt;b&gt;Château de Neuchâtel (Neuenburg)&lt;/b&gt;&lt;br&gt;&lt;br&gt;&lt;img src='http://www.topcastles.com/images/large/neuchatel.jpg' border='0'&gt;&lt;br&gt;&lt;br&gt;Topcastle according to http://www.topcastles.com/kastelen.php?SubMenu=main&amp;SelCastle=neuchatel&lt;br&gt;&lt;br&gt;662. Château de Neuchâtel (Neuenburg)&lt;br&gt;Country: Switzerland&lt;br&gt;Region: Nordwestschweiz&lt;br&gt;Place: </t>
  </si>
  <si>
    <t>&lt;b&gt;Burg Neuscharfeneck&lt;/b&gt;&lt;br&gt;&lt;br&gt;&lt;img src='http://www.topcastles.com/images/large/neuscharfeneck.jpg' border='0'&gt;&lt;br&gt;&lt;br&gt;Topcastle according to http://www.topcastles.com/kastelen.php?SubMenu=main&amp;SelCastle=neuscharfeneck&lt;br&gt;&lt;br&gt;663. Burg Neuscharfeneck&lt;br&gt;Country: Germany&lt;br&gt;Region: Rheinland-Pfalz&lt;br&gt;Place: Ramberg</t>
  </si>
  <si>
    <t xml:space="preserve">&lt;b&gt;Shlisselburg (Krepkyj Oreshek)&lt;/b&gt;&lt;br&gt;&lt;br&gt;&lt;img src='http://www.topcastles.com/images/large/shlisselburg.jpg' border='0'&gt;&lt;br&gt;&lt;br&gt;Topcastle according to http://www.topcastles.com/kastelen.php?SubMenu=main&amp;SelCastle=shlisselburg&lt;br&gt;&lt;br&gt;664. Shlisselburg (Krepkyj Oreshek)&lt;br&gt;Country: Russia&lt;br&gt;Region: &lt;br&gt;Place: </t>
  </si>
  <si>
    <t>&lt;b&gt;Loch Leven Castle&lt;/b&gt;&lt;br&gt;&lt;br&gt;&lt;img src='http://www.topcastles.com/images/large/lochleven.jpg' border='0'&gt;&lt;br&gt;&lt;br&gt;Topcastle according to http://www.topcastles.com/kastelen.php?SubMenu=main&amp;SelCastle=lochleven&lt;br&gt;&lt;br&gt;665. Loch Leven Castle&lt;br&gt;Country: Scotland&lt;br&gt;Region: Grampian&lt;br&gt;Place: (Tayside)</t>
  </si>
  <si>
    <t>&lt;b&gt;Dunstanburgh Castle&lt;/b&gt;&lt;br&gt;&lt;br&gt;&lt;img src='http://www.topcastles.com/images/large/dunstanburgh.jpg' border='0'&gt;&lt;br&gt;&lt;br&gt;Topcastle according to http://www.topcastles.com/kastelen.php?SubMenu=main&amp;SelCastle=dunstanburgh&lt;br&gt;&lt;br&gt;666. Dunstanburgh Castle&lt;br&gt;Country: England&lt;br&gt;Region: North East&lt;br&gt;Place: (Northumberland)</t>
  </si>
  <si>
    <t>&lt;b&gt;Château de Dourdan&lt;/b&gt;&lt;br&gt;&lt;br&gt;&lt;img src='http://www.topcastles.com/images/large/dourdan.jpg' border='0'&gt;&lt;br&gt;&lt;br&gt;Topcastle according to http://www.topcastles.com/kastelen.php?SubMenu=main&amp;SelCastle=dourdan&lt;br&gt;&lt;br&gt;667. Château de Dourdan&lt;br&gt;Country: France&lt;br&gt;Region: Ile-de-France&lt;br&gt;Place: Dourdan</t>
  </si>
  <si>
    <t>&lt;b&gt;Kasteel Duurstede&lt;/b&gt;&lt;br&gt;&lt;br&gt;&lt;img src='http://www.topcastles.com/images/large/duurstede.jpg' border='0'&gt;&lt;br&gt;&lt;br&gt;Topcastle according to http://www.topcastles.com/kastelen.php?SubMenu=main&amp;SelCastle=duurstede&lt;br&gt;&lt;br&gt;668. Kasteel Duurstede&lt;br&gt;Country: Netherlands&lt;br&gt;Region: Gelderland&lt;br&gt;Place: Wijk bij Duurstede</t>
  </si>
  <si>
    <t>&lt;b&gt;Château d'Anjony&lt;/b&gt;&lt;br&gt;&lt;br&gt;&lt;img src='http://www.topcastles.com/images/large/anjony.jpg' border='0'&gt;&lt;br&gt;&lt;br&gt;Topcastle according to http://www.topcastles.com/kastelen.php?SubMenu=main&amp;SelCastle=anjony&lt;br&gt;&lt;br&gt;669. Château d'Anjony&lt;br&gt;Country: France&lt;br&gt;Region: Auvergne&lt;br&gt;Place: Tournemire</t>
  </si>
  <si>
    <t>&lt;b&gt;Launceston Castle&lt;/b&gt;&lt;br&gt;&lt;br&gt;&lt;img src='http://www.topcastles.com/images/large/launceston.jpg' border='0'&gt;&lt;br&gt;&lt;br&gt;Topcastle according to http://www.topcastles.com/kastelen.php?SubMenu=main&amp;SelCastle=launceston&lt;br&gt;&lt;br&gt;670. Launceston Castle&lt;br&gt;Country: England&lt;br&gt;Region: South West&lt;br&gt;Place: Launceston (Cornwall)</t>
  </si>
  <si>
    <t>&lt;b&gt;Castillo de Archidona (Sierra de Gracia)&lt;/b&gt;&lt;br&gt;&lt;br&gt;&lt;img src='http://www.topcastles.com/images/large/archidona.jpg' border='0'&gt;&lt;br&gt;&lt;br&gt;Topcastle according to http://www.topcastles.com/kastelen.php?SubMenu=main&amp;SelCastle=archidona&lt;br&gt;&lt;br&gt;671. Castillo de Archidona (Sierra de Gracia)&lt;br&gt;Country: Spain&lt;br&gt;Region: Andalucia&lt;br&gt;Place: Archidona</t>
  </si>
  <si>
    <t>&lt;b&gt;Daulatabad&lt;/b&gt;&lt;br&gt;&lt;br&gt;&lt;img src='http://www.topcastles.com/images/large/daulatabad.jpg' border='0'&gt;&lt;br&gt;&lt;br&gt;Topcastle according to http://www.topcastles.com/kastelen.php?SubMenu=main&amp;SelCastle=daulatabad&lt;br&gt;&lt;br&gt;672. Daulatabad&lt;br&gt;Country: India&lt;br&gt;Region: Maharashtra&lt;br&gt;Place: Daulatabad</t>
  </si>
  <si>
    <t>&lt;b&gt;Castillo de Aledo&lt;/b&gt;&lt;br&gt;&lt;br&gt;&lt;img src='http://www.topcastles.com/images/large/aledo.jpg' border='0'&gt;&lt;br&gt;&lt;br&gt;Topcastle according to http://www.topcastles.com/kastelen.php?SubMenu=main&amp;SelCastle=aledo&lt;br&gt;&lt;br&gt;673. Castillo de Aledo&lt;br&gt;Country: Spain&lt;br&gt;Region: Murcia&lt;br&gt;Place: Aledo</t>
  </si>
  <si>
    <t>&lt;b&gt;Kasteel van Groot-Bijgaarden (Château de Grand-Bigard)&lt;/b&gt;&lt;br&gt;&lt;br&gt;&lt;img src='http://www.topcastles.com/images/large/grootbijgaarden.jpg' border='0'&gt;&lt;br&gt;&lt;br&gt;Topcastle according to http://www.topcastles.com/kastelen.php?SubMenu=main&amp;SelCastle=grootbijgaarden&lt;br&gt;&lt;br&gt;674. Kasteel van Groot-Bijgaarden (Château de Grand-Bigard)&lt;br&gt;Country: Belgium&lt;br&gt;Region: Brabant&lt;br&gt;Place: Groot-Bijgaarden</t>
  </si>
  <si>
    <t xml:space="preserve">&lt;b&gt;St. Hilarion&lt;/b&gt;&lt;br&gt;&lt;br&gt;&lt;img src='http://www.topcastles.com/images/large/hilarion.jpg' border='0'&gt;&lt;br&gt;&lt;br&gt;Topcastle according to http://www.topcastles.com/kastelen.php?SubMenu=main&amp;SelCastle=hilarion&lt;br&gt;&lt;br&gt;675. St. Hilarion&lt;br&gt;Country: Cyprus&lt;br&gt;Region: &lt;br&gt;Place: </t>
  </si>
  <si>
    <t xml:space="preserve">&lt;b&gt;Safita (Chastel Blanc)&lt;/b&gt;&lt;br&gt;&lt;br&gt;&lt;img src='http://www.topcastles.com/images/large/safita.jpg' border='0'&gt;&lt;br&gt;&lt;br&gt;Topcastle according to http://www.topcastles.com/kastelen.php?SubMenu=main&amp;SelCastle=safita&lt;br&gt;&lt;br&gt;676. Safita (Chastel Blanc)&lt;br&gt;Country: Syria&lt;br&gt;Region: &lt;br&gt;Place: </t>
  </si>
  <si>
    <t>&lt;b&gt;Burg Freudenberg (Bad Ragaz)&lt;/b&gt;&lt;br&gt;&lt;br&gt;&lt;img src='http://www.topcastles.com/images/large/freudenberg.jpg' border='0'&gt;&lt;br&gt;&lt;br&gt;Topcastle according to http://www.topcastles.com/kastelen.php?SubMenu=main&amp;SelCastle=freudenberg&lt;br&gt;&lt;br&gt;677. Burg Freudenberg (Bad Ragaz)&lt;br&gt;Country: Switzerland&lt;br&gt;Region: Ostschweiz&lt;br&gt;Place: (Kanton Graubünden)</t>
  </si>
  <si>
    <t>&lt;b&gt;Château de Fayrac (Castelnaud-la-Chapelle)&lt;/b&gt;&lt;br&gt;&lt;br&gt;&lt;img src='http://www.topcastles.com/images/large/fayrac.jpg' border='0'&gt;&lt;br&gt;&lt;br&gt;Topcastle according to http://www.topcastles.com/kastelen.php?SubMenu=main&amp;SelCastle=fayrac&lt;br&gt;&lt;br&gt;678. Château de Fayrac (Castelnaud-la-Chapelle)&lt;br&gt;Country: France&lt;br&gt;Region: Aquitaine&lt;br&gt;Place: Castelnaud-Fayrac</t>
  </si>
  <si>
    <t xml:space="preserve">&lt;b&gt;Château de Biron&lt;/b&gt;&lt;br&gt;&lt;br&gt;&lt;img src='http://www.topcastles.com/images/large/biron.jpg' border='0'&gt;&lt;br&gt;&lt;br&gt;Topcastle according to http://www.topcastles.com/kastelen.php?SubMenu=main&amp;SelCastle=biron&lt;br&gt;&lt;br&gt;679. Château de Biron&lt;br&gt;Country: France&lt;br&gt;Region: Aquitaine&lt;br&gt;Place: </t>
  </si>
  <si>
    <t>&lt;b&gt;Claypotts Castle&lt;/b&gt;&lt;br&gt;&lt;br&gt;&lt;img src='http://www.topcastles.com/images/large/claypotts.jpg' border='0'&gt;&lt;br&gt;&lt;br&gt;Topcastle according to http://www.topcastles.com/kastelen.php?SubMenu=main&amp;SelCastle=claypotts&lt;br&gt;&lt;br&gt;680. Claypotts Castle&lt;br&gt;Country: Scotland&lt;br&gt;Region: Grampian&lt;br&gt;Place: Dundee (Tayside)</t>
  </si>
  <si>
    <t>&lt;b&gt;Burg Eisenberg&lt;/b&gt;&lt;br&gt;&lt;br&gt;&lt;img src='http://www.topcastles.com/images/large/eisenberg.jpg' border='0'&gt;&lt;br&gt;&lt;br&gt;Topcastle according to http://www.topcastles.com/kastelen.php?SubMenu=main&amp;SelCastle=eisenberg&lt;br&gt;&lt;br&gt;681. Burg Eisenberg&lt;br&gt;Country: Germany&lt;br&gt;Region: Bayern&lt;br&gt;Place: Pfronten</t>
  </si>
  <si>
    <t xml:space="preserve">&lt;b&gt;Hochburg&lt;/b&gt;&lt;br&gt;&lt;br&gt;&lt;img src='http://www.topcastles.com/images/large/hochburg.jpg' border='0'&gt;&lt;br&gt;&lt;br&gt;Topcastle according to http://www.topcastles.com/kastelen.php?SubMenu=main&amp;SelCastle=hochburg&lt;br&gt;&lt;br&gt;682. Hochburg&lt;br&gt;Country: Germany&lt;br&gt;Region: Baden-Würtenberg&lt;br&gt;Place: </t>
  </si>
  <si>
    <t>&lt;b&gt;Castillo de Calahorra &lt;/b&gt;&lt;br&gt;&lt;br&gt;&lt;img src='http://www.topcastles.com/images/large/calahorra.jpg' border='0'&gt;&lt;br&gt;&lt;br&gt;Topcastle according to http://www.topcastles.com/kastelen.php?SubMenu=main&amp;SelCastle=calahorra&lt;br&gt;&lt;br&gt;683. Castillo de Calahorra &lt;br&gt;Country: Spain&lt;br&gt;Region: Andalucia&lt;br&gt;Place: Granada</t>
  </si>
  <si>
    <t>&lt;b&gt;Darlowo (Rugenwalde)&lt;/b&gt;&lt;br&gt;&lt;br&gt;&lt;img src='http://www.topcastles.com/images/large/darlowo.jpg' border='0'&gt;&lt;br&gt;&lt;br&gt;Topcastle according to http://www.topcastles.com/kastelen.php?SubMenu=main&amp;SelCastle=darlowo&lt;br&gt;&lt;br&gt;684. Darlowo (Rugenwalde)&lt;br&gt;Country: Poland&lt;br&gt;Region: Zachodnio-Pomorskie&lt;br&gt;Place: Darlowo</t>
  </si>
  <si>
    <t xml:space="preserve">&lt;b&gt;Kollmitz (Kollnitz, Collmiz)&lt;/b&gt;&lt;br&gt;&lt;br&gt;&lt;img src='http://www.topcastles.com/images/large/kollnitz.jpg' border='0'&gt;&lt;br&gt;&lt;br&gt;Topcastle according to http://www.topcastles.com/kastelen.php?SubMenu=main&amp;SelCastle=kollnitz&lt;br&gt;&lt;br&gt;685. Kollmitz (Kollnitz, Collmiz)&lt;br&gt;Country: Austria&lt;br&gt;Region: Niederöstenreich&lt;br&gt;Place: </t>
  </si>
  <si>
    <t>&lt;b&gt;Château de Roquetaillade&lt;/b&gt;&lt;br&gt;&lt;br&gt;&lt;img src='http://www.topcastles.com/images/large/roquetaillade.jpg' border='0'&gt;&lt;br&gt;&lt;br&gt;Topcastle according to http://www.topcastles.com/kastelen.php?SubMenu=main&amp;SelCastle=roquetaillade&lt;br&gt;&lt;br&gt;686. Château de Roquetaillade&lt;br&gt;Country: France&lt;br&gt;Region: Aquitaine&lt;br&gt;Place: Mazieres</t>
  </si>
  <si>
    <t>&lt;b&gt;Ashby-de-la-Zouche Castle&lt;/b&gt;&lt;br&gt;&lt;br&gt;&lt;img src='http://www.topcastles.com/images/large/ashbydelazouche.jpg' border='0'&gt;&lt;br&gt;&lt;br&gt;Topcastle according to http://www.topcastles.com/kastelen.php?SubMenu=main&amp;SelCastle=ashbydelazouche&lt;br&gt;&lt;br&gt;687. Ashby-de-la-Zouche Castle&lt;br&gt;Country: England&lt;br&gt;Region: East Midlands&lt;br&gt;Place: Ashby (Essex)</t>
  </si>
  <si>
    <t>&lt;b&gt;La Kasbah&lt;/b&gt;&lt;br&gt;&lt;br&gt;&lt;img src='http://www.topcastles.com/images/large/kasbah.jpg' border='0'&gt;&lt;br&gt;&lt;br&gt;Topcastle according to http://www.topcastles.com/kastelen.php?SubMenu=main&amp;SelCastle=kasbah&lt;br&gt;&lt;br&gt;688. La Kasbah&lt;br&gt;Country: Tunisia&lt;br&gt;Region: &lt;br&gt;Place: Sousse</t>
  </si>
  <si>
    <t>&lt;b&gt;Hrad Kašperk (Karlsberg)&lt;/b&gt;&lt;br&gt;&lt;br&gt;&lt;img src='http://www.topcastles.com/images/large/kasperk.jpg' border='0'&gt;&lt;br&gt;&lt;br&gt;Topcastle according to http://www.topcastles.com/kastelen.php?SubMenu=main&amp;SelCastle=kasperk&lt;br&gt;&lt;br&gt;689. Hrad Kašperk (Karlsberg)&lt;br&gt;Country: Czechia&lt;br&gt;Region: Plzen (Pilsen)&lt;br&gt;Place: Kašperské Hory</t>
  </si>
  <si>
    <t>&lt;b&gt;Burg Glopper (Neu-Ems)&lt;/b&gt;&lt;br&gt;&lt;br&gt;&lt;img src='http://www.topcastles.com/images/large/glopper.jpg' border='0'&gt;&lt;br&gt;&lt;br&gt;Topcastle according to http://www.topcastles.com/kastelen.php?SubMenu=main&amp;SelCastle=glopper&lt;br&gt;&lt;br&gt;690. Burg Glopper (Neu-Ems)&lt;br&gt;Country: Austria&lt;br&gt;Region: Voralberg&lt;br&gt;Place: Hohenems</t>
  </si>
  <si>
    <t>&lt;b&gt;Szymbark (Schönberg)&lt;/b&gt;&lt;br&gt;&lt;br&gt;&lt;img src='http://www.topcastles.com/images/large/szymbark.jpg' border='0'&gt;&lt;br&gt;&lt;br&gt;Topcastle according to http://www.topcastles.com/kastelen.php?SubMenu=main&amp;SelCastle=szymbark&lt;br&gt;&lt;br&gt;691. Szymbark (Schönberg)&lt;br&gt;Country: Poland&lt;br&gt;Region: Malopolskie (Lesser Poland)&lt;br&gt;Place: Szymbark</t>
  </si>
  <si>
    <t xml:space="preserve">&lt;b&gt;Château de Clervaux (Clerf)&lt;/b&gt;&lt;br&gt;&lt;br&gt;&lt;img src='http://www.topcastles.com/images/large/clervaux.jpg' border='0'&gt;&lt;br&gt;&lt;br&gt;Topcastle according to http://www.topcastles.com/kastelen.php?SubMenu=main&amp;SelCastle=clervaux&lt;br&gt;&lt;br&gt;692. Château de Clervaux (Clerf)&lt;br&gt;Country: Luxemburg&lt;br&gt;Region: &lt;br&gt;Place: </t>
  </si>
  <si>
    <t xml:space="preserve">&lt;b&gt;Medvedgrad (Bärenburg)&lt;/b&gt;&lt;br&gt;&lt;br&gt;&lt;img src='http://www.topcastles.com/images/large/medved.jpg' border='0'&gt;&lt;br&gt;&lt;br&gt;Topcastle according to http://www.topcastles.com/kastelen.php?SubMenu=main&amp;SelCastle=medved&lt;br&gt;&lt;br&gt;693. Medvedgrad (Bärenburg)&lt;br&gt;Country: Croatia&lt;br&gt;Region: &lt;br&gt;Place: </t>
  </si>
  <si>
    <t xml:space="preserve">&lt;b&gt;Château de Larochette&lt;/b&gt;&lt;br&gt;&lt;br&gt;&lt;img src='http://www.topcastles.com/images/large/larochette.jpg' border='0'&gt;&lt;br&gt;&lt;br&gt;Topcastle according to http://www.topcastles.com/kastelen.php?SubMenu=main&amp;SelCastle=larochette&lt;br&gt;&lt;br&gt;694. Château de Larochette&lt;br&gt;Country: Luxemburg&lt;br&gt;Region: &lt;br&gt;Place: </t>
  </si>
  <si>
    <t>&lt;b&gt;Ojcow (Ojcor)&lt;/b&gt;&lt;br&gt;&lt;br&gt;&lt;img src='http://www.topcastles.com/images/large/ojcow.jpg' border='0'&gt;&lt;br&gt;&lt;br&gt;Topcastle according to http://www.topcastles.com/kastelen.php?SubMenu=main&amp;SelCastle=ojcow&lt;br&gt;&lt;br&gt;695. Ojcow (Ojcor)&lt;br&gt;Country: Poland&lt;br&gt;Region: Malopolskie (Lesser Poland)&lt;br&gt;Place: Ojcow</t>
  </si>
  <si>
    <t xml:space="preserve">&lt;b&gt;Château de Wasenbourg&lt;/b&gt;&lt;br&gt;&lt;br&gt;&lt;img src='http://www.topcastles.com/images/large/wasenbourg.jpg' border='0'&gt;&lt;br&gt;&lt;br&gt;Topcastle according to http://www.topcastles.com/kastelen.php?SubMenu=main&amp;SelCastle=wasenbourg&lt;br&gt;&lt;br&gt;696. Château de Wasenbourg&lt;br&gt;Country: France&lt;br&gt;Region: Elzas (Alsace)&lt;br&gt;Place: </t>
  </si>
  <si>
    <t>&lt;b&gt;Huntly Castle (Strathbogie)&lt;/b&gt;&lt;br&gt;&lt;br&gt;&lt;img src='http://www.topcastles.com/images/large/huntly.jpg' border='0'&gt;&lt;br&gt;&lt;br&gt;Topcastle according to http://www.topcastles.com/kastelen.php?SubMenu=main&amp;SelCastle=huntly&lt;br&gt;&lt;br&gt;697. Huntly Castle (Strathbogie)&lt;br&gt;Country: Scotland&lt;br&gt;Region: Grampian&lt;br&gt;Place: Huntley (Aberdeenshire)</t>
  </si>
  <si>
    <t xml:space="preserve">&lt;b&gt;Château de Clisson&lt;/b&gt;&lt;br&gt;&lt;br&gt;&lt;img src='http://www.topcastles.com/images/large/clisson.jpg' border='0'&gt;&lt;br&gt;&lt;br&gt;Topcastle according to http://www.topcastles.com/kastelen.php?SubMenu=main&amp;SelCastle=clisson&lt;br&gt;&lt;br&gt;698. Château de Clisson&lt;br&gt;Country: France&lt;br&gt;Region: Pays de la Loire&lt;br&gt;Place: </t>
  </si>
  <si>
    <t>&lt;b&gt;Kasteel Bossenstein&lt;/b&gt;&lt;br&gt;&lt;br&gt;&lt;img src='http://www.topcastles.com/images/large/bossenstein.jpg' border='0'&gt;&lt;br&gt;&lt;br&gt;Topcastle according to http://www.topcastles.com/kastelen.php?SubMenu=main&amp;SelCastle=bossenstein&lt;br&gt;&lt;br&gt;699. Kasteel Bossenstein&lt;br&gt;Country: Belgium&lt;br&gt;Region: Antwerpen&lt;br&gt;Place: Broechem</t>
  </si>
  <si>
    <t xml:space="preserve">&lt;b&gt;Burg Thurandt&lt;/b&gt;&lt;br&gt;&lt;br&gt;&lt;img src='http://www.topcastles.com/images/large/thurandt.jpg' border='0'&gt;&lt;br&gt;&lt;br&gt;Topcastle according to http://www.topcastles.com/kastelen.php?SubMenu=main&amp;SelCastle=thurandt&lt;br&gt;&lt;br&gt;700. Burg Thurandt&lt;br&gt;Country: Germany&lt;br&gt;Region: Rheinland-Pfalz&lt;br&gt;Place: </t>
  </si>
  <si>
    <t xml:space="preserve">&lt;b&gt;Stari grad Ostrozac&lt;/b&gt;&lt;br&gt;&lt;br&gt;&lt;img src='http://www.topcastles.com/images/large/ostrozac.jpg' border='0'&gt;&lt;br&gt;&lt;br&gt;Topcastle according to http://www.topcastles.com/kastelen.php?SubMenu=main&amp;SelCastle=ostrozac&lt;br&gt;&lt;br&gt;701. Stari grad Ostrozac&lt;br&gt;Country: Bosnia&lt;br&gt;Region: &lt;br&gt;Place: </t>
  </si>
  <si>
    <t xml:space="preserve">&lt;b&gt;Cawdor Castle&lt;/b&gt;&lt;br&gt;&lt;br&gt;&lt;img src='http://www.topcastles.com/images/large/cawdor.jpg' border='0'&gt;&lt;br&gt;&lt;br&gt;Topcastle according to http://www.topcastles.com/kastelen.php?SubMenu=main&amp;SelCastle=cawdor&lt;br&gt;&lt;br&gt;702. Cawdor Castle&lt;br&gt;Country: Scotland&lt;br&gt;Region: Highland&lt;br&gt;Place: </t>
  </si>
  <si>
    <t>Château de Vêves</t>
  </si>
  <si>
    <t>&lt;b&gt;Château de Vêves&lt;/b&gt;&lt;br&gt;&lt;br&gt;&lt;img src='http://www.topcastles.com/images/large/veves.jpg' border='0'&gt;&lt;br&gt;&lt;br&gt;Topcastle according to http://www.topcastles.com/kastelen.php?SubMenu=main&amp;SelCastle=veves&lt;br&gt;&lt;br&gt;703. Château de Vêves&lt;br&gt;Country: Belgium&lt;br&gt;Region: Namen&lt;br&gt;Place: Celles (Houyet)</t>
  </si>
  <si>
    <t xml:space="preserve">&lt;b&gt;Kaštel Petrapilosa (Kosmati kastel, Pietropesola)&lt;/b&gt;&lt;br&gt;&lt;br&gt;&lt;img src='http://www.topcastles.com/images/large/petrapilosa.jpg' border='0'&gt;&lt;br&gt;&lt;br&gt;Topcastle according to http://www.topcastles.com/kastelen.php?SubMenu=main&amp;SelCastle=petrapilosa&lt;br&gt;&lt;br&gt;704. Kaštel Petrapilosa (Kosmati kastel, Pietropesola)&lt;br&gt;Country: Croatia&lt;br&gt;Region: Istria&lt;br&gt;Place: </t>
  </si>
  <si>
    <t xml:space="preserve">&lt;b&gt;Dolwyddelan Castle&lt;/b&gt;&lt;br&gt;&lt;br&gt;&lt;img src='http://www.topcastles.com/images/large/dolwyddelan.jpg' border='0'&gt;&lt;br&gt;&lt;br&gt;Topcastle according to http://www.topcastles.com/kastelen.php?SubMenu=main&amp;SelCastle=dolwyddelan&lt;br&gt;&lt;br&gt;705. Dolwyddelan Castle&lt;br&gt;Country: Wales&lt;br&gt;Region: Gwynedd&lt;br&gt;Place: </t>
  </si>
  <si>
    <t>&lt;b&gt;Hikone&lt;/b&gt;&lt;br&gt;&lt;br&gt;&lt;img src='http://www.topcastles.com/images/large/hikone.jpg' border='0'&gt;&lt;br&gt;&lt;br&gt;Topcastle according to http://www.topcastles.com/kastelen.php?SubMenu=main&amp;SelCastle=hikone&lt;br&gt;&lt;br&gt;706. Hikone&lt;br&gt;Country: Japan&lt;br&gt;Region: &lt;br&gt;Place: Otsu</t>
  </si>
  <si>
    <t>&lt;b&gt;Castello di San Michele (Ossana)&lt;/b&gt;&lt;br&gt;&lt;br&gt;&lt;img src='http://www.topcastles.com/images/large/ossana.jpg' border='0'&gt;&lt;br&gt;&lt;br&gt;Topcastle according to http://www.topcastles.com/kastelen.php?SubMenu=main&amp;SelCastle=ossana&lt;br&gt;&lt;br&gt;707. Castello di San Michele (Ossana)&lt;br&gt;Country: Italy&lt;br&gt;Region: Trento (Zuid-Tirol, Trentino)&lt;br&gt;Place: Ossana (Val di Sole)</t>
  </si>
  <si>
    <t>&lt;b&gt;Kasteel Het Oude Loo&lt;/b&gt;&lt;br&gt;&lt;br&gt;&lt;img src='http://www.topcastles.com/images/large/loo.jpg' border='0'&gt;&lt;br&gt;&lt;br&gt;Topcastle according to http://www.topcastles.com/kastelen.php?SubMenu=main&amp;SelCastle=loo&lt;br&gt;&lt;br&gt;708. Kasteel Het Oude Loo&lt;br&gt;Country: Netherlands&lt;br&gt;Region: Gelderland&lt;br&gt;Place: Apeldoorn</t>
  </si>
  <si>
    <t>&lt;b&gt;Château Saint-Maire (Lausanne)&lt;/b&gt;&lt;br&gt;&lt;br&gt;&lt;img src='http://www.topcastles.com/images/large/lausanne.jpg' border='0'&gt;&lt;br&gt;&lt;br&gt;Topcastle according to http://www.topcastles.com/kastelen.php?SubMenu=main&amp;SelCastle=lausanne&lt;br&gt;&lt;br&gt;709. Château Saint-Maire (Lausanne)&lt;br&gt;Country: Switzerland&lt;br&gt;Region: Genfersee&lt;br&gt;Place: Lausanne (Kanton Vaud)</t>
  </si>
  <si>
    <t xml:space="preserve">&lt;b&gt;Burg Vischering&lt;/b&gt;&lt;br&gt;&lt;br&gt;&lt;img src='http://www.topcastles.com/images/large/vischering.jpg' border='0'&gt;&lt;br&gt;&lt;br&gt;Topcastle according to http://www.topcastles.com/kastelen.php?SubMenu=main&amp;SelCastle=vischering&lt;br&gt;&lt;br&gt;710. Burg Vischering&lt;br&gt;Country: Germany&lt;br&gt;Region: Nordrhein-Westfalen&lt;br&gt;Place: </t>
  </si>
  <si>
    <t>&lt;b&gt;Castello dei Visconteo&lt;/b&gt;&lt;br&gt;&lt;br&gt;&lt;img src='http://www.topcastles.com/images/large/visconteo.jpg' border='0'&gt;&lt;br&gt;&lt;br&gt;Topcastle according to http://www.topcastles.com/kastelen.php?SubMenu=main&amp;SelCastle=visconteo&lt;br&gt;&lt;br&gt;711. Castello dei Visconteo&lt;br&gt;Country: Italy&lt;br&gt;Region: Lombardije (Lombardia)&lt;br&gt;Place: Pavia</t>
  </si>
  <si>
    <t>&lt;b&gt;Castelo do Sabugal (Castelo das Cinco Quinas)&lt;/b&gt;&lt;br&gt;&lt;br&gt;&lt;img src='http://www.topcastles.com/images/large/sabugal.jpg' border='0'&gt;&lt;br&gt;&lt;br&gt;Topcastle according to http://www.topcastles.com/kastelen.php?SubMenu=main&amp;SelCastle=sabugal&lt;br&gt;&lt;br&gt;712. Castelo do Sabugal (Castelo das Cinco Quinas)&lt;br&gt;Country: Portugal&lt;br&gt;Region: &lt;br&gt;Place: Sabugal</t>
  </si>
  <si>
    <t xml:space="preserve">&lt;b&gt;Grad Sneznik (Schneeberg)&lt;/b&gt;&lt;br&gt;&lt;br&gt;&lt;img src='http://www.topcastles.com/images/large/sneznik.jpg' border='0'&gt;&lt;br&gt;&lt;br&gt;Topcastle according to http://www.topcastles.com/kastelen.php?SubMenu=main&amp;SelCastle=sneznik&lt;br&gt;&lt;br&gt;713. Grad Sneznik (Schneeberg)&lt;br&gt;Country: Slovenia&lt;br&gt;Region: Notranjsko&lt;br&gt;Place: </t>
  </si>
  <si>
    <t>&lt;b&gt;Château d'Arques-la-Bataille&lt;/b&gt;&lt;br&gt;&lt;br&gt;&lt;img src='http://www.topcastles.com/images/large/arques.jpg' border='0'&gt;&lt;br&gt;&lt;br&gt;Topcastle according to http://www.topcastles.com/kastelen.php?SubMenu=main&amp;SelCastle=arques&lt;br&gt;&lt;br&gt;714. Château d'Arques-la-Bataille&lt;br&gt;Country: France&lt;br&gt;Region: Normandie&lt;br&gt;Place: Arques-la-Bataille</t>
  </si>
  <si>
    <t>&lt;b&gt;Genovevaburg&lt;/b&gt;&lt;br&gt;&lt;br&gt;&lt;img src='http://www.topcastles.com/images/large/genoveva.jpg' border='0'&gt;&lt;br&gt;&lt;br&gt;Topcastle according to http://www.topcastles.com/kastelen.php?SubMenu=main&amp;SelCastle=genoveva&lt;br&gt;&lt;br&gt;715. Genovevaburg&lt;br&gt;Country: Germany&lt;br&gt;Region: Rheinland-Pfalz&lt;br&gt;Place: Mayen</t>
  </si>
  <si>
    <t>&lt;b&gt;Duart Castle&lt;/b&gt;&lt;br&gt;&lt;br&gt;&lt;img src='http://www.topcastles.com/images/large/duart.jpg' border='0'&gt;&lt;br&gt;&lt;br&gt;Topcastle according to http://www.topcastles.com/kastelen.php?SubMenu=main&amp;SelCastle=duart&lt;br&gt;&lt;br&gt;716. Duart Castle&lt;br&gt;Country: Scotland&lt;br&gt;Region: Highland&lt;br&gt;Place: Craignure (Argyll &amp; Bute)</t>
  </si>
  <si>
    <t>&lt;b&gt;Burg Lichtenberg&lt;/b&gt;&lt;br&gt;&lt;br&gt;&lt;img src='http://www.topcastles.com/images/large/lichtenberg.jpg' border='0'&gt;&lt;br&gt;&lt;br&gt;Topcastle according to http://www.topcastles.com/kastelen.php?SubMenu=main&amp;SelCastle=lichtenberg&lt;br&gt;&lt;br&gt;717. Burg Lichtenberg&lt;br&gt;Country: Germany&lt;br&gt;Region: Baden-Würtenberg&lt;br&gt;Place: Oberstenfeld</t>
  </si>
  <si>
    <t xml:space="preserve">&lt;b&gt;Koporýe (Kaprio)&lt;/b&gt;&lt;br&gt;&lt;br&gt;&lt;img src='http://www.topcastles.com/images/large/kopor.jpg' border='0'&gt;&lt;br&gt;&lt;br&gt;Topcastle according to http://www.topcastles.com/kastelen.php?SubMenu=main&amp;SelCastle=kopor&lt;br&gt;&lt;br&gt;718. Koporýe (Kaprio)&lt;br&gt;Country: Russia&lt;br&gt;Region: &lt;br&gt;Place: </t>
  </si>
  <si>
    <t xml:space="preserve">&lt;b&gt;Burg Röteln&lt;/b&gt;&lt;br&gt;&lt;br&gt;&lt;img src='http://www.topcastles.com/images/large/roetteln.jpg' border='0'&gt;&lt;br&gt;&lt;br&gt;Topcastle according to http://www.topcastles.com/kastelen.php?SubMenu=main&amp;SelCastle=roetteln&lt;br&gt;&lt;br&gt;719. Burg Röteln&lt;br&gt;Country: Germany&lt;br&gt;Region: Baden-Würtenberg&lt;br&gt;Place: </t>
  </si>
  <si>
    <t>&lt;b&gt;Skipton Castle&lt;/b&gt;&lt;br&gt;&lt;br&gt;&lt;img src='http://www.topcastles.com/images/large/skipton.jpg' border='0'&gt;&lt;br&gt;&lt;br&gt;Topcastle according to http://www.topcastles.com/kastelen.php?SubMenu=main&amp;SelCastle=skipton&lt;br&gt;&lt;br&gt;720. Skipton Castle&lt;br&gt;Country: England&lt;br&gt;Region: Yorkshire and Humber&lt;br&gt;Place: Skipton (North Yorkshire)</t>
  </si>
  <si>
    <t>&lt;b&gt;Castillo de Morella&lt;/b&gt;&lt;br&gt;&lt;br&gt;&lt;img src='http://www.topcastles.com/images/large/morella.jpg' border='0'&gt;&lt;br&gt;&lt;br&gt;Topcastle according to http://www.topcastles.com/kastelen.php?SubMenu=main&amp;SelCastle=morella&lt;br&gt;&lt;br&gt;721. Castillo de Morella&lt;br&gt;Country: Spain&lt;br&gt;Region: Valencia&lt;br&gt;Place: Morella</t>
  </si>
  <si>
    <t>&lt;b&gt;Castello di Canossa&lt;/b&gt;&lt;br&gt;&lt;br&gt;&lt;img src='http://www.topcastles.com/images/large/canossa.jpg' border='0'&gt;&lt;br&gt;&lt;br&gt;Topcastle according to http://www.topcastles.com/kastelen.php?SubMenu=main&amp;SelCastle=canossa&lt;br&gt;&lt;br&gt;722. Castello di Canossa&lt;br&gt;Country: Italy&lt;br&gt;Region: Emilia-Romagna&lt;br&gt;Place: Canossa</t>
  </si>
  <si>
    <t>&lt;b&gt;Hrad Strekov (Burg Schreckenstein)&lt;/b&gt;&lt;br&gt;&lt;br&gt;&lt;img src='http://www.topcastles.com/images/large/strekov.jpg' border='0'&gt;&lt;br&gt;&lt;br&gt;Topcastle according to http://www.topcastles.com/kastelen.php?SubMenu=main&amp;SelCastle=strekov&lt;br&gt;&lt;br&gt;723. Hrad Strekov (Burg Schreckenstein)&lt;br&gt;Country: Czechia&lt;br&gt;Region: Ústi nad Labem (Aussig)&lt;br&gt;Place: Strekov</t>
  </si>
  <si>
    <t>&lt;b&gt;Château d'Uzès&lt;/b&gt;&lt;br&gt;&lt;br&gt;&lt;img src='http://www.topcastles.com/images/large/uzes.jpg' border='0'&gt;&lt;br&gt;&lt;br&gt;Topcastle according to http://www.topcastles.com/kastelen.php?SubMenu=main&amp;SelCastle=uzes&lt;br&gt;&lt;br&gt;724. Château d'Uzès&lt;br&gt;Country: France&lt;br&gt;Region: Languedoc-Roussillon&lt;br&gt;Place: Uzès</t>
  </si>
  <si>
    <t>&lt;b&gt;Rocca Brancaleone (Ravenna)&lt;/b&gt;&lt;br&gt;&lt;br&gt;&lt;img src='http://www.topcastles.com/images/large/brancaleone.jpg' border='0'&gt;&lt;br&gt;&lt;br&gt;Topcastle according to http://www.topcastles.com/kastelen.php?SubMenu=main&amp;SelCastle=brancaleone&lt;br&gt;&lt;br&gt;725. Rocca Brancaleone (Ravenna)&lt;br&gt;Country: Italy&lt;br&gt;Region: Emilia-Romagna&lt;br&gt;Place: Brancaleone (Ravenna)</t>
  </si>
  <si>
    <t>&lt;b&gt;Castello Orsini-Odescalchi (Bracciano)&lt;/b&gt;&lt;br&gt;&lt;br&gt;&lt;img src='http://www.topcastles.com/images/large/orsini.jpg' border='0'&gt;&lt;br&gt;&lt;br&gt;Topcastle according to http://www.topcastles.com/kastelen.php?SubMenu=main&amp;SelCastle=orsini&lt;br&gt;&lt;br&gt;726. Castello Orsini-Odescalchi (Bracciano)&lt;br&gt;Country: Italy&lt;br&gt;Region: Lazio&lt;br&gt;Place: Bracciano</t>
  </si>
  <si>
    <t>&lt;b&gt;Castillo de Mendoza&lt;/b&gt;&lt;br&gt;&lt;br&gt;&lt;img src='http://www.topcastles.com/images/large/mendoza.jpg' border='0'&gt;&lt;br&gt;&lt;br&gt;Topcastle according to http://www.topcastles.com/kastelen.php?SubMenu=main&amp;SelCastle=mendoza&lt;br&gt;&lt;br&gt;727. Castillo de Mendoza&lt;br&gt;Country: Spain&lt;br&gt;Region: Pais Vasco (Baskenland)&lt;br&gt;Place: (Álava)</t>
  </si>
  <si>
    <t>&lt;b&gt;Castello Visconteo (Locarno)&lt;/b&gt;&lt;br&gt;&lt;br&gt;&lt;img src='http://www.topcastles.com/images/large/locarno.jpg' border='0'&gt;&lt;br&gt;&lt;br&gt;Topcastle according to http://www.topcastles.com/kastelen.php?SubMenu=main&amp;SelCastle=locarno&lt;br&gt;&lt;br&gt;728. Castello Visconteo (Locarno)&lt;br&gt;Country: Switzerland&lt;br&gt;Region: Ostschweiz&lt;br&gt;Place: Locarno ((Kanton Ticino)</t>
  </si>
  <si>
    <t xml:space="preserve">&lt;b&gt;Askeaton Castle&lt;/b&gt;&lt;br&gt;&lt;br&gt;&lt;img src='http://www.topcastles.com/images/large/askeaton.jpg' border='0'&gt;&lt;br&gt;&lt;br&gt;Topcastle according to http://www.topcastles.com/kastelen.php?SubMenu=main&amp;SelCastle=askeaton&lt;br&gt;&lt;br&gt;729. Askeaton Castle&lt;br&gt;Country: Republic of Ireland&lt;br&gt;Region: Limerick&lt;br&gt;Place: </t>
  </si>
  <si>
    <t>&lt;b&gt;Winchester&lt;/b&gt;&lt;br&gt;&lt;br&gt;&lt;img src='http://www.topcastles.com/images/large/winchester.jpg' border='0'&gt;&lt;br&gt;&lt;br&gt;Topcastle according to http://www.topcastles.com/kastelen.php?SubMenu=main&amp;SelCastle=winchester&lt;br&gt;&lt;br&gt;730. Winchester&lt;br&gt;Country: England&lt;br&gt;Region: South East&lt;br&gt;Place: (Hampshire)</t>
  </si>
  <si>
    <t>&lt;b&gt;Château des ducs de Bretagne (Nantes)&lt;/b&gt;&lt;br&gt;&lt;br&gt;&lt;img src='http://www.topcastles.com/images/large/nantes.jpg' border='0'&gt;&lt;br&gt;&lt;br&gt;Topcastle according to http://www.topcastles.com/kastelen.php?SubMenu=main&amp;SelCastle=nantes&lt;br&gt;&lt;br&gt;731. Château des ducs de Bretagne (Nantes)&lt;br&gt;Country: France&lt;br&gt;Region: Pays de la Loire&lt;br&gt;Place: Nantes</t>
  </si>
  <si>
    <t>&lt;b&gt;Castillo de Ampudia&lt;/b&gt;&lt;br&gt;&lt;br&gt;&lt;img src='http://www.topcastles.com/images/large/ampudia.jpg' border='0'&gt;&lt;br&gt;&lt;br&gt;Topcastle according to http://www.topcastles.com/kastelen.php?SubMenu=main&amp;SelCastle=ampudia&lt;br&gt;&lt;br&gt;732. Castillo de Ampudia&lt;br&gt;Country: Spain&lt;br&gt;Region: Castilla y León&lt;br&gt;Place: Ampudia (Palencia)</t>
  </si>
  <si>
    <t>&lt;b&gt;Kasteel Rechteren&lt;/b&gt;&lt;br&gt;&lt;br&gt;&lt;img src='http://www.topcastles.com/images/large/rechteren.jpg' border='0'&gt;&lt;br&gt;&lt;br&gt;Topcastle according to http://www.topcastles.com/kastelen.php?SubMenu=main&amp;SelCastle=rechteren&lt;br&gt;&lt;br&gt;733. Kasteel Rechteren&lt;br&gt;Country: Netherlands&lt;br&gt;Region: Overijssel&lt;br&gt;Place: Dalfsen</t>
  </si>
  <si>
    <t>&lt;b&gt;Chipchase Castle&lt;/b&gt;&lt;br&gt;&lt;br&gt;&lt;img src='http://www.topcastles.com/images/large/chipchase.jpg' border='0'&gt;&lt;br&gt;&lt;br&gt;Topcastle according to http://www.topcastles.com/kastelen.php?SubMenu=main&amp;SelCastle=chipchase&lt;br&gt;&lt;br&gt;734. Chipchase Castle&lt;br&gt;Country: England&lt;br&gt;Region: North East&lt;br&gt;Place: (Northumberland)</t>
  </si>
  <si>
    <t xml:space="preserve">&lt;b&gt;Builth Castle&lt;/b&gt;&lt;br&gt;&lt;br&gt;&lt;img src='http://www.topcastles.com/images/large/builth.jpg' border='0'&gt;&lt;br&gt;&lt;br&gt;Topcastle according to http://www.topcastles.com/kastelen.php?SubMenu=main&amp;SelCastle=builth&lt;br&gt;&lt;br&gt;735. Builth Castle&lt;br&gt;Country: Wales&lt;br&gt;Region: Powys&lt;br&gt;Place: </t>
  </si>
  <si>
    <t>&lt;b&gt;Norwich Castle&lt;/b&gt;&lt;br&gt;&lt;br&gt;&lt;img src='http://www.topcastles.com/images/large/norwich.jpg' border='0'&gt;&lt;br&gt;&lt;br&gt;Topcastle according to http://www.topcastles.com/kastelen.php?SubMenu=main&amp;SelCastle=norwich&lt;br&gt;&lt;br&gt;736. Norwich Castle&lt;br&gt;Country: England&lt;br&gt;Region: East&lt;br&gt;Place: (Norfolk)</t>
  </si>
  <si>
    <t>&lt;b&gt;Burg Hainburg&lt;/b&gt;&lt;br&gt;&lt;br&gt;&lt;img src='http://www.topcastles.com/images/large/hainburg.jpg' border='0'&gt;&lt;br&gt;&lt;br&gt;Topcastle according to http://www.topcastles.com/kastelen.php?SubMenu=main&amp;SelCastle=hainburg&lt;br&gt;&lt;br&gt;737. Burg Hainburg&lt;br&gt;Country: Austria&lt;br&gt;Region: Niederöstenreich&lt;br&gt;Place: Hainburg an der Dona</t>
  </si>
  <si>
    <t>&lt;b&gt;Kasteel Heeswijk-Dinther&lt;/b&gt;&lt;br&gt;&lt;br&gt;&lt;img src='http://www.topcastles.com/images/large/heeswijk.jpg' border='0'&gt;&lt;br&gt;&lt;br&gt;Topcastle according to http://www.topcastles.com/kastelen.php?SubMenu=main&amp;SelCastle=heeswijk&lt;br&gt;&lt;br&gt;738. Kasteel Heeswijk-Dinther&lt;br&gt;Country: Netherlands&lt;br&gt;Region: Noord Brabant&lt;br&gt;Place: Heeswijk</t>
  </si>
  <si>
    <t>&lt;b&gt;Castillo de Atienza&lt;/b&gt;&lt;br&gt;&lt;br&gt;&lt;img src='http://www.topcastles.com/images/large/atienza.jpg' border='0'&gt;&lt;br&gt;&lt;br&gt;Topcastle according to http://www.topcastles.com/kastelen.php?SubMenu=main&amp;SelCastle=atienza&lt;br&gt;&lt;br&gt;739. Castillo de Atienza&lt;br&gt;Country: Spain&lt;br&gt;Region: Castilla-La Mancha&lt;br&gt;Place: Atienza (Guadalajara)</t>
  </si>
  <si>
    <t>&lt;b&gt;Mildenburg (Miltenberg)&lt;/b&gt;&lt;br&gt;&lt;br&gt;&lt;img src='http://www.topcastles.com/images/large/miltenberg.jpg' border='0'&gt;&lt;br&gt;&lt;br&gt;Topcastle according to http://www.topcastles.com/kastelen.php?SubMenu=main&amp;SelCastle=miltenberg&lt;br&gt;&lt;br&gt;740. Mildenburg (Miltenberg)&lt;br&gt;Country: Germany&lt;br&gt;Region: Bayern&lt;br&gt;Place: Miltenberg a. Main</t>
  </si>
  <si>
    <t>&lt;b&gt;Kasteel Rosendaal&lt;/b&gt;&lt;br&gt;&lt;br&gt;&lt;img src='http://www.topcastles.com/images/large/rosendaal.jpg' border='0'&gt;&lt;br&gt;&lt;br&gt;Topcastle according to http://www.topcastles.com/kastelen.php?SubMenu=main&amp;SelCastle=rosendaal&lt;br&gt;&lt;br&gt;741. Kasteel Rosendaal&lt;br&gt;Country: Netherlands&lt;br&gt;Region: Gelderland&lt;br&gt;Place: Rosendaal</t>
  </si>
  <si>
    <t>&lt;b&gt;Rumeli Kavak&lt;/b&gt;&lt;br&gt;&lt;br&gt;&lt;img src='http://www.topcastles.com/images/large/rumelikavak.jpg' border='0'&gt;&lt;br&gt;&lt;br&gt;Topcastle according to http://www.topcastles.com/kastelen.php?SubMenu=main&amp;SelCastle=rumelikavak&lt;br&gt;&lt;br&gt;742. Rumeli Kavak&lt;br&gt;Country: Turkey&lt;br&gt;Region: &lt;br&gt;Place: Rumeli Kavagi</t>
  </si>
  <si>
    <t>&lt;b&gt;Hrad Lipnice nad Sázavou (Lipnitz)&lt;/b&gt;&lt;br&gt;&lt;br&gt;&lt;img src='http://www.topcastles.com/images/large/lipnice.jpg' border='0'&gt;&lt;br&gt;&lt;br&gt;Topcastle according to http://www.topcastles.com/kastelen.php?SubMenu=main&amp;SelCastle=lipnice&lt;br&gt;&lt;br&gt;743. Hrad Lipnice nad Sázavou (Lipnitz)&lt;br&gt;Country: Czechia&lt;br&gt;Region: Vysočina (Hochland)&lt;br&gt;Place: Lipnice nad Sázavou</t>
  </si>
  <si>
    <t xml:space="preserve">&lt;b&gt;Grad Gracarjev turn (Feistenberg)&lt;/b&gt;&lt;br&gt;&lt;br&gt;&lt;img src='http://www.topcastles.com/images/large/gracarjev.jpg' border='0'&gt;&lt;br&gt;&lt;br&gt;Topcastle according to http://www.topcastles.com/kastelen.php?SubMenu=main&amp;SelCastle=gracarjev&lt;br&gt;&lt;br&gt;744. Grad Gracarjev turn (Feistenberg)&lt;br&gt;Country: Slovenia&lt;br&gt;Region: Krka&lt;br&gt;Place: </t>
  </si>
  <si>
    <t xml:space="preserve">&lt;b&gt;Castello di Arco&lt;/b&gt;&lt;br&gt;&lt;br&gt;&lt;img src='http://www.topcastles.com/images/large/arco.jpg' border='0'&gt;&lt;br&gt;&lt;br&gt;Topcastle according to http://www.topcastles.com/kastelen.php?SubMenu=main&amp;SelCastle=arco&lt;br&gt;&lt;br&gt;745. Castello di Arco&lt;br&gt;Country: Italy&lt;br&gt;Region: Trento (Zuid-Tirol, Trentino)&lt;br&gt;Place: </t>
  </si>
  <si>
    <t>&lt;b&gt;Peveril Castle&lt;/b&gt;&lt;br&gt;&lt;br&gt;&lt;img src='http://www.topcastles.com/images/large/peveril.jpg' border='0'&gt;&lt;br&gt;&lt;br&gt;Topcastle according to http://www.topcastles.com/kastelen.php?SubMenu=main&amp;SelCastle=peveril&lt;br&gt;&lt;br&gt;746. Peveril Castle&lt;br&gt;Country: England&lt;br&gt;Region: East Midlands&lt;br&gt;Place: (Derbyshire)</t>
  </si>
  <si>
    <t>&lt;b&gt;Castillo de Miravet &lt;/b&gt;&lt;br&gt;&lt;br&gt;&lt;img src='http://www.topcastles.com/images/large/miravet.jpg' border='0'&gt;&lt;br&gt;&lt;br&gt;Topcastle according to http://www.topcastles.com/kastelen.php?SubMenu=main&amp;SelCastle=miravet&lt;br&gt;&lt;br&gt;747. Castillo de Miravet &lt;br&gt;Country: Spain&lt;br&gt;Region: Catalunya&lt;br&gt;Place: Tarragona</t>
  </si>
  <si>
    <t>&lt;b&gt;Château de Montmuran &lt;/b&gt;&lt;br&gt;&lt;br&gt;&lt;img src='http://www.topcastles.com/images/large/montmuran.jpg' border='0'&gt;&lt;br&gt;&lt;br&gt;Topcastle according to http://www.topcastles.com/kastelen.php?SubMenu=main&amp;SelCastle=montmuran&lt;br&gt;&lt;br&gt;748. Château de Montmuran &lt;br&gt;Country: France&lt;br&gt;Region: Bretagne&lt;br&gt;Place: Les Iffs</t>
  </si>
  <si>
    <t xml:space="preserve">&lt;b&gt;Castello Manfredonico (Mussomeli)&lt;/b&gt;&lt;br&gt;&lt;br&gt;&lt;img src='http://www.topcastles.com/images/large/mussomeli.jpg' border='0'&gt;&lt;br&gt;&lt;br&gt;Topcastle according to http://www.topcastles.com/kastelen.php?SubMenu=main&amp;SelCastle=mussomeli&lt;br&gt;&lt;br&gt;749. Castello Manfredonico (Mussomeli)&lt;br&gt;Country: Italy&lt;br&gt;Region: Sicilië (Sicilia)&lt;br&gt;Place: </t>
  </si>
  <si>
    <t>&lt;b&gt;Castello di Bolsena&lt;/b&gt;&lt;br&gt;&lt;br&gt;&lt;img src='http://www.topcastles.com/images/large/bolsena.jpg' border='0'&gt;&lt;br&gt;&lt;br&gt;Topcastle according to http://www.topcastles.com/kastelen.php?SubMenu=main&amp;SelCastle=bolsena&lt;br&gt;&lt;br&gt;750. Castello di Bolsena&lt;br&gt;Country: Italy&lt;br&gt;Region: Lazio&lt;br&gt;Place: Bolsena</t>
  </si>
  <si>
    <t xml:space="preserve">&lt;b&gt;Haut-Andlau (Hohandlau)&lt;/b&gt;&lt;br&gt;&lt;br&gt;&lt;img src='http://www.topcastles.com/images/large/hohandlau.jpg' border='0'&gt;&lt;br&gt;&lt;br&gt;Topcastle according to http://www.topcastles.com/kastelen.php?SubMenu=main&amp;SelCastle=hohandlau&lt;br&gt;&lt;br&gt;751. Haut-Andlau (Hohandlau)&lt;br&gt;Country: France&lt;br&gt;Region: Elzas (Alsace)&lt;br&gt;Place: </t>
  </si>
  <si>
    <t>&lt;b&gt;Castello di Maniace&lt;/b&gt;&lt;br&gt;&lt;br&gt;&lt;img src='http://www.topcastles.com/images/large/maniace.jpg' border='0'&gt;&lt;br&gt;&lt;br&gt;Topcastle according to http://www.topcastles.com/kastelen.php?SubMenu=main&amp;SelCastle=maniace&lt;br&gt;&lt;br&gt;752. Castello di Maniace&lt;br&gt;Country: Italy&lt;br&gt;Region: Sicilië (Sicilia)&lt;br&gt;Place: Maniace</t>
  </si>
  <si>
    <t>&lt;b&gt;Château de Spontin&lt;/b&gt;&lt;br&gt;&lt;br&gt;&lt;img src='http://www.topcastles.com/images/large/spontin.jpg' border='0'&gt;&lt;br&gt;&lt;br&gt;Topcastle according to http://www.topcastles.com/kastelen.php?SubMenu=main&amp;SelCastle=spontin&lt;br&gt;&lt;br&gt;753. Château de Spontin&lt;br&gt;Country: Belgium&lt;br&gt;Region: Namen&lt;br&gt;Place: Spontin</t>
  </si>
  <si>
    <t>&lt;b&gt;Castello Svevo (Termoli)&lt;/b&gt;&lt;br&gt;&lt;br&gt;&lt;img src='http://www.topcastles.com/images/large/termoli.jpg' border='0'&gt;&lt;br&gt;&lt;br&gt;Topcastle according to http://www.topcastles.com/kastelen.php?SubMenu=main&amp;SelCastle=termoli&lt;br&gt;&lt;br&gt;754. Castello Svevo (Termoli)&lt;br&gt;Country: Italy&lt;br&gt;Region: Abruzzi&lt;br&gt;Place: Termoli</t>
  </si>
  <si>
    <t xml:space="preserve">&lt;b&gt;Burg Mauterndorf (Mautendorf)&lt;/b&gt;&lt;br&gt;&lt;br&gt;&lt;img src='http://www.topcastles.com/images/large/mauterndorf.jpg' border='0'&gt;&lt;br&gt;&lt;br&gt;Topcastle according to http://www.topcastles.com/kastelen.php?SubMenu=main&amp;SelCastle=mauterndorf&lt;br&gt;&lt;br&gt;755. Burg Mauterndorf (Mautendorf)&lt;br&gt;Country: Austria&lt;br&gt;Region: Salzburg&lt;br&gt;Place: </t>
  </si>
  <si>
    <t xml:space="preserve">&lt;b&gt;Van Kalesi&lt;/b&gt;&lt;br&gt;&lt;br&gt;&lt;img src='http://www.topcastles.com/images/large/van.jpg' border='0'&gt;&lt;br&gt;&lt;br&gt;Topcastle according to http://www.topcastles.com/kastelen.php?SubMenu=main&amp;SelCastle=van&lt;br&gt;&lt;br&gt;756. Van Kalesi&lt;br&gt;Country: Turkey&lt;br&gt;Region: &lt;br&gt;Place: </t>
  </si>
  <si>
    <t xml:space="preserve">&lt;b&gt;Dalkey&lt;/b&gt;&lt;br&gt;&lt;br&gt;&lt;img src='http://www.topcastles.com/images/large/dalkeith.jpg' border='0'&gt;&lt;br&gt;&lt;br&gt;Topcastle according to http://www.topcastles.com/kastelen.php?SubMenu=main&amp;SelCastle=dalkeith&lt;br&gt;&lt;br&gt;757. Dalkey&lt;br&gt;Country: Republic of Ireland&lt;br&gt;Region: &lt;br&gt;Place: </t>
  </si>
  <si>
    <t>&lt;b&gt;Godesburg&lt;/b&gt;&lt;br&gt;&lt;br&gt;&lt;img src='http://www.topcastles.com/images/large/godesburg.jpg' border='0'&gt;&lt;br&gt;&lt;br&gt;Topcastle according to http://www.topcastles.com/kastelen.php?SubMenu=main&amp;SelCastle=godesburg&lt;br&gt;&lt;br&gt;758. Godesburg&lt;br&gt;Country: Germany&lt;br&gt;Region: Nordrhein-Westfalen&lt;br&gt;Place: Godesberg</t>
  </si>
  <si>
    <t>&lt;b&gt;Castello di Sabbionara&lt;/b&gt;&lt;br&gt;&lt;br&gt;&lt;img src='http://www.topcastles.com/images/large/sabbionara.jpg' border='0'&gt;&lt;br&gt;&lt;br&gt;Topcastle according to http://www.topcastles.com/kastelen.php?SubMenu=main&amp;SelCastle=sabbionara&lt;br&gt;&lt;br&gt;759. Castello di Sabbionara&lt;br&gt;Country: Italy&lt;br&gt;Region: Trento (Zuid-Tirol, Trentino)&lt;br&gt;Place: Trentino</t>
  </si>
  <si>
    <t>&lt;b&gt;Castello di Melfi&lt;/b&gt;&lt;br&gt;&lt;br&gt;&lt;img src='http://www.topcastles.com/images/large/melfi.jpg' border='0'&gt;&lt;br&gt;&lt;br&gt;Topcastle according to http://www.topcastles.com/kastelen.php?SubMenu=main&amp;SelCastle=melfi&lt;br&gt;&lt;br&gt;760. Castello di Melfi&lt;br&gt;Country: Italy&lt;br&gt;Region: Basilicata (Lucania)&lt;br&gt;Place: Melfi</t>
  </si>
  <si>
    <t>&lt;b&gt;Ruines de Montaigle&lt;/b&gt;&lt;br&gt;&lt;br&gt;&lt;img src='http://www.topcastles.com/images/large/montaigle.jpg' border='0'&gt;&lt;br&gt;&lt;br&gt;Topcastle according to http://www.topcastles.com/kastelen.php?SubMenu=main&amp;SelCastle=montaigle&lt;br&gt;&lt;br&gt;761. Ruines de Montaigle&lt;br&gt;Country: Belgium&lt;br&gt;Region: Namen&lt;br&gt;Place: Falaen</t>
  </si>
  <si>
    <t>&lt;b&gt;Château de Carondelet (Crupet)&lt;/b&gt;&lt;br&gt;&lt;br&gt;&lt;img src='http://www.topcastles.com/images/large/crupet.jpg' border='0'&gt;&lt;br&gt;&lt;br&gt;Topcastle according to http://www.topcastles.com/kastelen.php?SubMenu=main&amp;SelCastle=crupet&lt;br&gt;&lt;br&gt;762. Château de Carondelet (Crupet)&lt;br&gt;Country: Belgium&lt;br&gt;Region: Namen&lt;br&gt;Place: Crupet</t>
  </si>
  <si>
    <t xml:space="preserve">&lt;b&gt;Castillo de Cox (Castillo de Ayala, Castillo de Santa Bárbara)&lt;/b&gt;&lt;br&gt;&lt;br&gt;&lt;img src='http://www.topcastles.com/images/large/cox.jpg' border='0'&gt;&lt;br&gt;&lt;br&gt;Topcastle according to http://www.topcastles.com/kastelen.php?SubMenu=main&amp;SelCastle=cox&lt;br&gt;&lt;br&gt;763. Castillo de Cox (Castillo de Ayala, Castillo de Santa Bárbara)&lt;br&gt;Country: Spain&lt;br&gt;Region: Valencia&lt;br&gt;Place: </t>
  </si>
  <si>
    <t>&lt;b&gt;Schachenstein (Schachenturm bei Scheifling)&lt;/b&gt;&lt;br&gt;&lt;br&gt;&lt;img src='http://www.topcastles.com/images/large/schachenstein.jpg' border='0'&gt;&lt;br&gt;&lt;br&gt;Topcastle according to http://www.topcastles.com/kastelen.php?SubMenu=main&amp;SelCastle=schachenstein&lt;br&gt;&lt;br&gt;764. Schachenstein (Schachenturm bei Scheifling)&lt;br&gt;Country: Austria&lt;br&gt;Region: Steiermark&lt;br&gt;Place: Thörl</t>
  </si>
  <si>
    <t xml:space="preserve">&lt;b&gt;Ewloe Castle&lt;/b&gt;&lt;br&gt;&lt;br&gt;&lt;img src='http://www.topcastles.com/images/large/ewloe.jpg' border='0'&gt;&lt;br&gt;&lt;br&gt;Topcastle according to http://www.topcastles.com/kastelen.php?SubMenu=main&amp;SelCastle=ewloe&lt;br&gt;&lt;br&gt;765. Ewloe Castle&lt;br&gt;Country: Wales&lt;br&gt;Region: Clwyd&lt;br&gt;Place: </t>
  </si>
  <si>
    <t>&lt;b&gt;Schloss Mammertshofen&lt;/b&gt;&lt;br&gt;&lt;br&gt;&lt;img src='http://www.topcastles.com/images/large/mammertshofen.jpg' border='0'&gt;&lt;br&gt;&lt;br&gt;Topcastle according to http://www.topcastles.com/kastelen.php?SubMenu=main&amp;SelCastle=mammertshofen&lt;br&gt;&lt;br&gt;766. Schloss Mammertshofen&lt;br&gt;Country: Switzerland&lt;br&gt;Region: Ostschweiz&lt;br&gt;Place: Roggwil (Kanton Thurgau)</t>
  </si>
  <si>
    <t>&lt;b&gt;Burcht van Oostvoorne&lt;/b&gt;&lt;br&gt;&lt;br&gt;&lt;img src='http://www.topcastles.com/images/large/oostvoorne.jpg' border='0'&gt;&lt;br&gt;&lt;br&gt;Topcastle according to http://www.topcastles.com/kastelen.php?SubMenu=main&amp;SelCastle=oostvoorne&lt;br&gt;&lt;br&gt;767. Burcht van Oostvoorne&lt;br&gt;Country: Netherlands&lt;br&gt;Region: Zuid Holland&lt;br&gt;Place: Oostvoorne</t>
  </si>
  <si>
    <t>&lt;b&gt;Schloss Marschlins&lt;/b&gt;&lt;br&gt;&lt;br&gt;&lt;img src='http://www.topcastles.com/images/large/marschlins.jpg' border='0'&gt;&lt;br&gt;&lt;br&gt;Topcastle according to http://www.topcastles.com/kastelen.php?SubMenu=main&amp;SelCastle=marschlins&lt;br&gt;&lt;br&gt;768. Schloss Marschlins&lt;br&gt;Country: Switzerland&lt;br&gt;Region: Ostschweiz&lt;br&gt;Place: Igis (Kanton Graubünden)</t>
  </si>
  <si>
    <t>&lt;b&gt;Mirow &lt;/b&gt;&lt;br&gt;&lt;br&gt;&lt;img src='http://www.topcastles.com/images/large/mirow.jpg' border='0'&gt;&lt;br&gt;&lt;br&gt;Topcastle according to http://www.topcastles.com/kastelen.php?SubMenu=main&amp;SelCastle=mirow&lt;br&gt;&lt;br&gt;769. Mirow &lt;br&gt;Country: Poland&lt;br&gt;Region: Malopolskie (Lesser Poland)&lt;br&gt;Place: Mirow</t>
  </si>
  <si>
    <t>&lt;b&gt;Kasteel Merode (Westerlo)&lt;/b&gt;&lt;br&gt;&lt;br&gt;&lt;img src='http://www.topcastles.com/images/large/westerlo.jpg' border='0'&gt;&lt;br&gt;&lt;br&gt;Topcastle according to http://www.topcastles.com/kastelen.php?SubMenu=main&amp;SelCastle=westerlo&lt;br&gt;&lt;br&gt;770. Kasteel Merode (Westerlo)&lt;br&gt;Country: Belgium&lt;br&gt;Region: Antwerpen&lt;br&gt;Place: Westerlo</t>
  </si>
  <si>
    <t xml:space="preserve">&lt;b&gt;Castelo de Pombal&lt;/b&gt;&lt;br&gt;&lt;br&gt;&lt;img src='http://www.topcastles.com/images/large/pombal.jpg' border='0'&gt;&lt;br&gt;&lt;br&gt;Topcastle according to http://www.topcastles.com/kastelen.php?SubMenu=main&amp;SelCastle=pombal&lt;br&gt;&lt;br&gt;771. Castelo de Pombal&lt;br&gt;Country: Portugal&lt;br&gt;Region: &lt;br&gt;Place: </t>
  </si>
  <si>
    <t>&lt;b&gt;Stari grad Ozalj&lt;/b&gt;&lt;br&gt;&lt;br&gt;&lt;img src='http://www.topcastles.com/images/large/ozalj.jpg' border='0'&gt;&lt;br&gt;&lt;br&gt;Topcastle according to http://www.topcastles.com/kastelen.php?SubMenu=main&amp;SelCastle=ozalj&lt;br&gt;&lt;br&gt;772. Stari grad Ozalj&lt;br&gt;Country: Croatia&lt;br&gt;Region: &lt;br&gt;Place: Karlovac</t>
  </si>
  <si>
    <t>&lt;b&gt;Schloss Burgdorf&lt;/b&gt;&lt;br&gt;&lt;br&gt;&lt;img src='http://www.topcastles.com/images/large/burgdorf.jpg' border='0'&gt;&lt;br&gt;&lt;br&gt;Topcastle according to http://www.topcastles.com/kastelen.php?SubMenu=main&amp;SelCastle=burgdorf&lt;br&gt;&lt;br&gt;773. Schloss Burgdorf&lt;br&gt;Country: Switzerland&lt;br&gt;Region: Mittelland&lt;br&gt;Place: Burgdorf (Kanton Bern)</t>
  </si>
  <si>
    <t>&lt;b&gt;Castillo de Moya&lt;/b&gt;&lt;br&gt;&lt;br&gt;&lt;img src='http://www.topcastles.com/images/large/moya.jpg' border='0'&gt;&lt;br&gt;&lt;br&gt;Topcastle according to http://www.topcastles.com/kastelen.php?SubMenu=main&amp;SelCastle=moya&lt;br&gt;&lt;br&gt;774. Castillo de Moya&lt;br&gt;Country: Spain&lt;br&gt;Region: Castilla-La Mancha&lt;br&gt;Place: Moya (Cuenca)</t>
  </si>
  <si>
    <t>&lt;b&gt;Château de Franchimont&lt;/b&gt;&lt;br&gt;&lt;br&gt;&lt;img src='http://www.topcastles.com/images/large/franchimont.jpg' border='0'&gt;&lt;br&gt;&lt;br&gt;Topcastle according to http://www.topcastles.com/kastelen.php?SubMenu=main&amp;SelCastle=franchimont&lt;br&gt;&lt;br&gt;775. Château de Franchimont&lt;br&gt;Country: Belgium&lt;br&gt;Region: Luik&lt;br&gt;Place: Franchimont</t>
  </si>
  <si>
    <t>&lt;b&gt;Kasteel Huis te Nijenrode&lt;/b&gt;&lt;br&gt;&lt;br&gt;&lt;img src='http://www.topcastles.com/images/large/nijenrode.jpg' border='0'&gt;&lt;br&gt;&lt;br&gt;Topcastle according to http://www.topcastles.com/kastelen.php?SubMenu=main&amp;SelCastle=nijenrode&lt;br&gt;&lt;br&gt;776. Kasteel Huis te Nijenrode&lt;br&gt;Country: Netherlands&lt;br&gt;Region: Utrecht&lt;br&gt;Place: Breukelen</t>
  </si>
  <si>
    <t xml:space="preserve">&lt;b&gt;Grad Mokrice (Mokritz)&lt;/b&gt;&lt;br&gt;&lt;br&gt;&lt;img src='http://www.topcastles.com/images/large/mokrice.jpg' border='0'&gt;&lt;br&gt;&lt;br&gt;Topcastle according to http://www.topcastles.com/kastelen.php?SubMenu=main&amp;SelCastle=mokrice&lt;br&gt;&lt;br&gt;777. Grad Mokrice (Mokritz)&lt;br&gt;Country: Slovenia&lt;br&gt;Region: Zasavje und Posavje&lt;br&gt;Place: </t>
  </si>
  <si>
    <t xml:space="preserve">&lt;b&gt;Grad Vipavski kriz (Heiliges Kreuz)&lt;/b&gt;&lt;br&gt;&lt;br&gt;&lt;img src='http://www.topcastles.com/images/large/vipavskikriz.jpg' border='0'&gt;&lt;br&gt;&lt;br&gt;Topcastle according to http://www.topcastles.com/kastelen.php?SubMenu=main&amp;SelCastle=vipavskikriz&lt;br&gt;&lt;br&gt;778. Grad Vipavski kriz (Heiliges Kreuz)&lt;br&gt;Country: Slovenia&lt;br&gt;Region: Gorisko und die Brda&lt;br&gt;Place: </t>
  </si>
  <si>
    <t xml:space="preserve">&lt;b&gt;Grad Planina pri Sevnici (Montpreis)&lt;/b&gt;&lt;br&gt;&lt;br&gt;&lt;img src='http://www.topcastles.com/images/large/planina.jpg' border='0'&gt;&lt;br&gt;&lt;br&gt;Topcastle according to http://www.topcastles.com/kastelen.php?SubMenu=main&amp;SelCastle=planina&lt;br&gt;&lt;br&gt;779. Grad Planina pri Sevnici (Montpreis)&lt;br&gt;Country: Slovenia&lt;br&gt;Region: Štajerska (Untersteiermark, Lower Styria)&lt;br&gt;Place: </t>
  </si>
  <si>
    <t xml:space="preserve">&lt;b&gt;Azuchi&lt;/b&gt;&lt;br&gt;&lt;br&gt;&lt;img src='http://www.topcastles.com/images/large/azuchi.jpg' border='0'&gt;&lt;br&gt;&lt;br&gt;Topcastle according to http://www.topcastles.com/kastelen.php?SubMenu=main&amp;SelCastle=azuchi&lt;br&gt;&lt;br&gt;780. Azuchi&lt;br&gt;Country: Japan&lt;br&gt;Region: &lt;br&gt;Place: </t>
  </si>
  <si>
    <t xml:space="preserve">&lt;b&gt;Greencastle&lt;/b&gt;&lt;br&gt;&lt;br&gt;&lt;img src='http://www.topcastles.com/images/large/greencastle.jpg' border='0'&gt;&lt;br&gt;&lt;br&gt;Topcastle according to http://www.topcastles.com/kastelen.php?SubMenu=main&amp;SelCastle=greencastle&lt;br&gt;&lt;br&gt;781. Greencastle&lt;br&gt;Country: Northern Ireland&lt;br&gt;Region: Down&lt;br&gt;Place: </t>
  </si>
  <si>
    <t>&lt;b&gt;Château de Lavaux-Sainte-Anne&lt;/b&gt;&lt;br&gt;&lt;br&gt;&lt;img src='http://www.topcastles.com/images/large/lavaux.jpg' border='0'&gt;&lt;br&gt;&lt;br&gt;Topcastle according to http://www.topcastles.com/kastelen.php?SubMenu=main&amp;SelCastle=lavaux&lt;br&gt;&lt;br&gt;782. Château de Lavaux-Sainte-Anne&lt;br&gt;Country: Belgium&lt;br&gt;Region: Namen&lt;br&gt;Place: Lavaux-Ste-Anne</t>
  </si>
  <si>
    <t>&lt;b&gt;Tourbillon&lt;/b&gt;&lt;br&gt;&lt;br&gt;&lt;img src='http://www.topcastles.com/images/large/tourbillon.jpg' border='0'&gt;&lt;br&gt;&lt;br&gt;Topcastle according to http://www.topcastles.com/kastelen.php?SubMenu=main&amp;SelCastle=tourbillon&lt;br&gt;&lt;br&gt;783. Tourbillon&lt;br&gt;Country: Switzerland&lt;br&gt;Region: Genfersee&lt;br&gt;Place: Sion (Kanton Wallis)</t>
  </si>
  <si>
    <t>&lt;b&gt;Chastel Pelerin (Atlit, Pelgrim Kasteel)&lt;/b&gt;&lt;br&gt;&lt;br&gt;&lt;img src='http://www.topcastles.com/images/large/pelerin.jpg' border='0'&gt;&lt;br&gt;&lt;br&gt;Topcastle according to http://www.topcastles.com/kastelen.php?SubMenu=main&amp;SelCastle=pelerin&lt;br&gt;&lt;br&gt;784. Chastel Pelerin (Atlit, Pelgrim Kasteel)&lt;br&gt;Country: Israel&lt;br&gt;Region: &lt;br&gt;Place: Athlit</t>
  </si>
  <si>
    <t xml:space="preserve">&lt;b&gt;Château de Le Coudray-Salbart&lt;/b&gt;&lt;br&gt;&lt;br&gt;&lt;img src='http://www.topcastles.com/images/large/coudraysalbert.jpg' border='0'&gt;&lt;br&gt;&lt;br&gt;Topcastle according to http://www.topcastles.com/kastelen.php?SubMenu=main&amp;SelCastle=coudraysalbert&lt;br&gt;&lt;br&gt;785. Château de Le Coudray-Salbart&lt;br&gt;Country: France&lt;br&gt;Region: Poitou-Charentes&lt;br&gt;Place: </t>
  </si>
  <si>
    <t xml:space="preserve">&lt;b&gt;Ehrenburg&lt;/b&gt;&lt;br&gt;&lt;br&gt;&lt;img src='http://www.topcastles.com/images/large/ehrenburg.jpg' border='0'&gt;&lt;br&gt;&lt;br&gt;Topcastle according to http://www.topcastles.com/kastelen.php?SubMenu=main&amp;SelCastle=ehrenburg&lt;br&gt;&lt;br&gt;786. Ehrenburg&lt;br&gt;Country: Germany&lt;br&gt;Region: Rheinland-Pfalz&lt;br&gt;Place: </t>
  </si>
  <si>
    <t>&lt;b&gt;Grimaldi&lt;/b&gt;&lt;br&gt;&lt;br&gt;&lt;img src='http://www.topcastles.com/images/large/grimaldi.jpg' border='0'&gt;&lt;br&gt;&lt;br&gt;Topcastle according to http://www.topcastles.com/kastelen.php?SubMenu=main&amp;SelCastle=grimaldi&lt;br&gt;&lt;br&gt;787. Grimaldi&lt;br&gt;Country: Monaco&lt;br&gt;Region: &lt;br&gt;Place: Monaco</t>
  </si>
  <si>
    <t>&lt;b&gt;Château de Val&lt;/b&gt;&lt;br&gt;&lt;br&gt;&lt;img src='http://www.topcastles.com/images/large/vals.jpg' border='0'&gt;&lt;br&gt;&lt;br&gt;Topcastle according to http://www.topcastles.com/kastelen.php?SubMenu=main&amp;SelCastle=vals&lt;br&gt;&lt;br&gt;788. Château de Val&lt;br&gt;Country: France&lt;br&gt;Region: Auvergne&lt;br&gt;Place: Lanobre</t>
  </si>
  <si>
    <t>&lt;b&gt;Kasteel Gaasbeek&lt;/b&gt;&lt;br&gt;&lt;br&gt;&lt;img src='http://www.topcastles.com/images/large/gaasbeek.jpg' border='0'&gt;&lt;br&gt;&lt;br&gt;Topcastle according to http://www.topcastles.com/kastelen.php?SubMenu=main&amp;SelCastle=gaasbeek&lt;br&gt;&lt;br&gt;789. Kasteel Gaasbeek&lt;br&gt;Country: Belgium&lt;br&gt;Region: Brabant&lt;br&gt;Place: Gaasbeek</t>
  </si>
  <si>
    <t>&lt;b&gt;Schloss Lauf (Wenzelschloss)&lt;/b&gt;&lt;br&gt;&lt;br&gt;&lt;img src='http://www.topcastles.com/images/large/lauf.jpg' border='0'&gt;&lt;br&gt;&lt;br&gt;Topcastle according to http://www.topcastles.com/kastelen.php?SubMenu=main&amp;SelCastle=lauf&lt;br&gt;&lt;br&gt;790. Schloss Lauf (Wenzelschloss)&lt;br&gt;Country: Germany&lt;br&gt;Region: Bayern&lt;br&gt;Place: Lauf an der Pegnitz</t>
  </si>
  <si>
    <t>&lt;b&gt;Schloss Friedberg (Wittelsbacher Schloss)&lt;/b&gt;&lt;br&gt;&lt;br&gt;&lt;img src='http://www.topcastles.com/images/large/friedberg.jpg' border='0'&gt;&lt;br&gt;&lt;br&gt;Topcastle according to http://www.topcastles.com/kastelen.php?SubMenu=main&amp;SelCastle=friedberg&lt;br&gt;&lt;br&gt;791. Schloss Friedberg (Wittelsbacher Schloss)&lt;br&gt;Country: Austria&lt;br&gt;Region: Tirol&lt;br&gt;Place: Volders</t>
  </si>
  <si>
    <t>&lt;b&gt;Uexkull (Ikškile)&lt;/b&gt;&lt;br&gt;&lt;br&gt;&lt;img src='http://www.topcastles.com/images/large/uexkull.jpg' border='0'&gt;&lt;br&gt;&lt;br&gt;Topcastle according to http://www.topcastles.com/kastelen.php?SubMenu=main&amp;SelCastle=uexkull&lt;br&gt;&lt;br&gt;792. Uexkull (Ikškile)&lt;br&gt;Country: Latvia&lt;br&gt;Region: &lt;br&gt;Place: Ikskile</t>
  </si>
  <si>
    <t>&lt;b&gt;Livadia&lt;/b&gt;&lt;br&gt;&lt;br&gt;&lt;img src='http://www.topcastles.com/images/large/livadia.jpg' border='0'&gt;&lt;br&gt;&lt;br&gt;Topcastle according to http://www.topcastles.com/kastelen.php?SubMenu=main&amp;SelCastle=livadia&lt;br&gt;&lt;br&gt;793. Livadia&lt;br&gt;Country: Greece&lt;br&gt;Region: Centraal&lt;br&gt;Place: Levadeia</t>
  </si>
  <si>
    <t xml:space="preserve">&lt;b&gt;Frauenburg&lt;/b&gt;&lt;br&gt;&lt;br&gt;&lt;img src='http://www.topcastles.com/images/large/frauenburg.jpg' border='0'&gt;&lt;br&gt;&lt;br&gt;Topcastle according to http://www.topcastles.com/kastelen.php?SubMenu=main&amp;SelCastle=frauenburg&lt;br&gt;&lt;br&gt;794. Frauenburg&lt;br&gt;Country: Austria&lt;br&gt;Region: Steiermark&lt;br&gt;Place: </t>
  </si>
  <si>
    <t>&lt;b&gt;Château de Jehay-Bodegnée&lt;/b&gt;&lt;br&gt;&lt;br&gt;&lt;img src='http://www.topcastles.com/images/large/jehay.jpg' border='0'&gt;&lt;br&gt;&lt;br&gt;Topcastle according to http://www.topcastles.com/kastelen.php?SubMenu=main&amp;SelCastle=jehay&lt;br&gt;&lt;br&gt;795. Château de Jehay-Bodegnée&lt;br&gt;Country: Belgium&lt;br&gt;Region: Luik&lt;br&gt;Place: Jehay</t>
  </si>
  <si>
    <t>&lt;b&gt;Ruine Dorneck&lt;/b&gt;&lt;br&gt;&lt;br&gt;&lt;img src='http://www.topcastles.com/images/large/dorneck.jpg' border='0'&gt;&lt;br&gt;&lt;br&gt;Topcastle according to http://www.topcastles.com/kastelen.php?SubMenu=main&amp;SelCastle=dorneck&lt;br&gt;&lt;br&gt;796. Ruine Dorneck&lt;br&gt;Country: Switzerland&lt;br&gt;Region: Mittelland&lt;br&gt;Place: Dornach ((Kanton Solothurn)</t>
  </si>
  <si>
    <t xml:space="preserve">&lt;b&gt;Liebenfels&lt;/b&gt;&lt;br&gt;&lt;br&gt;&lt;img src='http://www.topcastles.com/images/large/liebenfels.jpg' border='0'&gt;&lt;br&gt;&lt;br&gt;Topcastle according to http://www.topcastles.com/kastelen.php?SubMenu=main&amp;SelCastle=liebenfels&lt;br&gt;&lt;br&gt;797. Liebenfels&lt;br&gt;Country: Austria&lt;br&gt;Region: Kärnten&lt;br&gt;Place: </t>
  </si>
  <si>
    <t>&lt;b&gt;Brougham Castle&lt;/b&gt;&lt;br&gt;&lt;br&gt;&lt;img src='http://www.topcastles.com/images/large/brougham.jpg' border='0'&gt;&lt;br&gt;&lt;br&gt;Topcastle according to http://www.topcastles.com/kastelen.php?SubMenu=main&amp;SelCastle=brougham&lt;br&gt;&lt;br&gt;798. Brougham Castle&lt;br&gt;Country: England&lt;br&gt;Region: North West&lt;br&gt;Place: (Cumbria)</t>
  </si>
  <si>
    <t xml:space="preserve">&lt;b&gt;Achaia (Kefalonia, Venetian castle of Agios Georgios)&lt;/b&gt;&lt;br&gt;&lt;br&gt;&lt;img src='http://www.topcastles.com/images/large/achaia.jpg' border='0'&gt;&lt;br&gt;&lt;br&gt;Topcastle according to http://www.topcastles.com/kastelen.php?SubMenu=main&amp;SelCastle=achaia&lt;br&gt;&lt;br&gt;799. Achaia (Kefalonia, Venetian castle of Agios Georgios)&lt;br&gt;Country: Greece&lt;br&gt;Region: Achaia&lt;br&gt;Place: </t>
  </si>
  <si>
    <t>&lt;b&gt;Kasteel Dussen&lt;/b&gt;&lt;br&gt;&lt;br&gt;&lt;img src='http://www.topcastles.com/images/large/dussen.jpg' border='0'&gt;&lt;br&gt;&lt;br&gt;Topcastle according to http://www.topcastles.com/kastelen.php?SubMenu=main&amp;SelCastle=dussen&lt;br&gt;&lt;br&gt;800. Kasteel Dussen&lt;br&gt;Country: Netherlands&lt;br&gt;Region: Noord Brabant&lt;br&gt;Place: Dussen</t>
  </si>
  <si>
    <t>&lt;b&gt;Ruine Thomasberg&lt;/b&gt;&lt;br&gt;&lt;br&gt;&lt;img src='http://www.topcastles.com/images/large/thomasberg.jpg' border='0'&gt;&lt;br&gt;&lt;br&gt;Topcastle according to http://www.topcastles.com/kastelen.php?SubMenu=main&amp;SelCastle=thomasberg&lt;br&gt;&lt;br&gt;801. Ruine Thomasberg&lt;br&gt;Country: Austria&lt;br&gt;Region: Niederöstenreich&lt;br&gt;Place: Thomasberg</t>
  </si>
  <si>
    <t>&lt;b&gt;Castillo de Montealegre&lt;/b&gt;&lt;br&gt;&lt;br&gt;&lt;img src='http://www.topcastles.com/images/large/montealegre.jpg' border='0'&gt;&lt;br&gt;&lt;br&gt;Topcastle according to http://www.topcastles.com/kastelen.php?SubMenu=main&amp;SelCastle=montealegre&lt;br&gt;&lt;br&gt;802. Castillo de Montealegre&lt;br&gt;Country: Spain&lt;br&gt;Region: Castilla y León&lt;br&gt;Place: (Valladolid)</t>
  </si>
  <si>
    <t>&lt;b&gt;Palacio de los Duques de Feria (Zafra)&lt;/b&gt;&lt;br&gt;&lt;br&gt;&lt;img src='http://www.topcastles.com/images/large/zafra.jpg' border='0'&gt;&lt;br&gt;&lt;br&gt;Topcastle according to http://www.topcastles.com/kastelen.php?SubMenu=main&amp;SelCastle=zafra&lt;br&gt;&lt;br&gt;803. Palacio de los Duques de Feria (Zafra)&lt;br&gt;Country: Spain&lt;br&gt;Region: Badajoz&lt;br&gt;Place: Zafra (Badajoz)</t>
  </si>
  <si>
    <t xml:space="preserve">&lt;b&gt;Petersberg bei Friesach&lt;/b&gt;&lt;br&gt;&lt;br&gt;&lt;img src='http://www.topcastles.com/images/large/petersberg.jpg' border='0'&gt;&lt;br&gt;&lt;br&gt;Topcastle according to http://www.topcastles.com/kastelen.php?SubMenu=main&amp;SelCastle=petersberg&lt;br&gt;&lt;br&gt;804. Petersberg bei Friesach&lt;br&gt;Country: Austria&lt;br&gt;Region: Kärnten&lt;br&gt;Place: </t>
  </si>
  <si>
    <t>&lt;b&gt;Narikala (Tbilisi, Tiflis)&lt;/b&gt;&lt;br&gt;&lt;br&gt;&lt;img src='http://www.topcastles.com/images/large/tiflis.jpg' border='0'&gt;&lt;br&gt;&lt;br&gt;Topcastle according to http://www.topcastles.com/kastelen.php?SubMenu=main&amp;SelCastle=tiflis&lt;br&gt;&lt;br&gt;805. Narikala (Tbilisi, Tiflis)&lt;br&gt;Country: Georgia&lt;br&gt;Region: &lt;br&gt;Place: Tbilisi</t>
  </si>
  <si>
    <t>&lt;b&gt;Castillo de Villarejo de Salvanés&lt;/b&gt;&lt;br&gt;&lt;br&gt;&lt;img src='http://www.topcastles.com/images/large/villarejo.jpg' border='0'&gt;&lt;br&gt;&lt;br&gt;Topcastle according to http://www.topcastles.com/kastelen.php?SubMenu=main&amp;SelCastle=villarejo&lt;br&gt;&lt;br&gt;806. Castillo de Villarejo de Salvanés&lt;br&gt;Country: Spain&lt;br&gt;Region: Madrid&lt;br&gt;Place: Villarejo de Salvanés</t>
  </si>
  <si>
    <t xml:space="preserve">&lt;b&gt;Grad Velenje (Wöllan)&lt;/b&gt;&lt;br&gt;&lt;br&gt;&lt;img src='http://www.topcastles.com/images/large/velenje.jpg' border='0'&gt;&lt;br&gt;&lt;br&gt;Topcastle according to http://www.topcastles.com/kastelen.php?SubMenu=main&amp;SelCastle=velenje&lt;br&gt;&lt;br&gt;807. Grad Velenje (Wöllan)&lt;br&gt;Country: Slovenia&lt;br&gt;Region: Štajerska (Untersteiermark, Lower Styria)&lt;br&gt;Place: </t>
  </si>
  <si>
    <t xml:space="preserve">&lt;b&gt;Burg Ronneburg (Raneberg, Roneberg)&lt;/b&gt;&lt;br&gt;&lt;br&gt;&lt;img src='http://www.topcastles.com/images/large/ronneburg.jpg' border='0'&gt;&lt;br&gt;&lt;br&gt;Topcastle according to http://www.topcastles.com/kastelen.php?SubMenu=main&amp;SelCastle=ronneburg&lt;br&gt;&lt;br&gt;808. Burg Ronneburg (Raneberg, Roneberg)&lt;br&gt;Country: Germany&lt;br&gt;Region: Hessen&lt;br&gt;Place: </t>
  </si>
  <si>
    <t>&lt;b&gt;Hermitage Castle&lt;/b&gt;&lt;br&gt;&lt;br&gt;&lt;img src='http://www.topcastles.com/images/large/hermitage.jpg' border='0'&gt;&lt;br&gt;&lt;br&gt;Topcastle according to http://www.topcastles.com/kastelen.php?SubMenu=main&amp;SelCastle=hermitage&lt;br&gt;&lt;br&gt;809. Hermitage Castle&lt;br&gt;Country: Scotland&lt;br&gt;Region: South&lt;br&gt;Place: Hawick (Borders)</t>
  </si>
  <si>
    <t xml:space="preserve">&lt;b&gt;Kilcoy Castle&lt;/b&gt;&lt;br&gt;&lt;br&gt;&lt;img src='http://www.topcastles.com/images/large/kilcoy.jpg' border='0'&gt;&lt;br&gt;&lt;br&gt;Topcastle according to http://www.topcastles.com/kastelen.php?SubMenu=main&amp;SelCastle=kilcoy&lt;br&gt;&lt;br&gt;810. Kilcoy Castle&lt;br&gt;Country: Scotland&lt;br&gt;Region: Highland&lt;br&gt;Place: </t>
  </si>
  <si>
    <t>&lt;b&gt;Schloss Herberstein&lt;/b&gt;&lt;br&gt;&lt;br&gt;&lt;img src='http://www.topcastles.com/images/large/herberstein.jpg' border='0'&gt;&lt;br&gt;&lt;br&gt;Topcastle according to http://www.topcastles.com/kastelen.php?SubMenu=main&amp;SelCastle=herberstein&lt;br&gt;&lt;br&gt;811. Schloss Herberstein&lt;br&gt;Country: Austria&lt;br&gt;Region: Steiermark&lt;br&gt;Place: Herberstein (Stubenberg)</t>
  </si>
  <si>
    <t>&lt;b&gt;Burg Emmerberg (Emerberg)&lt;/b&gt;&lt;br&gt;&lt;br&gt;&lt;img src='http://www.topcastles.com/images/large/emmerberg.jpg' border='0'&gt;&lt;br&gt;&lt;br&gt;Topcastle according to http://www.topcastles.com/kastelen.php?SubMenu=main&amp;SelCastle=emmerberg&lt;br&gt;&lt;br&gt;812. Burg Emmerberg (Emerberg)&lt;br&gt;Country: Austria&lt;br&gt;Region: Niederöstenreich&lt;br&gt;Place: Winzendorf-Muthmannsdorf</t>
  </si>
  <si>
    <t>&lt;b&gt;Hrad Týrov (Angerbach)&lt;/b&gt;&lt;br&gt;&lt;br&gt;&lt;img src='http://www.topcastles.com/images/large/tyrov.jpg' border='0'&gt;&lt;br&gt;&lt;br&gt;Topcastle according to http://www.topcastles.com/kastelen.php?SubMenu=main&amp;SelCastle=tyrov&lt;br&gt;&lt;br&gt;813. Hrad Týrov (Angerbach)&lt;br&gt;Country: Czechia&lt;br&gt;Region: Stredo Ceský (Mittelböhmen)&lt;br&gt;Place: Týrov</t>
  </si>
  <si>
    <t xml:space="preserve">&lt;b&gt;Servantikar (Savouran Kale, Sarovantari)&lt;/b&gt;&lt;br&gt;&lt;br&gt;&lt;img src='http://www.topcastles.com/images/large/servantikar.jpg' border='0'&gt;&lt;br&gt;&lt;br&gt;Topcastle according to http://www.topcastles.com/kastelen.php?SubMenu=main&amp;SelCastle=servantikar&lt;br&gt;&lt;br&gt;814. Servantikar (Savouran Kale, Sarovantari)&lt;br&gt;Country: Turkey&lt;br&gt;Region: &lt;br&gt;Place: </t>
  </si>
  <si>
    <t>&lt;b&gt;Skenfrith Castle&lt;/b&gt;&lt;br&gt;&lt;br&gt;&lt;img src='http://www.topcastles.com/images/large/skenfrith.jpg' border='0'&gt;&lt;br&gt;&lt;br&gt;Topcastle according to http://www.topcastles.com/kastelen.php?SubMenu=main&amp;SelCastle=skenfrith&lt;br&gt;&lt;br&gt;815. Skenfrith Castle&lt;br&gt;Country: Wales&lt;br&gt;Region: Gwent&lt;br&gt;Place: Ross-on-Wye (Hereford &amp; Worcester)</t>
  </si>
  <si>
    <t>&lt;b&gt;Larissa&lt;/b&gt;&lt;br&gt;&lt;br&gt;&lt;img src='http://www.topcastles.com/images/large/larissa.jpg' border='0'&gt;&lt;br&gt;&lt;br&gt;Topcastle according to http://www.topcastles.com/kastelen.php?SubMenu=main&amp;SelCastle=larissa&lt;br&gt;&lt;br&gt;816. Larissa&lt;br&gt;Country: Greece&lt;br&gt;Region: &lt;br&gt;Place: Argos</t>
  </si>
  <si>
    <t>&lt;b&gt;Bechyné Hrad&lt;/b&gt;&lt;br&gt;&lt;br&gt;&lt;img src='http://www.topcastles.com/images/large/bechyne.jpg' border='0'&gt;&lt;br&gt;&lt;br&gt;Topcastle according to http://www.topcastles.com/kastelen.php?SubMenu=main&amp;SelCastle=bechyne&lt;br&gt;&lt;br&gt;817. Bechyné Hrad&lt;br&gt;Country: Czechia&lt;br&gt;Region: Jiho Ceský (Südböhmen)&lt;br&gt;Place: Bechyné</t>
  </si>
  <si>
    <t xml:space="preserve">&lt;b&gt;Ranthambhor Fort&lt;/b&gt;&lt;br&gt;&lt;br&gt;&lt;img src='http://www.topcastles.com/images/large/ranthambhor.jpg' border='0'&gt;&lt;br&gt;&lt;br&gt;Topcastle according to http://www.topcastles.com/kastelen.php?SubMenu=main&amp;SelCastle=ranthambhor&lt;br&gt;&lt;br&gt;818. Ranthambhor Fort&lt;br&gt;Country: India&lt;br&gt;Region: Rajasthan&lt;br&gt;Place: </t>
  </si>
  <si>
    <t>&lt;b&gt;Helfenburk u Úšteku&lt;/b&gt;&lt;br&gt;&lt;br&gt;&lt;img src='http://www.topcastles.com/images/large/helfenburk.jpg' border='0'&gt;&lt;br&gt;&lt;br&gt;Topcastle according to http://www.topcastles.com/kastelen.php?SubMenu=main&amp;SelCastle=helfenburk&lt;br&gt;&lt;br&gt;819. Helfenburk u Úšteku&lt;br&gt;Country: Czechia&lt;br&gt;Region: Ústi nad Labem (Aussig)&lt;br&gt;Place: Úštěk</t>
  </si>
  <si>
    <t xml:space="preserve">&lt;b&gt;Castell Y Bere&lt;/b&gt;&lt;br&gt;&lt;br&gt;&lt;img src='http://www.topcastles.com/images/large/bere.jpg' border='0'&gt;&lt;br&gt;&lt;br&gt;Topcastle according to http://www.topcastles.com/kastelen.php?SubMenu=main&amp;SelCastle=bere&lt;br&gt;&lt;br&gt;820. Castell Y Bere&lt;br&gt;Country: Wales&lt;br&gt;Region: Gwynedd&lt;br&gt;Place: </t>
  </si>
  <si>
    <t xml:space="preserve">&lt;b&gt;Doboj&lt;/b&gt;&lt;br&gt;&lt;br&gt;&lt;img src='http://www.topcastles.com/images/large/doboj.jpg' border='0'&gt;&lt;br&gt;&lt;br&gt;Topcastle according to http://www.topcastles.com/kastelen.php?SubMenu=main&amp;SelCastle=doboj&lt;br&gt;&lt;br&gt;821. Doboj&lt;br&gt;Country: Bosnia&lt;br&gt;Region: &lt;br&gt;Place: </t>
  </si>
  <si>
    <t>&lt;b&gt;Castelo de Palmela&lt;/b&gt;&lt;br&gt;&lt;br&gt;&lt;img src='http://www.topcastles.com/images/large/palmela.jpg' border='0'&gt;&lt;br&gt;&lt;br&gt;Topcastle according to http://www.topcastles.com/kastelen.php?SubMenu=main&amp;SelCastle=palmela&lt;br&gt;&lt;br&gt;822. Castelo de Palmela&lt;br&gt;Country: Portugal&lt;br&gt;Region: &lt;br&gt;Place: Palmela</t>
  </si>
  <si>
    <t xml:space="preserve">&lt;b&gt;Wakayama&lt;/b&gt;&lt;br&gt;&lt;br&gt;&lt;img src='http://www.topcastles.com/images/large/wakayama.jpg' border='0'&gt;&lt;br&gt;&lt;br&gt;Topcastle according to http://www.topcastles.com/kastelen.php?SubMenu=main&amp;SelCastle=wakayama&lt;br&gt;&lt;br&gt;823. Wakayama&lt;br&gt;Country: Japan&lt;br&gt;Region: &lt;br&gt;Place: </t>
  </si>
  <si>
    <t>&lt;b&gt;Norham Castle&lt;/b&gt;&lt;br&gt;&lt;br&gt;&lt;img src='http://www.topcastles.com/images/large/norham.jpg' border='0'&gt;&lt;br&gt;&lt;br&gt;Topcastle according to http://www.topcastles.com/kastelen.php?SubMenu=main&amp;SelCastle=norham&lt;br&gt;&lt;br&gt;824. Norham Castle&lt;br&gt;Country: England&lt;br&gt;Region: North East&lt;br&gt;Place: (Northumberland)</t>
  </si>
  <si>
    <t>&lt;b&gt;Château de Pau&lt;/b&gt;&lt;br&gt;&lt;br&gt;&lt;img src='http://www.topcastles.com/images/large/pau.jpg' border='0'&gt;&lt;br&gt;&lt;br&gt;Topcastle according to http://www.topcastles.com/kastelen.php?SubMenu=main&amp;SelCastle=pau&lt;br&gt;&lt;br&gt;825. Château de Pau&lt;br&gt;Country: France&lt;br&gt;Region: Aquitaine&lt;br&gt;Place: Pau</t>
  </si>
  <si>
    <t xml:space="preserve">&lt;b&gt;Château de la Brède&lt;/b&gt;&lt;br&gt;&lt;br&gt;&lt;img src='http://www.topcastles.com/images/large/brede.jpg' border='0'&gt;&lt;br&gt;&lt;br&gt;Topcastle according to http://www.topcastles.com/kastelen.php?SubMenu=main&amp;SelCastle=brede&lt;br&gt;&lt;br&gt;826. Château de la Brède&lt;br&gt;Country: France&lt;br&gt;Region: Aquitaine&lt;br&gt;Place: </t>
  </si>
  <si>
    <t xml:space="preserve">&lt;b&gt;Burg Landsee&lt;/b&gt;&lt;br&gt;&lt;br&gt;&lt;img src='http://www.topcastles.com/images/large/landsee.jpg' border='0'&gt;&lt;br&gt;&lt;br&gt;Topcastle according to http://www.topcastles.com/kastelen.php?SubMenu=main&amp;SelCastle=landsee&lt;br&gt;&lt;br&gt;827. Burg Landsee&lt;br&gt;Country: Austria&lt;br&gt;Region: Burgenland&lt;br&gt;Place: </t>
  </si>
  <si>
    <t>&lt;b&gt;Diyarbakir Kalesi&lt;/b&gt;&lt;br&gt;&lt;br&gt;&lt;img src='http://www.topcastles.com/images/large/diyarbakir.jpg' border='0'&gt;&lt;br&gt;&lt;br&gt;Topcastle according to http://www.topcastles.com/kastelen.php?SubMenu=main&amp;SelCastle=diyarbakir&lt;br&gt;&lt;br&gt;828. Diyarbakir Kalesi&lt;br&gt;Country: Turkey&lt;br&gt;Region: &lt;br&gt;Place: Urfa Kapi</t>
  </si>
  <si>
    <t>&lt;b&gt;Castillo de Belvís de Monroy&lt;/b&gt;&lt;br&gt;&lt;br&gt;&lt;img src='http://www.topcastles.com/images/large/belvis.jpg' border='0'&gt;&lt;br&gt;&lt;br&gt;Topcastle according to http://www.topcastles.com/kastelen.php?SubMenu=main&amp;SelCastle=belvis&lt;br&gt;&lt;br&gt;829. Castillo de Belvís de Monroy&lt;br&gt;Country: Spain&lt;br&gt;Region: Extremadura&lt;br&gt;Place: Belvís de Monroy (Cáceres)</t>
  </si>
  <si>
    <t>&lt;b&gt;Castillo de Peratallada &lt;/b&gt;&lt;br&gt;&lt;br&gt;&lt;img src='http://www.topcastles.com/images/large/peratallada.jpg' border='0'&gt;&lt;br&gt;&lt;br&gt;Topcastle according to http://www.topcastles.com/kastelen.php?SubMenu=main&amp;SelCastle=peratallada&lt;br&gt;&lt;br&gt;830. Castillo de Peratallada &lt;br&gt;Country: Spain&lt;br&gt;Region: Catalunya&lt;br&gt;Place: Gerona</t>
  </si>
  <si>
    <t>&lt;b&gt;Castillo de Mombeltrán&lt;/b&gt;&lt;br&gt;&lt;br&gt;&lt;img src='http://www.topcastles.com/images/large/mombeltran.jpg' border='0'&gt;&lt;br&gt;&lt;br&gt;Topcastle according to http://www.topcastles.com/kastelen.php?SubMenu=main&amp;SelCastle=mombeltran&lt;br&gt;&lt;br&gt;831. Castillo de Mombeltrán&lt;br&gt;Country: Spain&lt;br&gt;Region: Castilla y León&lt;br&gt;Place: Mombeltrán (Ávila)</t>
  </si>
  <si>
    <t>&lt;b&gt;Burg Pfeffingen&lt;/b&gt;&lt;br&gt;&lt;br&gt;&lt;img src='http://www.topcastles.com/images/large/pfeffingen.jpg' border='0'&gt;&lt;br&gt;&lt;br&gt;Topcastle according to http://www.topcastles.com/kastelen.php?SubMenu=main&amp;SelCastle=pfeffingen&lt;br&gt;&lt;br&gt;832. Burg Pfeffingen&lt;br&gt;Country: Switzerland&lt;br&gt;Region: Nordwestschweiz&lt;br&gt;Place: Zwingen im Laufental (Kanton Basel-Landschaft)</t>
  </si>
  <si>
    <t xml:space="preserve">&lt;b&gt;Burg Hohlenfels&lt;/b&gt;&lt;br&gt;&lt;br&gt;&lt;img src='http://www.topcastles.com/images/large/hohlenfels.jpg' border='0'&gt;&lt;br&gt;&lt;br&gt;Topcastle according to http://www.topcastles.com/kastelen.php?SubMenu=main&amp;SelCastle=hohlenfels&lt;br&gt;&lt;br&gt;833. Burg Hohlenfels&lt;br&gt;Country: Germany&lt;br&gt;Region: Baden-Würtenberg&lt;br&gt;Place: </t>
  </si>
  <si>
    <t>&lt;b&gt;Burg Champvent&lt;/b&gt;&lt;br&gt;&lt;br&gt;&lt;img src='http://www.topcastles.com/images/large/champvent.jpg' border='0'&gt;&lt;br&gt;&lt;br&gt;Topcastle according to http://www.topcastles.com/kastelen.php?SubMenu=main&amp;SelCastle=champvent&lt;br&gt;&lt;br&gt;834. Burg Champvent&lt;br&gt;Country: Switzerland&lt;br&gt;Region: Genfersee&lt;br&gt;Place: Lausanne (Kanton Vaud)</t>
  </si>
  <si>
    <t>&lt;b&gt;Akkar (Gibelcar)&lt;/b&gt;&lt;br&gt;&lt;br&gt;&lt;img src='http://www.topcastles.com/images/large/akkar.jpg' border='0'&gt;&lt;br&gt;&lt;br&gt;Topcastle according to http://www.topcastles.com/kastelen.php?SubMenu=main&amp;SelCastle=akkar&lt;br&gt;&lt;br&gt;835. Akkar (Gibelcar)&lt;br&gt;Country: Syria&lt;br&gt;Region: &lt;br&gt;Place: Akkar el-Atika</t>
  </si>
  <si>
    <t>&lt;b&gt;Carlisle Castle&lt;/b&gt;&lt;br&gt;&lt;br&gt;&lt;img src='http://www.topcastles.com/images/large/carlisle.jpg' border='0'&gt;&lt;br&gt;&lt;br&gt;Topcastle according to http://www.topcastles.com/kastelen.php?SubMenu=main&amp;SelCastle=carlisle&lt;br&gt;&lt;br&gt;836. Carlisle Castle&lt;br&gt;Country: England&lt;br&gt;Region: North West&lt;br&gt;Place: (Cumbria)</t>
  </si>
  <si>
    <t>&lt;b&gt;Exeter Castle (Rougemont Castle)&lt;/b&gt;&lt;br&gt;&lt;br&gt;&lt;img src='http://www.topcastles.com/images/large/exeter.jpg' border='0'&gt;&lt;br&gt;&lt;br&gt;Topcastle according to http://www.topcastles.com/kastelen.php?SubMenu=main&amp;SelCastle=exeter&lt;br&gt;&lt;br&gt;837. Exeter Castle (Rougemont Castle)&lt;br&gt;Country: England&lt;br&gt;Region: South West&lt;br&gt;Place: Exeter (Devon)</t>
  </si>
  <si>
    <t xml:space="preserve">&lt;b&gt;Château de Rochemaure&lt;/b&gt;&lt;br&gt;&lt;br&gt;&lt;img src='http://www.topcastles.com/images/large/rochemaure.jpg' border='0'&gt;&lt;br&gt;&lt;br&gt;Topcastle according to http://www.topcastles.com/kastelen.php?SubMenu=main&amp;SelCastle=rochemaure&lt;br&gt;&lt;br&gt;838. Château de Rochemaure&lt;br&gt;Country: France&lt;br&gt;Region: Rhône-Alpes&lt;br&gt;Place: </t>
  </si>
  <si>
    <t>&lt;b&gt;Schloss Biedenegg (Bidenegg, Bideneck)&lt;/b&gt;&lt;br&gt;&lt;br&gt;&lt;img src='http://www.topcastles.com/images/large/bidenegg.jpg' border='0'&gt;&lt;br&gt;&lt;br&gt;Topcastle according to http://www.topcastles.com/kastelen.php?SubMenu=main&amp;SelCastle=bidenegg&lt;br&gt;&lt;br&gt;839. Schloss Biedenegg (Bidenegg, Bideneck)&lt;br&gt;Country: Austria&lt;br&gt;Region: Tirol&lt;br&gt;Place: Biedenegg (Oberinntal)</t>
  </si>
  <si>
    <t xml:space="preserve">&lt;b&gt;Manorbier Castle (Mannorbeer)&lt;/b&gt;&lt;br&gt;&lt;br&gt;&lt;img src='http://www.topcastles.com/images/large/manorbier.jpg' border='0'&gt;&lt;br&gt;&lt;br&gt;Topcastle according to http://www.topcastles.com/kastelen.php?SubMenu=main&amp;SelCastle=manorbier&lt;br&gt;&lt;br&gt;840. Manorbier Castle (Mannorbeer)&lt;br&gt;Country: Wales&lt;br&gt;Region: Dyfed&lt;br&gt;Place: </t>
  </si>
  <si>
    <t>&lt;b&gt;Berkhamsted Castle&lt;/b&gt;&lt;br&gt;&lt;br&gt;&lt;img src='http://www.topcastles.com/images/large/berkhamsted.jpg' border='0'&gt;&lt;br&gt;&lt;br&gt;Topcastle according to http://www.topcastles.com/kastelen.php?SubMenu=main&amp;SelCastle=berkhamsted&lt;br&gt;&lt;br&gt;841. Berkhamsted Castle&lt;br&gt;Country: England&lt;br&gt;Region: West Midlands&lt;br&gt;Place: (Hereford &amp; Worcester)</t>
  </si>
  <si>
    <t>&lt;b&gt;Château de la Bâtiaz&lt;/b&gt;&lt;br&gt;&lt;br&gt;&lt;img src='http://www.topcastles.com/images/large/batiaz.jpg' border='0'&gt;&lt;br&gt;&lt;br&gt;Topcastle according to http://www.topcastles.com/kastelen.php?SubMenu=main&amp;SelCastle=batiaz&lt;br&gt;&lt;br&gt;842. Château de la Bâtiaz&lt;br&gt;Country: Switzerland&lt;br&gt;Region: Genfersee&lt;br&gt;Place: Martigny-Combe (Kanton Wallis)</t>
  </si>
  <si>
    <t>&lt;b&gt;Château de Septmons&lt;/b&gt;&lt;br&gt;&lt;br&gt;&lt;img src='http://www.topcastles.com/images/large/septmons.jpg' border='0'&gt;&lt;br&gt;&lt;br&gt;Topcastle according to http://www.topcastles.com/kastelen.php?SubMenu=main&amp;SelCastle=septmons&lt;br&gt;&lt;br&gt;843. Château de Septmons&lt;br&gt;Country: France&lt;br&gt;Region: Picardie&lt;br&gt;Place: Septmons</t>
  </si>
  <si>
    <t xml:space="preserve">&lt;b&gt;Burg Neuleiningen&lt;/b&gt;&lt;br&gt;&lt;br&gt;&lt;img src='http://www.topcastles.com/images/large/neuleiningen.jpg' border='0'&gt;&lt;br&gt;&lt;br&gt;Topcastle according to http://www.topcastles.com/kastelen.php?SubMenu=main&amp;SelCastle=neuleiningen&lt;br&gt;&lt;br&gt;844. Burg Neuleiningen&lt;br&gt;Country: Germany&lt;br&gt;Region: Rheinland-Pfalz&lt;br&gt;Place: </t>
  </si>
  <si>
    <t xml:space="preserve">&lt;b&gt;Grad Lemberg pri Novi Cerkvi (Löwenberg)&lt;/b&gt;&lt;br&gt;&lt;br&gt;&lt;img src='http://www.topcastles.com/images/large/lemberg.jpg' border='0'&gt;&lt;br&gt;&lt;br&gt;Topcastle according to http://www.topcastles.com/kastelen.php?SubMenu=main&amp;SelCastle=lemberg&lt;br&gt;&lt;br&gt;845. Grad Lemberg pri Novi Cerkvi (Löwenberg)&lt;br&gt;Country: Slovenia&lt;br&gt;Region: Štajerska (Untersteiermark, Lower Styria)&lt;br&gt;Place: </t>
  </si>
  <si>
    <t xml:space="preserve">&lt;b&gt;Paphos (Castle of Forty Columns)&lt;/b&gt;&lt;br&gt;&lt;br&gt;&lt;img src='http://www.topcastles.com/images/large/paphos.jpg' border='0'&gt;&lt;br&gt;&lt;br&gt;Topcastle according to http://www.topcastles.com/kastelen.php?SubMenu=main&amp;SelCastle=paphos&lt;br&gt;&lt;br&gt;846. Paphos (Castle of Forty Columns)&lt;br&gt;Country: Cyprus&lt;br&gt;Region: &lt;br&gt;Place: </t>
  </si>
  <si>
    <t>&lt;b&gt;Canterbury Castle&lt;/b&gt;&lt;br&gt;&lt;br&gt;&lt;img src='http://www.topcastles.com/images/large/canterbury.jpg' border='0'&gt;&lt;br&gt;&lt;br&gt;Topcastle according to http://www.topcastles.com/kastelen.php?SubMenu=main&amp;SelCastle=canterbury&lt;br&gt;&lt;br&gt;847. Canterbury Castle&lt;br&gt;Country: England&lt;br&gt;Region: South East&lt;br&gt;Place: Canterbury (Kent)</t>
  </si>
  <si>
    <t>&lt;b&gt;Castello di Mesocco (Misox)&lt;/b&gt;&lt;br&gt;&lt;br&gt;&lt;img src='http://www.topcastles.com/images/large/misox.jpg' border='0'&gt;&lt;br&gt;&lt;br&gt;Topcastle according to http://www.topcastles.com/kastelen.php?SubMenu=main&amp;SelCastle=misox&lt;br&gt;&lt;br&gt;848. Castello di Mesocco (Misox)&lt;br&gt;Country: Switzerland&lt;br&gt;Region: Ostschweiz&lt;br&gt;Place: Mesocco ((Kanton Graubünden)</t>
  </si>
  <si>
    <t>&lt;b&gt;Mewe (Gniew)&lt;/b&gt;&lt;br&gt;&lt;br&gt;&lt;img src='http://www.topcastles.com/images/large/mewe.jpg' border='0'&gt;&lt;br&gt;&lt;br&gt;Topcastle according to http://www.topcastles.com/kastelen.php?SubMenu=main&amp;SelCastle=mewe&lt;br&gt;&lt;br&gt;849. Mewe (Gniew)&lt;br&gt;Country: Poland&lt;br&gt;Region: Pomorsky (Pomerania, Pommern)&lt;br&gt;Place: Gniew</t>
  </si>
  <si>
    <t>&lt;b&gt;Chittorgargh (Chittaurargh, Chittor Castle)&lt;/b&gt;&lt;br&gt;&lt;br&gt;&lt;img src='http://www.topcastles.com/images/large/chittorgarh.jpg' border='0'&gt;&lt;br&gt;&lt;br&gt;Topcastle according to http://www.topcastles.com/kastelen.php?SubMenu=main&amp;SelCastle=chittorgarh&lt;br&gt;&lt;br&gt;850. Chittorgargh (Chittaurargh, Chittor Castle)&lt;br&gt;Country: India&lt;br&gt;Region: Rajasthan&lt;br&gt;Place: Rajasthan</t>
  </si>
  <si>
    <t xml:space="preserve">&lt;b&gt;Athenry Castle&lt;/b&gt;&lt;br&gt;&lt;br&gt;&lt;img src='http://www.topcastles.com/images/large/athenry.jpg' border='0'&gt;&lt;br&gt;&lt;br&gt;Topcastle according to http://www.topcastles.com/kastelen.php?SubMenu=main&amp;SelCastle=athenry&lt;br&gt;&lt;br&gt;851. Athenry Castle&lt;br&gt;Country: Republic of Ireland&lt;br&gt;Region: Galway&lt;br&gt;Place: </t>
  </si>
  <si>
    <t>&lt;b&gt;Donjon de La Ferté-Milon&lt;/b&gt;&lt;br&gt;&lt;br&gt;&lt;img src='http://www.topcastles.com/images/large/fertemilon.jpg' border='0'&gt;&lt;br&gt;&lt;br&gt;Topcastle according to http://www.topcastles.com/kastelen.php?SubMenu=main&amp;SelCastle=fertemilon&lt;br&gt;&lt;br&gt;852. Donjon de La Ferté-Milon&lt;br&gt;Country: France&lt;br&gt;Region: Picardie&lt;br&gt;Place: Ferté-Milon</t>
  </si>
  <si>
    <t>&lt;b&gt;Zabkowice Slaskie (Frankenstein)&lt;/b&gt;&lt;br&gt;&lt;br&gt;&lt;img src='http://www.topcastles.com/images/large/zabkowice.jpg' border='0'&gt;&lt;br&gt;&lt;br&gt;Topcastle according to http://www.topcastles.com/kastelen.php?SubMenu=main&amp;SelCastle=zabkowice&lt;br&gt;&lt;br&gt;853. Zabkowice Slaskie (Frankenstein)&lt;br&gt;Country: Poland&lt;br&gt;Region: Dolnoslaskie (Silesia Inferior, Nederschlesien)&lt;br&gt;Place: Zabkowice Slaskie</t>
  </si>
  <si>
    <t>&lt;b&gt;Farnham Castle&lt;/b&gt;&lt;br&gt;&lt;br&gt;&lt;img src='http://www.topcastles.com/images/large/farnham.jpg' border='0'&gt;&lt;br&gt;&lt;br&gt;Topcastle according to http://www.topcastles.com/kastelen.php?SubMenu=main&amp;SelCastle=farnham&lt;br&gt;&lt;br&gt;854. Farnham Castle&lt;br&gt;Country: England&lt;br&gt;Region: South East&lt;br&gt;Place: (Surrey)</t>
  </si>
  <si>
    <t>&lt;b&gt;Burg Rabenstein bei Rothleiten&lt;/b&gt;&lt;br&gt;&lt;br&gt;&lt;img src='http://www.topcastles.com/images/large/rabenstein.jpg' border='0'&gt;&lt;br&gt;&lt;br&gt;Topcastle according to http://www.topcastles.com/kastelen.php?SubMenu=main&amp;SelCastle=rabenstein&lt;br&gt;&lt;br&gt;855. Burg Rabenstein bei Rothleiten&lt;br&gt;Country: Austria&lt;br&gt;Region: Steiermark&lt;br&gt;Place: St. Paul</t>
  </si>
  <si>
    <t>&lt;b&gt;Castelo de Evora-Monte&lt;/b&gt;&lt;br&gt;&lt;br&gt;&lt;img src='http://www.topcastles.com/images/large/evora.jpg' border='0'&gt;&lt;br&gt;&lt;br&gt;Topcastle according to http://www.topcastles.com/kastelen.php?SubMenu=main&amp;SelCastle=evora&lt;br&gt;&lt;br&gt;856. Castelo de Evora-Monte&lt;br&gt;Country: Portugal&lt;br&gt;Region: &lt;br&gt;Place: Evoramonte</t>
  </si>
  <si>
    <t>&lt;b&gt;Egerberk (Lestkov)&lt;/b&gt;&lt;br&gt;&lt;br&gt;&lt;img src='http://www.topcastles.com/images/large/egerberg.jpg' border='0'&gt;&lt;br&gt;&lt;br&gt;Topcastle according to http://www.topcastles.com/kastelen.php?SubMenu=main&amp;SelCastle=egerberg&lt;br&gt;&lt;br&gt;857. Egerberk (Lestkov)&lt;br&gt;Country: Czechia&lt;br&gt;Region: Ústi nad Labem (Aussig)&lt;br&gt;Place: Lestkov</t>
  </si>
  <si>
    <t xml:space="preserve">&lt;b&gt;Bidar&lt;/b&gt;&lt;br&gt;&lt;br&gt;&lt;img src='http://www.topcastles.com/images/large/bidar.jpg' border='0'&gt;&lt;br&gt;&lt;br&gt;Topcastle according to http://www.topcastles.com/kastelen.php?SubMenu=main&amp;SelCastle=bidar&lt;br&gt;&lt;br&gt;858. Bidar&lt;br&gt;Country: India&lt;br&gt;Region: Andhra Pradesh&lt;br&gt;Place: </t>
  </si>
  <si>
    <t xml:space="preserve">&lt;b&gt;Grad Kamnik (Stein)&lt;/b&gt;&lt;br&gt;&lt;br&gt;&lt;img src='http://www.topcastles.com/images/large/kamnik.jpg' border='0'&gt;&lt;br&gt;&lt;br&gt;Topcastle according to http://www.topcastles.com/kastelen.php?SubMenu=main&amp;SelCastle=kamnik&lt;br&gt;&lt;br&gt;859. Grad Kamnik (Stein)&lt;br&gt;Country: Slovenia&lt;br&gt;Region: Gorenjsko&lt;br&gt;Place: </t>
  </si>
  <si>
    <t>&lt;b&gt;Kolossi (Kastro tou Kolossiou)&lt;/b&gt;&lt;br&gt;&lt;br&gt;&lt;img src='http://www.topcastles.com/images/large/kolossi.jpg' border='0'&gt;&lt;br&gt;&lt;br&gt;Topcastle according to http://www.topcastles.com/kastelen.php?SubMenu=main&amp;SelCastle=kolossi&lt;br&gt;&lt;br&gt;860. Kolossi (Kastro tou Kolossiou)&lt;br&gt;Country: Cyprus&lt;br&gt;Region: &lt;br&gt;Place: Limassol</t>
  </si>
  <si>
    <t xml:space="preserve">&lt;b&gt;Château de Combourg &lt;/b&gt;&lt;br&gt;&lt;br&gt;&lt;img src='http://www.topcastles.com/images/large/combourg.jpg' border='0'&gt;&lt;br&gt;&lt;br&gt;Topcastle according to http://www.topcastles.com/kastelen.php?SubMenu=main&amp;SelCastle=combourg&lt;br&gt;&lt;br&gt;861. Château de Combourg &lt;br&gt;Country: France&lt;br&gt;Region: Bretagne&lt;br&gt;Place: </t>
  </si>
  <si>
    <t>&lt;b&gt;Kalich Hrad (Litomerice)&lt;/b&gt;&lt;br&gt;&lt;br&gt;&lt;img src='http://www.topcastles.com/images/large/kalich.jpg' border='0'&gt;&lt;br&gt;&lt;br&gt;Topcastle according to http://www.topcastles.com/kastelen.php?SubMenu=main&amp;SelCastle=kalich&lt;br&gt;&lt;br&gt;862. Kalich Hrad (Litomerice)&lt;br&gt;Country: Czechia&lt;br&gt;Region: Ústi nad Labem (Aussig)&lt;br&gt;Place: Litomerice</t>
  </si>
  <si>
    <t>&lt;b&gt;Castello di Vigoleno&lt;/b&gt;&lt;br&gt;&lt;br&gt;&lt;img src='http://www.topcastles.com/images/large/vigoleno.jpg' border='0'&gt;&lt;br&gt;&lt;br&gt;Topcastle according to http://www.topcastles.com/kastelen.php?SubMenu=main&amp;SelCastle=vigoleno&lt;br&gt;&lt;br&gt;863. Castello di Vigoleno&lt;br&gt;Country: Italy&lt;br&gt;Region: Emilia-Romagna&lt;br&gt;Place: Vigoleno</t>
  </si>
  <si>
    <t>&lt;b&gt;Oxford Castle&lt;/b&gt;&lt;br&gt;&lt;br&gt;&lt;img src='http://www.topcastles.com/images/large/oxford.jpg' border='0'&gt;&lt;br&gt;&lt;br&gt;Topcastle according to http://www.topcastles.com/kastelen.php?SubMenu=main&amp;SelCastle=oxford&lt;br&gt;&lt;br&gt;864. Oxford Castle&lt;br&gt;Country: England&lt;br&gt;Region: South East&lt;br&gt;Place: Oxford</t>
  </si>
  <si>
    <t>&lt;b&gt;Schloss Hülchrath&lt;/b&gt;&lt;br&gt;&lt;br&gt;&lt;img src='http://www.topcastles.com/images/large/hulchrath.jpg' border='0'&gt;&lt;br&gt;&lt;br&gt;Topcastle according to http://www.topcastles.com/kastelen.php?SubMenu=main&amp;SelCastle=hulchrath&lt;br&gt;&lt;br&gt;865. Schloss Hülchrath&lt;br&gt;Country: Germany&lt;br&gt;Region: Nordrhein-Westfalen&lt;br&gt;Place: Hülchrath</t>
  </si>
  <si>
    <t xml:space="preserve">&lt;b&gt;Inuyama&lt;/b&gt;&lt;br&gt;&lt;br&gt;&lt;img src='http://www.topcastles.com/images/large/inuyama.jpg' border='0'&gt;&lt;br&gt;&lt;br&gt;Topcastle according to http://www.topcastles.com/kastelen.php?SubMenu=main&amp;SelCastle=inuyama&lt;br&gt;&lt;br&gt;866. Inuyama&lt;br&gt;Country: Japan&lt;br&gt;Region: &lt;br&gt;Place: </t>
  </si>
  <si>
    <t>&lt;b&gt;Rocca Flea (Gualdo Tadino)&lt;/b&gt;&lt;br&gt;&lt;br&gt;&lt;img src='http://www.topcastles.com/images/large/gualdo.jpg' border='0'&gt;&lt;br&gt;&lt;br&gt;Topcastle according to http://www.topcastles.com/kastelen.php?SubMenu=main&amp;SelCastle=gualdo&lt;br&gt;&lt;br&gt;867. Rocca Flea (Gualdo Tadino)&lt;br&gt;Country: Italy&lt;br&gt;Region: Umbrië (Umbria)&lt;br&gt;Place: Gualdo Tadino</t>
  </si>
  <si>
    <t>&lt;b&gt;Nyköpingshus&lt;/b&gt;&lt;br&gt;&lt;br&gt;&lt;img src='http://www.topcastles.com/images/large/nykopingshus.jpg' border='0'&gt;&lt;br&gt;&lt;br&gt;Topcastle according to http://www.topcastles.com/kastelen.php?SubMenu=main&amp;SelCastle=nykopingshus&lt;br&gt;&lt;br&gt;868. Nyköpingshus&lt;br&gt;Country: Sweden&lt;br&gt;Region: Östra Mellansverige (East Middle Sweden)&lt;br&gt;Place: Nyköping (Södermanland)</t>
  </si>
  <si>
    <t>&lt;b&gt;Hrad Konopiste&lt;/b&gt;&lt;br&gt;&lt;br&gt;&lt;img src='http://www.topcastles.com/images/large/konopiste.jpg' border='0'&gt;&lt;br&gt;&lt;br&gt;Topcastle according to http://www.topcastles.com/kastelen.php?SubMenu=main&amp;SelCastle=konopiste&lt;br&gt;&lt;br&gt;869. Hrad Konopiste&lt;br&gt;Country: Czechia&lt;br&gt;Region: Stredo Ceský (Mittelböhmen)&lt;br&gt;Place: Benešov</t>
  </si>
  <si>
    <t>&lt;b&gt;Simontornyai vár&lt;/b&gt;&lt;br&gt;&lt;br&gt;&lt;img src='http://www.topcastles.com/images/large/simontornya.jpg' border='0'&gt;&lt;br&gt;&lt;br&gt;Topcastle according to http://www.topcastles.com/kastelen.php?SubMenu=main&amp;SelCastle=simontornya&lt;br&gt;&lt;br&gt;870. Simontornyai vár&lt;br&gt;Country: Hungary&lt;br&gt;Region: Dél Dunántúl (Southern Transdanubia)&lt;br&gt;Place: Simontornya</t>
  </si>
  <si>
    <t>&lt;b&gt;Burg Haldenstein&lt;/b&gt;&lt;br&gt;&lt;br&gt;&lt;img src='http://www.topcastles.com/images/large/haldenstein.jpg' border='0'&gt;&lt;br&gt;&lt;br&gt;Topcastle according to http://www.topcastles.com/kastelen.php?SubMenu=main&amp;SelCastle=haldenstein&lt;br&gt;&lt;br&gt;871. Burg Haldenstein&lt;br&gt;Country: Switzerland&lt;br&gt;Region: Ostschweiz&lt;br&gt;Place: Haldenstein</t>
  </si>
  <si>
    <t>&lt;b&gt;Castelo de Lanhoso&lt;/b&gt;&lt;br&gt;&lt;br&gt;&lt;img src='http://www.topcastles.com/images/large/lanhoso.jpg' border='0'&gt;&lt;br&gt;&lt;br&gt;Topcastle according to http://www.topcastles.com/kastelen.php?SubMenu=main&amp;SelCastle=lanhoso&lt;br&gt;&lt;br&gt;872. Castelo de Lanhoso&lt;br&gt;Country: Portugal&lt;br&gt;Region: &lt;br&gt;Place: Póvoa de Lanhoso</t>
  </si>
  <si>
    <t>&lt;b&gt;Schloss Lenzburg&lt;/b&gt;&lt;br&gt;&lt;br&gt;&lt;img src='http://www.topcastles.com/images/large/lenzburg.jpg' border='0'&gt;&lt;br&gt;&lt;br&gt;Topcastle according to http://www.topcastles.com/kastelen.php?SubMenu=main&amp;SelCastle=lenzburg&lt;br&gt;&lt;br&gt;873. Schloss Lenzburg&lt;br&gt;Country: Switzerland&lt;br&gt;Region: Ostschweiz&lt;br&gt;Place: Lenz (Kanton Graubünden)</t>
  </si>
  <si>
    <t>&lt;b&gt;Barnard Castle&lt;/b&gt;&lt;br&gt;&lt;br&gt;&lt;img src='http://www.topcastles.com/images/large/barnard.jpg' border='0'&gt;&lt;br&gt;&lt;br&gt;Topcastle according to http://www.topcastles.com/kastelen.php?SubMenu=main&amp;SelCastle=barnard&lt;br&gt;&lt;br&gt;874. Barnard Castle&lt;br&gt;Country: England&lt;br&gt;Region: North East&lt;br&gt;Place: (Durham)</t>
  </si>
  <si>
    <t>&lt;b&gt;Château de Blandy-les-tours&lt;/b&gt;&lt;br&gt;&lt;br&gt;&lt;img src='http://www.topcastles.com/images/large/blandylestours.jpg' border='0'&gt;&lt;br&gt;&lt;br&gt;Topcastle according to http://www.topcastles.com/kastelen.php?SubMenu=main&amp;SelCastle=blandylestours&lt;br&gt;&lt;br&gt;875. Château de Blandy-les-tours&lt;br&gt;Country: France&lt;br&gt;Region: Ile-de-France&lt;br&gt;Place: Blandy-les-Tours</t>
  </si>
  <si>
    <t>&lt;b&gt;Ružica Grad (Orahovica)&lt;/b&gt;&lt;br&gt;&lt;br&gt;&lt;img src='http://www.topcastles.com/images/large/ruzica.jpg' border='0'&gt;&lt;br&gt;&lt;br&gt;Topcastle according to http://www.topcastles.com/kastelen.php?SubMenu=main&amp;SelCastle=ruzica&lt;br&gt;&lt;br&gt;876. Ružica Grad (Orahovica)&lt;br&gt;Country: Croatia&lt;br&gt;Region: &lt;br&gt;Place: Orahovica</t>
  </si>
  <si>
    <t>&lt;b&gt;Carew Castle&lt;/b&gt;&lt;br&gt;&lt;br&gt;&lt;img src='http://www.topcastles.com/images/large/carew.jpg' border='0'&gt;&lt;br&gt;&lt;br&gt;Topcastle according to http://www.topcastles.com/kastelen.php?SubMenu=main&amp;SelCastle=carew&lt;br&gt;&lt;br&gt;877. Carew Castle&lt;br&gt;Country: Wales&lt;br&gt;Region: Dyfed&lt;br&gt;Place: Carew</t>
  </si>
  <si>
    <t>&lt;b&gt;Château de Rouen &lt;/b&gt;&lt;br&gt;&lt;br&gt;&lt;img src='http://www.topcastles.com/images/large/rouen.jpg' border='0'&gt;&lt;br&gt;&lt;br&gt;Topcastle according to http://www.topcastles.com/kastelen.php?SubMenu=main&amp;SelCastle=rouen&lt;br&gt;&lt;br&gt;878. Château de Rouen &lt;br&gt;Country: France&lt;br&gt;Region: Normandie&lt;br&gt;Place: Rouen</t>
  </si>
  <si>
    <t>&lt;b&gt;Castillo de Berlanga de Duero&lt;/b&gt;&lt;br&gt;&lt;br&gt;&lt;img src='http://www.topcastles.com/images/large/berlanga.jpg' border='0'&gt;&lt;br&gt;&lt;br&gt;Topcastle according to http://www.topcastles.com/kastelen.php?SubMenu=main&amp;SelCastle=berlanga&lt;br&gt;&lt;br&gt;879. Castillo de Berlanga de Duero&lt;br&gt;Country: Spain&lt;br&gt;Region: Andalucia&lt;br&gt;Place: (Granada)</t>
  </si>
  <si>
    <t xml:space="preserve">&lt;b&gt;Karytaina&lt;/b&gt;&lt;br&gt;&lt;br&gt;&lt;img src='http://www.topcastles.com/images/large/karytaina.jpg' border='0'&gt;&lt;br&gt;&lt;br&gt;Topcastle according to http://www.topcastles.com/kastelen.php?SubMenu=main&amp;SelCastle=karytaina&lt;br&gt;&lt;br&gt;880. Karytaina&lt;br&gt;Country: Greece&lt;br&gt;Region: Peloponnisos&lt;br&gt;Place: </t>
  </si>
  <si>
    <t>&lt;b&gt;Château de Lassay&lt;/b&gt;&lt;br&gt;&lt;br&gt;&lt;img src='http://www.topcastles.com/images/large/lassay.jpg' border='0'&gt;&lt;br&gt;&lt;br&gt;Topcastle according to http://www.topcastles.com/kastelen.php?SubMenu=main&amp;SelCastle=lassay&lt;br&gt;&lt;br&gt;881. Château de Lassay&lt;br&gt;Country: France&lt;br&gt;Region: Pays de la Loire&lt;br&gt;Place: Mayenne</t>
  </si>
  <si>
    <t>&lt;b&gt;Burg Oberranna&lt;/b&gt;&lt;br&gt;&lt;br&gt;&lt;img src='http://www.topcastles.com/images/large/oberranna.jpg' border='0'&gt;&lt;br&gt;&lt;br&gt;Topcastle according to http://www.topcastles.com/kastelen.php?SubMenu=main&amp;SelCastle=oberranna&lt;br&gt;&lt;br&gt;882. Burg Oberranna&lt;br&gt;Country: Austria&lt;br&gt;Region: Niederöstenreich&lt;br&gt;Place: Mühldorf</t>
  </si>
  <si>
    <t xml:space="preserve">&lt;b&gt;Hirado&lt;/b&gt;&lt;br&gt;&lt;br&gt;&lt;img src='http://www.topcastles.com/images/large/hirado.jpg' border='0'&gt;&lt;br&gt;&lt;br&gt;Topcastle according to http://www.topcastles.com/kastelen.php?SubMenu=main&amp;SelCastle=hirado&lt;br&gt;&lt;br&gt;883. Hirado&lt;br&gt;Country: Japan&lt;br&gt;Region: &lt;br&gt;Place: </t>
  </si>
  <si>
    <t>&lt;b&gt;Castello Ducale dei Gonzaga (Mantova)&lt;/b&gt;&lt;br&gt;&lt;br&gt;&lt;img src='http://www.topcastles.com/images/large/mantuaducale.jpg' border='0'&gt;&lt;br&gt;&lt;br&gt;Topcastle according to http://www.topcastles.com/kastelen.php?SubMenu=main&amp;SelCastle=mantuaducale&lt;br&gt;&lt;br&gt;884. Castello Ducale dei Gonzaga (Mantova)&lt;br&gt;Country: Italy&lt;br&gt;Region: Veneto (Venetia)&lt;br&gt;Place: Mantua (Mantova)</t>
  </si>
  <si>
    <t xml:space="preserve">&lt;b&gt;Die Aarburg&lt;/b&gt;&lt;br&gt;&lt;br&gt;&lt;img src='http://www.topcastles.com/images/large/aarburg.jpg' border='0'&gt;&lt;br&gt;&lt;br&gt;Topcastle according to http://www.topcastles.com/kastelen.php?SubMenu=main&amp;SelCastle=aarburg&lt;br&gt;&lt;br&gt;885. Die Aarburg&lt;br&gt;Country: Switzerland&lt;br&gt;Region: Mittelland&lt;br&gt;Place: </t>
  </si>
  <si>
    <t>&lt;b&gt;Naupaktos (Lepanto)&lt;/b&gt;&lt;br&gt;&lt;br&gt;&lt;img src='http://www.topcastles.com/images/large/naupaktos.jpg' border='0'&gt;&lt;br&gt;&lt;br&gt;Topcastle according to http://www.topcastles.com/kastelen.php?SubMenu=main&amp;SelCastle=naupaktos&lt;br&gt;&lt;br&gt;886. Naupaktos (Lepanto)&lt;br&gt;Country: Greece&lt;br&gt;Region: Peloponnisos&lt;br&gt;Place: Nafpaktos</t>
  </si>
  <si>
    <t>&lt;b&gt;Hrad Kunetická&lt;/b&gt;&lt;br&gt;&lt;br&gt;&lt;img src='http://www.topcastles.com/images/large/kuneticka.jpg' border='0'&gt;&lt;br&gt;&lt;br&gt;Topcastle according to http://www.topcastles.com/kastelen.php?SubMenu=main&amp;SelCastle=kuneticka&lt;br&gt;&lt;br&gt;887. Hrad Kunetická&lt;br&gt;Country: Czechia&lt;br&gt;Region: Pardubice&lt;br&gt;Place: Staré Hradiště</t>
  </si>
  <si>
    <t>&lt;b&gt;Château de Senlis&lt;/b&gt;&lt;br&gt;&lt;br&gt;&lt;img src='http://www.topcastles.com/images/large/senlis.jpg' border='0'&gt;&lt;br&gt;&lt;br&gt;Topcastle according to http://www.topcastles.com/kastelen.php?SubMenu=main&amp;SelCastle=senlis&lt;br&gt;&lt;br&gt;888. Château de Senlis&lt;br&gt;Country: France&lt;br&gt;Region: Picardie&lt;br&gt;Place: Senlis</t>
  </si>
  <si>
    <t xml:space="preserve">&lt;b&gt;Château de Commarque&lt;/b&gt;&lt;br&gt;&lt;br&gt;&lt;img src='http://www.topcastles.com/images/large/commarque.jpg' border='0'&gt;&lt;br&gt;&lt;br&gt;Topcastle according to http://www.topcastles.com/kastelen.php?SubMenu=main&amp;SelCastle=commarque&lt;br&gt;&lt;br&gt;889. Château de Commarque&lt;br&gt;Country: France&lt;br&gt;Region: Aquitaine&lt;br&gt;Place: </t>
  </si>
  <si>
    <t xml:space="preserve">&lt;b&gt;Château de Jemeppe (Hargimont)&lt;/b&gt;&lt;br&gt;&lt;br&gt;&lt;img src='http://www.topcastles.com/images/large/jemeppe.jpg' border='0'&gt;&lt;br&gt;&lt;br&gt;Topcastle according to http://www.topcastles.com/kastelen.php?SubMenu=main&amp;SelCastle=jemeppe&lt;br&gt;&lt;br&gt;890. Château de Jemeppe (Hargimont)&lt;br&gt;Country: Belgium&lt;br&gt;Region: Luxemburg&lt;br&gt;Place: </t>
  </si>
  <si>
    <t>&lt;b&gt;Château de Luynes&lt;/b&gt;&lt;br&gt;&lt;br&gt;&lt;img src='http://www.topcastles.com/images/large/luynes.jpg' border='0'&gt;&lt;br&gt;&lt;br&gt;Topcastle according to http://www.topcastles.com/kastelen.php?SubMenu=main&amp;SelCastle=luynes&lt;br&gt;&lt;br&gt;891. Château de Luynes&lt;br&gt;Country: France&lt;br&gt;Region: Centre&lt;br&gt;Place: Luynes (Indre-et-Loire)</t>
  </si>
  <si>
    <t>&lt;b&gt;Château de Chimay&lt;/b&gt;&lt;br&gt;&lt;br&gt;&lt;img src='http://www.topcastles.com/images/large/chimay.jpg' border='0'&gt;&lt;br&gt;&lt;br&gt;Topcastle according to http://www.topcastles.com/kastelen.php?SubMenu=main&amp;SelCastle=chimay&lt;br&gt;&lt;br&gt;892. Château de Chimay&lt;br&gt;Country: Belgium&lt;br&gt;Region: Henegouwen&lt;br&gt;Place: Chimay</t>
  </si>
  <si>
    <t>&lt;b&gt;Mount Saint Michael&lt;/b&gt;&lt;br&gt;&lt;br&gt;&lt;img src='http://www.topcastles.com/images/large/mountstmichael.jpg' border='0'&gt;&lt;br&gt;&lt;br&gt;Topcastle according to http://www.topcastles.com/kastelen.php?SubMenu=main&amp;SelCastle=mountstmichael&lt;br&gt;&lt;br&gt;893. Mount Saint Michael&lt;br&gt;Country: England&lt;br&gt;Region: South West&lt;br&gt;Place: (Cornwall)</t>
  </si>
  <si>
    <t xml:space="preserve">&lt;b&gt;Château de Parthenay &lt;/b&gt;&lt;br&gt;&lt;br&gt;&lt;img src='http://www.topcastles.com/images/large/partenay.jpg' border='0'&gt;&lt;br&gt;&lt;br&gt;Topcastle according to http://www.topcastles.com/kastelen.php?SubMenu=main&amp;SelCastle=partenay&lt;br&gt;&lt;br&gt;894. Château de Parthenay &lt;br&gt;Country: France&lt;br&gt;Region: Poitou-Charentes&lt;br&gt;Place: </t>
  </si>
  <si>
    <t>&lt;b&gt;Burg Eppstein&lt;/b&gt;&lt;br&gt;&lt;br&gt;&lt;img src='http://www.topcastles.com/images/large/eppstein.jpg' border='0'&gt;&lt;br&gt;&lt;br&gt;Topcastle according to http://www.topcastles.com/kastelen.php?SubMenu=main&amp;SelCastle=eppstein&lt;br&gt;&lt;br&gt;895. Burg Eppstein&lt;br&gt;Country: Germany&lt;br&gt;Region: Hessen&lt;br&gt;Place: Eppstein</t>
  </si>
  <si>
    <t xml:space="preserve">&lt;b&gt;Château de Brest&lt;/b&gt;&lt;br&gt;&lt;br&gt;&lt;img src='http://www.topcastles.com/images/large/brest.jpg' border='0'&gt;&lt;br&gt;&lt;br&gt;Topcastle according to http://www.topcastles.com/kastelen.php?SubMenu=main&amp;SelCastle=brest&lt;br&gt;&lt;br&gt;896. Château de Brest&lt;br&gt;Country: France&lt;br&gt;Region: Bretagne&lt;br&gt;Place: </t>
  </si>
  <si>
    <t>&lt;b&gt;Schwanenburg (Kleve)&lt;/b&gt;&lt;br&gt;&lt;br&gt;&lt;img src='http://www.topcastles.com/images/large/kleve.jpg' border='0'&gt;&lt;br&gt;&lt;br&gt;Topcastle according to http://www.topcastles.com/kastelen.php?SubMenu=main&amp;SelCastle=kleve&lt;br&gt;&lt;br&gt;897. Schwanenburg (Kleve)&lt;br&gt;Country: Germany&lt;br&gt;Region: Nordrhein-Westfalen&lt;br&gt;Place: Kleve</t>
  </si>
  <si>
    <t xml:space="preserve">&lt;b&gt;Akkerman (Bilhorod-Dnistrovskyi)&lt;/b&gt;&lt;br&gt;&lt;br&gt;&lt;img src='http://www.topcastles.com/images/large/akkerman.jpg' border='0'&gt;&lt;br&gt;&lt;br&gt;Topcastle according to http://www.topcastles.com/kastelen.php?SubMenu=main&amp;SelCastle=akkerman&lt;br&gt;&lt;br&gt;898. Akkerman (Bilhorod-Dnistrovskyi)&lt;br&gt;Country: Ukraine&lt;br&gt;Region: &lt;br&gt;Place: </t>
  </si>
  <si>
    <t xml:space="preserve">&lt;b&gt;Olesko&lt;/b&gt;&lt;br&gt;&lt;br&gt;&lt;img src='http://www.topcastles.com/images/large/olesko.jpg' border='0'&gt;&lt;br&gt;&lt;br&gt;Topcastle according to http://www.topcastles.com/kastelen.php?SubMenu=main&amp;SelCastle=olesko&lt;br&gt;&lt;br&gt;899. Olesko&lt;br&gt;Country: Ukraine&lt;br&gt;Region: &lt;br&gt;Place: </t>
  </si>
  <si>
    <t>&lt;b&gt;Stari grad Sarajevo&lt;/b&gt;&lt;br&gt;&lt;br&gt;&lt;img src='http://www.topcastles.com/images/large/sarajevo.jpg' border='0'&gt;&lt;br&gt;&lt;br&gt;Topcastle according to http://www.topcastles.com/kastelen.php?SubMenu=main&amp;SelCastle=sarajevo&lt;br&gt;&lt;br&gt;900. Stari grad Sarajevo&lt;br&gt;Country: Croatia&lt;br&gt;Region: &lt;br&gt;Place: Sarajevo</t>
  </si>
  <si>
    <t>&lt;b&gt;Mendenitsa&lt;/b&gt;&lt;br&gt;&lt;br&gt;&lt;img src='http://www.topcastles.com/images/large/bodonitza.jpg' border='0'&gt;&lt;br&gt;&lt;br&gt;Topcastle according to http://www.topcastles.com/kastelen.php?SubMenu=main&amp;SelCastle=bodonitza&lt;br&gt;&lt;br&gt;901. Mendenitsa&lt;br&gt;Country: Greece&lt;br&gt;Region: &lt;br&gt;Place: Mendenitsa</t>
  </si>
  <si>
    <t xml:space="preserve">&lt;b&gt;Carrigogunnel Castle&lt;/b&gt;&lt;br&gt;&lt;br&gt;&lt;img src='http://www.topcastles.com/images/large/carrigogunnel.jpg' border='0'&gt;&lt;br&gt;&lt;br&gt;Topcastle according to http://www.topcastles.com/kastelen.php?SubMenu=main&amp;SelCastle=carrigogunnel&lt;br&gt;&lt;br&gt;902. Carrigogunnel Castle&lt;br&gt;Country: Republic of Ireland&lt;br&gt;Region: Limerick&lt;br&gt;Place: </t>
  </si>
  <si>
    <t>&lt;b&gt;Burg Falkenberg&lt;/b&gt;&lt;br&gt;&lt;br&gt;&lt;img src='http://www.topcastles.com/images/large/falkenberg.jpg' border='0'&gt;&lt;br&gt;&lt;br&gt;Topcastle according to http://www.topcastles.com/kastelen.php?SubMenu=main&amp;SelCastle=falkenberg&lt;br&gt;&lt;br&gt;903. Burg Falkenberg&lt;br&gt;Country: Germany&lt;br&gt;Region: Bayern&lt;br&gt;Place: Falkenberg</t>
  </si>
  <si>
    <t xml:space="preserve">&lt;b&gt;Château de Druyes-les-Belles-Fontaines&lt;/b&gt;&lt;br&gt;&lt;br&gt;&lt;img src='http://www.topcastles.com/images/large/druyes.jpg' border='0'&gt;&lt;br&gt;&lt;br&gt;Topcastle according to http://www.topcastles.com/kastelen.php?SubMenu=main&amp;SelCastle=druyes&lt;br&gt;&lt;br&gt;904. Château de Druyes-les-Belles-Fontaines&lt;br&gt;Country: France&lt;br&gt;Region: Bourgogne&lt;br&gt;Place: </t>
  </si>
  <si>
    <t xml:space="preserve">&lt;b&gt;Rocca Sforzesca di Imola&lt;/b&gt;&lt;br&gt;&lt;br&gt;&lt;img src='http://www.topcastles.com/images/large/imola.jpg' border='0'&gt;&lt;br&gt;&lt;br&gt;Topcastle according to http://www.topcastles.com/kastelen.php?SubMenu=main&amp;SelCastle=imola&lt;br&gt;&lt;br&gt;905. Rocca Sforzesca di Imola&lt;br&gt;Country: Italy&lt;br&gt;Region: Emilia-Romagna&lt;br&gt;Place: </t>
  </si>
  <si>
    <t xml:space="preserve">&lt;b&gt;Castello di Prösels&lt;/b&gt;&lt;br&gt;&lt;br&gt;&lt;img src='http://www.topcastles.com/images/large/prosels.jpg' border='0'&gt;&lt;br&gt;&lt;br&gt;Topcastle according to http://www.topcastles.com/kastelen.php?SubMenu=main&amp;SelCastle=prosels&lt;br&gt;&lt;br&gt;906. Castello di Prösels&lt;br&gt;Country: Italy&lt;br&gt;Region: Trento (Zuid-Tirol, Trentino)&lt;br&gt;Place: </t>
  </si>
  <si>
    <t xml:space="preserve">&lt;b&gt;Largoët-en-Elven&lt;/b&gt;&lt;br&gt;&lt;br&gt;&lt;img src='http://www.topcastles.com/images/large/largoetenelven.jpg' border='0'&gt;&lt;br&gt;&lt;br&gt;Topcastle according to http://www.topcastles.com/kastelen.php?SubMenu=main&amp;SelCastle=largoetenelven&lt;br&gt;&lt;br&gt;907. Largoët-en-Elven&lt;br&gt;Country: France&lt;br&gt;Region: Bretagne&lt;br&gt;Place: </t>
  </si>
  <si>
    <t xml:space="preserve">&lt;b&gt;Boldogkőváralja ('Blessed Rock')&lt;/b&gt;&lt;br&gt;&lt;br&gt;&lt;img src='http://www.topcastles.com/images/large/boldogko.jpg' border='0'&gt;&lt;br&gt;&lt;br&gt;Topcastle according to http://www.topcastles.com/kastelen.php?SubMenu=main&amp;SelCastle=boldogko&lt;br&gt;&lt;br&gt;908. Boldogkőváralja ('Blessed Rock')&lt;br&gt;Country: Hungary&lt;br&gt;Region: Észak Magyaroszág (Northern Hungary)&lt;br&gt;Place: </t>
  </si>
  <si>
    <t xml:space="preserve">&lt;b&gt;Burg Falkenstein (NO)&lt;/b&gt;&lt;br&gt;&lt;br&gt;&lt;img src='http://www.topcastles.com/images/large/falkensteinniederoesterreich.jpg' border='0'&gt;&lt;br&gt;&lt;br&gt;Topcastle according to http://www.topcastles.com/kastelen.php?SubMenu=main&amp;SelCastle=falkensteinniederoesterreich&lt;br&gt;&lt;br&gt;909. Burg Falkenstein (NO)&lt;br&gt;Country: Austria&lt;br&gt;Region: Niederöstenreich&lt;br&gt;Place: </t>
  </si>
  <si>
    <t>&lt;b&gt;Rocca Roveresca (Senigallia)&lt;/b&gt;&lt;br&gt;&lt;br&gt;&lt;img src='http://www.topcastles.com/images/large/senigallia.jpg' border='0'&gt;&lt;br&gt;&lt;br&gt;Topcastle according to http://www.topcastles.com/kastelen.php?SubMenu=main&amp;SelCastle=senigallia&lt;br&gt;&lt;br&gt;910. Rocca Roveresca (Senigallia)&lt;br&gt;Country: Italy&lt;br&gt;Region: Marche&lt;br&gt;Place: Senigallia</t>
  </si>
  <si>
    <t>&lt;b&gt;Kasteel van Rumbeke&lt;/b&gt;&lt;br&gt;&lt;br&gt;&lt;img src='http://www.topcastles.com/images/large/rumbeke.jpg' border='0'&gt;&lt;br&gt;&lt;br&gt;Topcastle according to http://www.topcastles.com/kastelen.php?SubMenu=main&amp;SelCastle=rumbeke&lt;br&gt;&lt;br&gt;911. Kasteel van Rumbeke&lt;br&gt;Country: Belgium&lt;br&gt;Region: West Vlaanderen&lt;br&gt;Place: Rumbeke</t>
  </si>
  <si>
    <t>&lt;b&gt;Castillo de Molina&lt;/b&gt;&lt;br&gt;&lt;br&gt;&lt;img src='http://www.topcastles.com/images/large/molinaaragon.jpg' border='0'&gt;&lt;br&gt;&lt;br&gt;Topcastle according to http://www.topcastles.com/kastelen.php?SubMenu=main&amp;SelCastle=molinaaragon&lt;br&gt;&lt;br&gt;912. Castillo de Molina&lt;br&gt;Country: Spain&lt;br&gt;Region: Castilla-La Mancha&lt;br&gt;Place: Molina de Aragón(Guadalajara)</t>
  </si>
  <si>
    <t xml:space="preserve">&lt;b&gt;Fushimi&lt;/b&gt;&lt;br&gt;&lt;br&gt;&lt;img src='http://www.topcastles.com/images/large/fushimi.jpg' border='0'&gt;&lt;br&gt;&lt;br&gt;Topcastle according to http://www.topcastles.com/kastelen.php?SubMenu=main&amp;SelCastle=fushimi&lt;br&gt;&lt;br&gt;913. Fushimi&lt;br&gt;Country: Japan&lt;br&gt;Region: &lt;br&gt;Place: </t>
  </si>
  <si>
    <t>&lt;b&gt;Castillo de La Sádaba&lt;/b&gt;&lt;br&gt;&lt;br&gt;&lt;img src='http://www.topcastles.com/images/large/sadaba.jpg' border='0'&gt;&lt;br&gt;&lt;br&gt;Topcastle according to http://www.topcastles.com/kastelen.php?SubMenu=main&amp;SelCastle=sadaba&lt;br&gt;&lt;br&gt;914. Castillo de La Sádaba&lt;br&gt;Country: Spain&lt;br&gt;Region: Aragón&lt;br&gt;Place: Sádaba (Zaragoza)</t>
  </si>
  <si>
    <t xml:space="preserve">&lt;b&gt;Grad Hmeljnik (Hopfenbach)&lt;/b&gt;&lt;br&gt;&lt;br&gt;&lt;img src='http://www.topcastles.com/images/large/hmeljnik.jpg' border='0'&gt;&lt;br&gt;&lt;br&gt;Topcastle according to http://www.topcastles.com/kastelen.php?SubMenu=main&amp;SelCastle=hmeljnik&lt;br&gt;&lt;br&gt;915. Grad Hmeljnik (Hopfenbach)&lt;br&gt;Country: Slovenia&lt;br&gt;Region: Krka&lt;br&gt;Place: </t>
  </si>
  <si>
    <t>&lt;b&gt;Grad Vipava (Wippach)&lt;/b&gt;&lt;br&gt;&lt;br&gt;&lt;img src='http://www.topcastles.com/images/large/vipava.jpg' border='0'&gt;&lt;br&gt;&lt;br&gt;Topcastle according to http://www.topcastles.com/kastelen.php?SubMenu=main&amp;SelCastle=vipava&lt;br&gt;&lt;br&gt;916. Grad Vipava (Wippach)&lt;br&gt;Country: Slovenia&lt;br&gt;Region: Notranjsko&lt;br&gt;Place: Vipava</t>
  </si>
  <si>
    <t>&lt;b&gt;Grad Zovnek (Sannegg)&lt;/b&gt;&lt;br&gt;&lt;br&gt;&lt;img src='http://www.topcastles.com/images/large/zovnek.jpg' border='0'&gt;&lt;br&gt;&lt;br&gt;Topcastle according to http://www.topcastles.com/kastelen.php?SubMenu=main&amp;SelCastle=zovnek&lt;br&gt;&lt;br&gt;917. Grad Zovnek (Sannegg)&lt;br&gt;Country: Slovenia&lt;br&gt;Region: Štajerska (Untersteiermark, Lower Styria)&lt;br&gt;Place: Braslovče (Fraßlau)</t>
  </si>
  <si>
    <t>&lt;b&gt;Château de Suscinio&lt;/b&gt;&lt;br&gt;&lt;br&gt;&lt;img src='http://www.topcastles.com/images/large/suscinio.jpg' border='0'&gt;&lt;br&gt;&lt;br&gt;Topcastle according to http://www.topcastles.com/kastelen.php?SubMenu=main&amp;SelCastle=suscinio&lt;br&gt;&lt;br&gt;918. Château de Suscinio&lt;br&gt;Country: France&lt;br&gt;Region: Bretagne&lt;br&gt;Place: Sarzeau</t>
  </si>
  <si>
    <t>&lt;b&gt;Grosmont Castle&lt;/b&gt;&lt;br&gt;&lt;br&gt;&lt;img src='http://www.topcastles.com/images/large/grosmont.jpg' border='0'&gt;&lt;br&gt;&lt;br&gt;Topcastle according to http://www.topcastles.com/kastelen.php?SubMenu=main&amp;SelCastle=grosmont&lt;br&gt;&lt;br&gt;919. Grosmont Castle&lt;br&gt;Country: Wales&lt;br&gt;Region: Gwent&lt;br&gt;Place: Grosmont (Monmouthshire)</t>
  </si>
  <si>
    <t xml:space="preserve">&lt;b&gt;Matsuyama&lt;/b&gt;&lt;br&gt;&lt;br&gt;&lt;img src='http://www.topcastles.com/images/large/matsuyama.jpg' border='0'&gt;&lt;br&gt;&lt;br&gt;Topcastle according to http://www.topcastles.com/kastelen.php?SubMenu=main&amp;SelCastle=matsuyama&lt;br&gt;&lt;br&gt;920. Matsuyama&lt;br&gt;Country: Japan&lt;br&gt;Region: &lt;br&gt;Place: </t>
  </si>
  <si>
    <t>&lt;b&gt;Nijyo&lt;/b&gt;&lt;br&gt;&lt;br&gt;&lt;img src='http://www.topcastles.com/images/large/nijyo.jpg' border='0'&gt;&lt;br&gt;&lt;br&gt;Topcastle according to http://www.topcastles.com/kastelen.php?SubMenu=main&amp;SelCastle=nijyo&lt;br&gt;&lt;br&gt;921. Nijyo&lt;br&gt;Country: Japan&lt;br&gt;Region: &lt;br&gt;Place: Kyoto</t>
  </si>
  <si>
    <t xml:space="preserve">&lt;b&gt;Château de Bourglinster&lt;/b&gt;&lt;br&gt;&lt;br&gt;&lt;img src='http://www.topcastles.com/images/large/bourglinster.jpg' border='0'&gt;&lt;br&gt;&lt;br&gt;Topcastle according to http://www.topcastles.com/kastelen.php?SubMenu=main&amp;SelCastle=bourglinster&lt;br&gt;&lt;br&gt;922. Château de Bourglinster&lt;br&gt;Country: Luxemburg&lt;br&gt;Region: &lt;br&gt;Place: </t>
  </si>
  <si>
    <t>&lt;b&gt;Burg Fürstenberg am Rhein&lt;/b&gt;&lt;br&gt;&lt;br&gt;&lt;img src='http://www.topcastles.com/images/large/furstenberg.jpg' border='0'&gt;&lt;br&gt;&lt;br&gt;Topcastle according to http://www.topcastles.com/kastelen.php?SubMenu=main&amp;SelCastle=furstenberg&lt;br&gt;&lt;br&gt;923. Burg Fürstenberg am Rhein&lt;br&gt;Country: Germany&lt;br&gt;Region: Rheinland-Pfalz&lt;br&gt;Place: Rheindiebach</t>
  </si>
  <si>
    <t>&lt;b&gt;Château de Fère-en-Tardenois&lt;/b&gt;&lt;br&gt;&lt;br&gt;&lt;img src='http://www.topcastles.com/images/large/fere.jpg' border='0'&gt;&lt;br&gt;&lt;br&gt;Topcastle according to http://www.topcastles.com/kastelen.php?SubMenu=main&amp;SelCastle=fere&lt;br&gt;&lt;br&gt;924. Château de Fère-en-Tardenois&lt;br&gt;Country: France&lt;br&gt;Region: Picardie&lt;br&gt;Place: Fère-en-Tardenois</t>
  </si>
  <si>
    <t>&lt;b&gt;Castello di Issogne&lt;/b&gt;&lt;br&gt;&lt;br&gt;&lt;img src='http://www.topcastles.com/images/large/issogne.jpg' border='0'&gt;&lt;br&gt;&lt;br&gt;Topcastle according to http://www.topcastles.com/kastelen.php?SubMenu=main&amp;SelCastle=issogne&lt;br&gt;&lt;br&gt;925. Castello di Issogne&lt;br&gt;Country: Italy&lt;br&gt;Region: Valle d'Aosta&lt;br&gt;Place: Issogne</t>
  </si>
  <si>
    <t>&lt;b&gt;Schloss Landeck&lt;/b&gt;&lt;br&gt;&lt;br&gt;&lt;img src='http://www.topcastles.com/images/large/landecktirol.jpg' border='0'&gt;&lt;br&gt;&lt;br&gt;Topcastle according to http://www.topcastles.com/kastelen.php?SubMenu=main&amp;SelCastle=landecktirol&lt;br&gt;&lt;br&gt;926. Schloss Landeck&lt;br&gt;Country: Austria&lt;br&gt;Region: Tirol&lt;br&gt;Place: Landeck (Tiroler Oberland)</t>
  </si>
  <si>
    <t>&lt;b&gt;Rocca Malatestiana (Cesena)&lt;/b&gt;&lt;br&gt;&lt;br&gt;&lt;img src='http://www.topcastles.com/images/large/cesena.jpg' border='0'&gt;&lt;br&gt;&lt;br&gt;Topcastle according to http://www.topcastles.com/kastelen.php?SubMenu=main&amp;SelCastle=cesena&lt;br&gt;&lt;br&gt;927. Rocca Malatestiana (Cesena)&lt;br&gt;Country: Italy&lt;br&gt;Region: Emilia-Romagna&lt;br&gt;Place: Cesena</t>
  </si>
  <si>
    <t>&lt;b&gt;Castello di Montalto Dora&lt;/b&gt;&lt;br&gt;&lt;br&gt;&lt;img src='http://www.topcastles.com/images/large/montalto.jpg' border='0'&gt;&lt;br&gt;&lt;br&gt;Topcastle according to http://www.topcastles.com/kastelen.php?SubMenu=main&amp;SelCastle=montalto&lt;br&gt;&lt;br&gt;928. Castello di Montalto Dora&lt;br&gt;Country: Italy&lt;br&gt;Region: Piemonte&lt;br&gt;Place: Montalto Dora</t>
  </si>
  <si>
    <t>&lt;b&gt;Kokenhuse (Koknese)&lt;/b&gt;&lt;br&gt;&lt;br&gt;&lt;img src='http://www.topcastles.com/images/large/kokenhuse.jpg' border='0'&gt;&lt;br&gt;&lt;br&gt;Topcastle according to http://www.topcastles.com/kastelen.php?SubMenu=main&amp;SelCastle=kokenhuse&lt;br&gt;&lt;br&gt;929. Kokenhuse (Koknese)&lt;br&gt;Country: Latvia&lt;br&gt;Region: &lt;br&gt;Place: Koknese</t>
  </si>
  <si>
    <t>&lt;b&gt;Kasteel van Montfort&lt;/b&gt;&lt;br&gt;&lt;br&gt;&lt;img src='http://www.topcastles.com/images/large/montfortl.jpg' border='0'&gt;&lt;br&gt;&lt;br&gt;Topcastle according to http://www.topcastles.com/kastelen.php?SubMenu=main&amp;SelCastle=montfortl&lt;br&gt;&lt;br&gt;930. Kasteel van Montfort&lt;br&gt;Country: Netherlands&lt;br&gt;Region: Limburg&lt;br&gt;Place: Montfort</t>
  </si>
  <si>
    <t>&lt;b&gt;Burg Murten&lt;/b&gt;&lt;br&gt;&lt;br&gt;&lt;img src='http://www.topcastles.com/images/large/murten.jpg' border='0'&gt;&lt;br&gt;&lt;br&gt;Topcastle according to http://www.topcastles.com/kastelen.php?SubMenu=main&amp;SelCastle=murten&lt;br&gt;&lt;br&gt;931. Burg Murten&lt;br&gt;Country: Switzerland&lt;br&gt;Region: Mittelland&lt;br&gt;Place: Murten (Canton of Fribourg)</t>
  </si>
  <si>
    <t xml:space="preserve">&lt;b&gt;Château de du Hohlandsbourg (Landsberg, Heiligenstein)&lt;/b&gt;&lt;br&gt;&lt;br&gt;&lt;img src='http://www.topcastles.com/images/large/hohlandsberg.jpg' border='0'&gt;&lt;br&gt;&lt;br&gt;Topcastle according to http://www.topcastles.com/kastelen.php?SubMenu=main&amp;SelCastle=hohlandsberg&lt;br&gt;&lt;br&gt;932. Château de du Hohlandsbourg (Landsberg, Heiligenstein)&lt;br&gt;Country: France&lt;br&gt;Region: Elzas (Alsace)&lt;br&gt;Place: </t>
  </si>
  <si>
    <t>&lt;b&gt;Château de Sombreffe&lt;/b&gt;&lt;br&gt;&lt;br&gt;&lt;img src='http://www.topcastles.com/images/large/sombreffe.jpg' border='0'&gt;&lt;br&gt;&lt;br&gt;Topcastle according to http://www.topcastles.com/kastelen.php?SubMenu=main&amp;SelCastle=sombreffe&lt;br&gt;&lt;br&gt;933. Château de Sombreffe&lt;br&gt;Country: Belgium&lt;br&gt;Region: Brabant&lt;br&gt;Place: Sombreffe</t>
  </si>
  <si>
    <t>&lt;b&gt;Castillo de La Iruela&lt;/b&gt;&lt;br&gt;&lt;br&gt;&lt;img src='http://www.topcastles.com/images/large/iruela.jpg' border='0'&gt;&lt;br&gt;&lt;br&gt;Topcastle according to http://www.topcastles.com/kastelen.php?SubMenu=main&amp;SelCastle=iruela&lt;br&gt;&lt;br&gt;934. Castillo de La Iruela&lt;br&gt;Country: Spain&lt;br&gt;Region: Andalucia&lt;br&gt;Place: Montemayor del Rio (Jaén)</t>
  </si>
  <si>
    <t>&lt;b&gt;Castello Malatestiano (Gradara)&lt;/b&gt;&lt;br&gt;&lt;br&gt;&lt;img src='http://www.topcastles.com/images/large/gradara.jpg' border='0'&gt;&lt;br&gt;&lt;br&gt;Topcastle according to http://www.topcastles.com/kastelen.php?SubMenu=main&amp;SelCastle=gradara&lt;br&gt;&lt;br&gt;935. Castello Malatestiano (Gradara)&lt;br&gt;Country: Italy&lt;br&gt;Region: Marche&lt;br&gt;Place: Gradara</t>
  </si>
  <si>
    <t>&lt;b&gt;Die Grasburg&lt;/b&gt;&lt;br&gt;&lt;br&gt;&lt;img src='http://www.topcastles.com/images/large/grasburg.jpg' border='0'&gt;&lt;br&gt;&lt;br&gt;Topcastle according to http://www.topcastles.com/kastelen.php?SubMenu=main&amp;SelCastle=grasburg&lt;br&gt;&lt;br&gt;936. Die Grasburg&lt;br&gt;Country: Switzerland&lt;br&gt;Region: Mittelland&lt;br&gt;Place: Wahlern (Kanton Bern)</t>
  </si>
  <si>
    <t>&lt;b&gt;Chirk Castle (Castell d'Y Waun)&lt;/b&gt;&lt;br&gt;&lt;br&gt;&lt;img src='http://www.topcastles.com/images/large/chirk.jpg' border='0'&gt;&lt;br&gt;&lt;br&gt;Topcastle according to http://www.topcastles.com/kastelen.php?SubMenu=main&amp;SelCastle=chirk&lt;br&gt;&lt;br&gt;937. Chirk Castle (Castell d'Y Waun)&lt;br&gt;Country: Wales&lt;br&gt;Region: Clwyd&lt;br&gt;Place: Chirk (Wrexham, Powis)</t>
  </si>
  <si>
    <t>&lt;b&gt;Château de Romont&lt;/b&gt;&lt;br&gt;&lt;br&gt;&lt;img src='http://www.topcastles.com/images/large/romont.jpg' border='0'&gt;&lt;br&gt;&lt;br&gt;Topcastle according to http://www.topcastles.com/kastelen.php?SubMenu=main&amp;SelCastle=romont&lt;br&gt;&lt;br&gt;938. Château de Romont&lt;br&gt;Country: Switzerland&lt;br&gt;Region: Mittelland&lt;br&gt;Place: Romont (Kanton Fribourg)</t>
  </si>
  <si>
    <t xml:space="preserve">&lt;b&gt;Fagusta (Magusa)&lt;/b&gt;&lt;br&gt;&lt;br&gt;&lt;img src='http://www.topcastles.com/images/large/famagusta.jpg' border='0'&gt;&lt;br&gt;&lt;br&gt;Topcastle according to http://www.topcastles.com/kastelen.php?SubMenu=main&amp;SelCastle=famagusta&lt;br&gt;&lt;br&gt;939. Fagusta (Magusa)&lt;br&gt;Country: Cyprus&lt;br&gt;Region: &lt;br&gt;Place: </t>
  </si>
  <si>
    <t>&lt;b&gt;Dinefwr Castle (Dynevor)&lt;/b&gt;&lt;br&gt;&lt;br&gt;&lt;img src='http://www.topcastles.com/images/large/dinefwr.jpg' border='0'&gt;&lt;br&gt;&lt;br&gt;Topcastle according to http://www.topcastles.com/kastelen.php?SubMenu=main&amp;SelCastle=dinefwr&lt;br&gt;&lt;br&gt;940. Dinefwr Castle (Dynevor)&lt;br&gt;Country: Wales&lt;br&gt;Region: Dyfed&lt;br&gt;Place: Llandeilo (Carmarthenshire)</t>
  </si>
  <si>
    <t xml:space="preserve">&lt;b&gt;Srebrenik&lt;/b&gt;&lt;br&gt;&lt;br&gt;&lt;img src='http://www.topcastles.com/images/large/srebrenik.jpg' border='0'&gt;&lt;br&gt;&lt;br&gt;Topcastle according to http://www.topcastles.com/kastelen.php?SubMenu=main&amp;SelCastle=srebrenik&lt;br&gt;&lt;br&gt;941. Srebrenik&lt;br&gt;Country: Bosnia&lt;br&gt;Region: &lt;br&gt;Place: </t>
  </si>
  <si>
    <t>&lt;b&gt;Château du Clain (Poitiers)&lt;/b&gt;&lt;br&gt;&lt;br&gt;&lt;img src='http://www.topcastles.com/images/large/poitiers.jpg' border='0'&gt;&lt;br&gt;&lt;br&gt;Topcastle according to http://www.topcastles.com/kastelen.php?SubMenu=main&amp;SelCastle=poitiers&lt;br&gt;&lt;br&gt;942. Château du Clain (Poitiers)&lt;br&gt;Country: France&lt;br&gt;Region: Poitou-Charentes&lt;br&gt;Place: Poitiers</t>
  </si>
  <si>
    <t xml:space="preserve">&lt;b&gt;Château de Tonquédec&lt;/b&gt;&lt;br&gt;&lt;br&gt;&lt;img src='http://www.topcastles.com/images/large/tonquedec.jpg' border='0'&gt;&lt;br&gt;&lt;br&gt;Topcastle according to http://www.topcastles.com/kastelen.php?SubMenu=main&amp;SelCastle=tonquedec&lt;br&gt;&lt;br&gt;943. Château de Tonquédec&lt;br&gt;Country: France&lt;br&gt;Region: Bretagne&lt;br&gt;Place: </t>
  </si>
  <si>
    <t xml:space="preserve">&lt;b&gt;Berzé le Chatel&lt;/b&gt;&lt;br&gt;&lt;br&gt;&lt;img src='http://www.topcastles.com/images/large/berze.jpg' border='0'&gt;&lt;br&gt;&lt;br&gt;Topcastle according to http://www.topcastles.com/kastelen.php?SubMenu=main&amp;SelCastle=berze&lt;br&gt;&lt;br&gt;944. Berzé le Chatel&lt;br&gt;Country: France&lt;br&gt;Region: Bourgogne&lt;br&gt;Place: </t>
  </si>
  <si>
    <t>&lt;b&gt;Somlói vár (Doba)&lt;/b&gt;&lt;br&gt;&lt;br&gt;&lt;img src='http://www.topcastles.com/images/large/somlo.jpg' border='0'&gt;&lt;br&gt;&lt;br&gt;Topcastle according to http://www.topcastles.com/kastelen.php?SubMenu=main&amp;SelCastle=somlo&lt;br&gt;&lt;br&gt;945. Somlói vár (Doba)&lt;br&gt;Country: Hungary&lt;br&gt;Region: Közép Magyarország (Central Hungary)&lt;br&gt;Place: Doba</t>
  </si>
  <si>
    <t>&lt;b&gt;Château de Rixensart&lt;/b&gt;&lt;br&gt;&lt;br&gt;&lt;img src='http://www.topcastles.com/images/large/rixensart.jpg' border='0'&gt;&lt;br&gt;&lt;br&gt;Topcastle according to http://www.topcastles.com/kastelen.php?SubMenu=main&amp;SelCastle=rixensart&lt;br&gt;&lt;br&gt;946. Château de Rixensart&lt;br&gt;Country: Belgium&lt;br&gt;Region: Waals Brabant&lt;br&gt;Place: Rixenhart</t>
  </si>
  <si>
    <t xml:space="preserve">&lt;b&gt;Useldange&lt;/b&gt;&lt;br&gt;&lt;br&gt;&lt;img src='http://www.topcastles.com/images/large/useldange.jpg' border='0'&gt;&lt;br&gt;&lt;br&gt;Topcastle according to http://www.topcastles.com/kastelen.php?SubMenu=main&amp;SelCastle=useldange&lt;br&gt;&lt;br&gt;947. Useldange&lt;br&gt;Country: Luxemburg&lt;br&gt;Region: &lt;br&gt;Place: </t>
  </si>
  <si>
    <t>&lt;b&gt;Castello di Visconti (Castell'Arquato)&lt;/b&gt;&lt;br&gt;&lt;br&gt;&lt;img src='http://www.topcastles.com/images/large/arquato.jpg' border='0'&gt;&lt;br&gt;&lt;br&gt;Topcastle according to http://www.topcastles.com/kastelen.php?SubMenu=main&amp;SelCastle=arquato&lt;br&gt;&lt;br&gt;948. Castello di Visconti (Castell'Arquato)&lt;br&gt;Country: Italy&lt;br&gt;Region: Emilia-Romagna&lt;br&gt;Place: Castell'Arquato</t>
  </si>
  <si>
    <t>&lt;b&gt;Siroki vár árnyékában&lt;/b&gt;&lt;br&gt;&lt;br&gt;&lt;img src='http://www.topcastles.com/images/large/sirok.jpg' border='0'&gt;&lt;br&gt;&lt;br&gt;Topcastle according to http://www.topcastles.com/kastelen.php?SubMenu=main&amp;SelCastle=sirok&lt;br&gt;&lt;br&gt;949. Siroki vár árnyékában&lt;br&gt;Country: Hungary&lt;br&gt;Region: Észak Magyaroszág (Northern Hungary)&lt;br&gt;Place: Sirok</t>
  </si>
  <si>
    <t xml:space="preserve">&lt;b&gt;Silifke (Seleucia)&lt;/b&gt;&lt;br&gt;&lt;br&gt;&lt;img src='http://www.topcastles.com/images/large/silifke.jpg' border='0'&gt;&lt;br&gt;&lt;br&gt;Topcastle according to http://www.topcastles.com/kastelen.php?SubMenu=main&amp;SelCastle=silifke&lt;br&gt;&lt;br&gt;950. Silifke (Seleucia)&lt;br&gt;Country: Turkey&lt;br&gt;Region: &lt;br&gt;Place: </t>
  </si>
  <si>
    <t>&lt;b&gt;Powis Castle&lt;/b&gt;&lt;br&gt;&lt;br&gt;&lt;img src='http://www.topcastles.com/images/large/powis.jpg' border='0'&gt;&lt;br&gt;&lt;br&gt;Topcastle according to http://www.topcastles.com/kastelen.php?SubMenu=main&amp;SelCastle=powis&lt;br&gt;&lt;br&gt;951. Powis Castle&lt;br&gt;Country: Wales&lt;br&gt;Region: Powys&lt;br&gt;Place: Welshpool</t>
  </si>
  <si>
    <t xml:space="preserve">&lt;b&gt;Castello de Verrés&lt;/b&gt;&lt;br&gt;&lt;br&gt;&lt;img src='http://www.topcastles.com/images/large/verres.jpg' border='0'&gt;&lt;br&gt;&lt;br&gt;Topcastle according to http://www.topcastles.com/kastelen.php?SubMenu=main&amp;SelCastle=verres&lt;br&gt;&lt;br&gt;952. Castello de Verrés&lt;br&gt;Country: Italy&lt;br&gt;Region: Valle d'Aosta&lt;br&gt;Place: </t>
  </si>
  <si>
    <t xml:space="preserve">&lt;b&gt;Château de Commequiers&lt;/b&gt;&lt;br&gt;&lt;br&gt;&lt;img src='http://www.topcastles.com/images/large/commequiers.jpg' border='0'&gt;&lt;br&gt;&lt;br&gt;Topcastle according to http://www.topcastles.com/kastelen.php?SubMenu=main&amp;SelCastle=commequiers&lt;br&gt;&lt;br&gt;953. Château de Commequiers&lt;br&gt;Country: France&lt;br&gt;Region: Pays de la Loire&lt;br&gt;Place: </t>
  </si>
  <si>
    <t>&lt;b&gt;Kasteel Egmond&lt;/b&gt;&lt;br&gt;&lt;br&gt;&lt;img src='http://www.topcastles.com/images/large/egmond.jpg' border='0'&gt;&lt;br&gt;&lt;br&gt;Topcastle according to http://www.topcastles.com/kastelen.php?SubMenu=main&amp;SelCastle=egmond&lt;br&gt;&lt;br&gt;954. Kasteel Egmond&lt;br&gt;Country: Netherlands&lt;br&gt;Region: Noord Holland&lt;br&gt;Place: Egmond aan den Hoef</t>
  </si>
  <si>
    <t>&lt;b&gt;Chastel Rouge (Qal'at Yahmur)&lt;/b&gt;&lt;br&gt;&lt;br&gt;&lt;img src='http://www.topcastles.com/images/large/chastelrouge.jpg' border='0'&gt;&lt;br&gt;&lt;br&gt;Topcastle according to http://www.topcastles.com/kastelen.php?SubMenu=main&amp;SelCastle=chastelrouge&lt;br&gt;&lt;br&gt;955. Chastel Rouge (Qal'at Yahmur)&lt;br&gt;Country: Syria&lt;br&gt;Region: &lt;br&gt;Place: Qalaat Yahamur</t>
  </si>
  <si>
    <t xml:space="preserve">&lt;b&gt;Burg Strechau&lt;/b&gt;&lt;br&gt;&lt;br&gt;&lt;img src='http://www.topcastles.com/images/large/strechau.jpg' border='0'&gt;&lt;br&gt;&lt;br&gt;Topcastle according to http://www.topcastles.com/kastelen.php?SubMenu=main&amp;SelCastle=strechau&lt;br&gt;&lt;br&gt;956. Burg Strechau&lt;br&gt;Country: Austria&lt;br&gt;Region: Steiermark&lt;br&gt;Place: </t>
  </si>
  <si>
    <t xml:space="preserve">&lt;b&gt;Donegal Castle&lt;/b&gt;&lt;br&gt;&lt;br&gt;&lt;img src='http://www.topcastles.com/images/large/donegal.jpg' border='0'&gt;&lt;br&gt;&lt;br&gt;Topcastle according to http://www.topcastles.com/kastelen.php?SubMenu=main&amp;SelCastle=donegal&lt;br&gt;&lt;br&gt;957. Donegal Castle&lt;br&gt;Country: Republic of Ireland&lt;br&gt;Region: Donegal&lt;br&gt;Place: </t>
  </si>
  <si>
    <t xml:space="preserve">&lt;b&gt;Château de Mehun-sur-Yèvre&lt;/b&gt;&lt;br&gt;&lt;br&gt;&lt;img src='http://www.topcastles.com/images/large/mehunsuryevre.jpg' border='0'&gt;&lt;br&gt;&lt;br&gt;Topcastle according to http://www.topcastles.com/kastelen.php?SubMenu=main&amp;SelCastle=mehunsuryevre&lt;br&gt;&lt;br&gt;958. Château de Mehun-sur-Yèvre&lt;br&gt;Country: France&lt;br&gt;Region: Centre&lt;br&gt;Place: </t>
  </si>
  <si>
    <t>&lt;b&gt;Château de Montaiguillon&lt;/b&gt;&lt;br&gt;&lt;br&gt;&lt;img src='http://www.topcastles.com/images/large/montaiguillon.jpg' border='0'&gt;&lt;br&gt;&lt;br&gt;Topcastle according to http://www.topcastles.com/kastelen.php?SubMenu=main&amp;SelCastle=montaiguillon&lt;br&gt;&lt;br&gt;959. Château de Montaiguillon&lt;br&gt;Country: France&lt;br&gt;Region: Ile-de-France&lt;br&gt;Place: Montaiguillon</t>
  </si>
  <si>
    <t>&lt;b&gt;Gibelet (Byblos, Djebail, Gubla)&lt;/b&gt;&lt;br&gt;&lt;br&gt;&lt;img src='http://www.topcastles.com/images/large/gibelet.jpg' border='0'&gt;&lt;br&gt;&lt;br&gt;Topcastle according to http://www.topcastles.com/kastelen.php?SubMenu=main&amp;SelCastle=gibelet&lt;br&gt;&lt;br&gt;960. Gibelet (Byblos, Djebail, Gubla)&lt;br&gt;Country: Lebanon&lt;br&gt;Region: Tripoli&lt;br&gt;Place: Byblos</t>
  </si>
  <si>
    <t xml:space="preserve">&lt;b&gt;Hrad Strakonice (Strakonitz)&lt;/b&gt;&lt;br&gt;&lt;br&gt;&lt;img src='http://www.topcastles.com/images/large/strakonice.jpg' border='0'&gt;&lt;br&gt;&lt;br&gt;Topcastle according to http://www.topcastles.com/kastelen.php?SubMenu=main&amp;SelCastle=strakonice&lt;br&gt;&lt;br&gt;961. Hrad Strakonice (Strakonitz)&lt;br&gt;Country: Czechia&lt;br&gt;Region: Jiho Ceský (Südböhmen)&lt;br&gt;Place: </t>
  </si>
  <si>
    <t>&lt;b&gt;Kasteel Leefdaal&lt;/b&gt;&lt;br&gt;&lt;br&gt;&lt;img src='http://www.topcastles.com/images/large/leefdaal.jpg' border='0'&gt;&lt;br&gt;&lt;br&gt;Topcastle according to http://www.topcastles.com/kastelen.php?SubMenu=main&amp;SelCastle=leefdaal&lt;br&gt;&lt;br&gt;962. Kasteel Leefdaal&lt;br&gt;Country: Belgium&lt;br&gt;Region: Brabant&lt;br&gt;Place: Leefdaal</t>
  </si>
  <si>
    <t>&lt;b&gt;Huntingtower Castle&lt;/b&gt;&lt;br&gt;&lt;br&gt;&lt;img src='http://www.topcastles.com/images/large/huntingtower.jpg' border='0'&gt;&lt;br&gt;&lt;br&gt;Topcastle according to http://www.topcastles.com/kastelen.php?SubMenu=main&amp;SelCastle=huntingtower&lt;br&gt;&lt;br&gt;963. Huntingtower Castle&lt;br&gt;Country: Scotland&lt;br&gt;Region: Central&lt;br&gt;Place: (Perth &amp; Kinross)</t>
  </si>
  <si>
    <t>&lt;b&gt;Füzéri vár&lt;/b&gt;&lt;br&gt;&lt;br&gt;&lt;img src='http://www.topcastles.com/images/large/fuzer.jpg' border='0'&gt;&lt;br&gt;&lt;br&gt;Topcastle according to http://www.topcastles.com/kastelen.php?SubMenu=main&amp;SelCastle=fuzer&lt;br&gt;&lt;br&gt;964. Füzéri vár&lt;br&gt;Country: Hungary&lt;br&gt;Region: Észak Magyaroszág (Northern Hungary)&lt;br&gt;Place: Füzér</t>
  </si>
  <si>
    <t xml:space="preserve">&lt;b&gt;Dolbadarn Castle&lt;/b&gt;&lt;br&gt;&lt;br&gt;&lt;img src='http://www.topcastles.com/images/large/dolbadarn.jpg' border='0'&gt;&lt;br&gt;&lt;br&gt;Topcastle according to http://www.topcastles.com/kastelen.php?SubMenu=main&amp;SelCastle=dolbadarn&lt;br&gt;&lt;br&gt;965. Dolbadarn Castle&lt;br&gt;Country: Wales&lt;br&gt;Region: Gwynedd&lt;br&gt;Place: </t>
  </si>
  <si>
    <t xml:space="preserve">&lt;b&gt;Burg Rauhenstein&lt;/b&gt;&lt;br&gt;&lt;br&gt;&lt;img src='http://www.topcastles.com/images/large/rauhenstein.jpg' border='0'&gt;&lt;br&gt;&lt;br&gt;Topcastle according to http://www.topcastles.com/kastelen.php?SubMenu=main&amp;SelCastle=rauhenstein&lt;br&gt;&lt;br&gt;966. Burg Rauhenstein&lt;br&gt;Country: Austria&lt;br&gt;Region: Niederöstenreich&lt;br&gt;Place: </t>
  </si>
  <si>
    <t>&lt;b&gt;Comlongan Castle&lt;/b&gt;&lt;br&gt;&lt;br&gt;&lt;img src='http://www.topcastles.com/images/large/comlongan.jpg' border='0'&gt;&lt;br&gt;&lt;br&gt;Topcastle according to http://www.topcastles.com/kastelen.php?SubMenu=main&amp;SelCastle=comlongan&lt;br&gt;&lt;br&gt;967. Comlongan Castle&lt;br&gt;Country: Scotland&lt;br&gt;Region: South&lt;br&gt;Place: (Dumfries and Galloway)</t>
  </si>
  <si>
    <t xml:space="preserve">&lt;b&gt;Kumbhalgarth&lt;/b&gt;&lt;br&gt;&lt;br&gt;&lt;img src='http://www.topcastles.com/images/large/kumbhalgarth.jpg' border='0'&gt;&lt;br&gt;&lt;br&gt;Topcastle according to http://www.topcastles.com/kastelen.php?SubMenu=main&amp;SelCastle=kumbhalgarth&lt;br&gt;&lt;br&gt;968. Kumbhalgarth&lt;br&gt;Country: India&lt;br&gt;Region: Rajasthan&lt;br&gt;Place: </t>
  </si>
  <si>
    <t>&lt;b&gt;De Waardenburg&lt;/b&gt;&lt;br&gt;&lt;br&gt;&lt;img src='http://www.topcastles.com/images/large/waardenburg.jpg' border='0'&gt;&lt;br&gt;&lt;br&gt;Topcastle according to http://www.topcastles.com/kastelen.php?SubMenu=main&amp;SelCastle=waardenburg&lt;br&gt;&lt;br&gt;969. De Waardenburg&lt;br&gt;Country: Netherlands&lt;br&gt;Region: Gelderland&lt;br&gt;Place: Waardenburg</t>
  </si>
  <si>
    <t>&lt;b&gt;Jurisits vár (Koszeg)&lt;/b&gt;&lt;br&gt;&lt;br&gt;&lt;img src='http://www.topcastles.com/images/large/koszeg.jpg' border='0'&gt;&lt;br&gt;&lt;br&gt;Topcastle according to http://www.topcastles.com/kastelen.php?SubMenu=main&amp;SelCastle=koszeg&lt;br&gt;&lt;br&gt;970. Jurisits vár (Koszeg)&lt;br&gt;Country: Hungary&lt;br&gt;Region: Nyugat Dunántúl (Western Transdanubia)&lt;br&gt;Place: Koszeg</t>
  </si>
  <si>
    <t>&lt;b&gt;Várpalotai vár&lt;/b&gt;&lt;br&gt;&lt;br&gt;&lt;img src='http://www.topcastles.com/images/large/varpalota.jpg' border='0'&gt;&lt;br&gt;&lt;br&gt;Topcastle according to http://www.topcastles.com/kastelen.php?SubMenu=main&amp;SelCastle=varpalota&lt;br&gt;&lt;br&gt;971. Várpalotai vár&lt;br&gt;Country: Hungary&lt;br&gt;Region: Közép Dunántúl (Central Transdanubia)&lt;br&gt;Place: Várpalota</t>
  </si>
  <si>
    <t xml:space="preserve">&lt;b&gt;Tesanj&lt;/b&gt;&lt;br&gt;&lt;br&gt;&lt;img src='http://www.topcastles.com/images/large/tesanj.jpg' border='0'&gt;&lt;br&gt;&lt;br&gt;Topcastle according to http://www.topcastles.com/kastelen.php?SubMenu=main&amp;SelCastle=tesanj&lt;br&gt;&lt;br&gt;972. Tesanj&lt;br&gt;Country: Bosnia&lt;br&gt;Region: &lt;br&gt;Place: </t>
  </si>
  <si>
    <t xml:space="preserve">&lt;b&gt;Château de Rohan (Pontivy)&lt;/b&gt;&lt;br&gt;&lt;br&gt;&lt;img src='http://www.topcastles.com/images/large/pontivy.jpg' border='0'&gt;&lt;br&gt;&lt;br&gt;Topcastle according to http://www.topcastles.com/kastelen.php?SubMenu=main&amp;SelCastle=pontivy&lt;br&gt;&lt;br&gt;973. Château de Rohan (Pontivy)&lt;br&gt;Country: France&lt;br&gt;Region: Bretagne&lt;br&gt;Place: </t>
  </si>
  <si>
    <t xml:space="preserve">&lt;b&gt;Sudak (Genoese Fortress)&lt;/b&gt;&lt;br&gt;&lt;br&gt;&lt;img src='http://www.topcastles.com/images/large/sudak.jpg' border='0'&gt;&lt;br&gt;&lt;br&gt;Topcastle according to http://www.topcastles.com/kastelen.php?SubMenu=main&amp;SelCastle=sudak&lt;br&gt;&lt;br&gt;974. Sudak (Genoese Fortress)&lt;br&gt;Country: Ukraine&lt;br&gt;Region: &lt;br&gt;Place: </t>
  </si>
  <si>
    <t xml:space="preserve">&lt;b&gt;Tours de Merle&lt;/b&gt;&lt;br&gt;&lt;br&gt;&lt;img src='http://www.topcastles.com/images/large/merle.jpg' border='0'&gt;&lt;br&gt;&lt;br&gt;Topcastle according to http://www.topcastles.com/kastelen.php?SubMenu=main&amp;SelCastle=merle&lt;br&gt;&lt;br&gt;975. Tours de Merle&lt;br&gt;Country: France&lt;br&gt;Region: Limousin&lt;br&gt;Place: </t>
  </si>
  <si>
    <t>&lt;b&gt;Kasteel IJsselstein&lt;/b&gt;&lt;br&gt;&lt;br&gt;&lt;img src='http://www.topcastles.com/images/large/ijsselstein.jpg' border='0'&gt;&lt;br&gt;&lt;br&gt;Topcastle according to http://www.topcastles.com/kastelen.php?SubMenu=main&amp;SelCastle=ijsselstein&lt;br&gt;&lt;br&gt;976. Kasteel IJsselstein&lt;br&gt;Country: Netherlands&lt;br&gt;Region: Utrecht&lt;br&gt;Place: Ijsselstein</t>
  </si>
  <si>
    <t>&lt;b&gt;Château de Dauphin (Pontgibaud)&lt;/b&gt;&lt;br&gt;&lt;br&gt;&lt;img src='http://www.topcastles.com/images/large/dauphin.jpg' border='0'&gt;&lt;br&gt;&lt;br&gt;Topcastle according to http://www.topcastles.com/kastelen.php?SubMenu=main&amp;SelCastle=dauphin&lt;br&gt;&lt;br&gt;977. Château de Dauphin (Pontgibaud)&lt;br&gt;Country: France&lt;br&gt;Region: Auvergne&lt;br&gt;Place: Pontgibaud</t>
  </si>
  <si>
    <t>&lt;b&gt;Kaja&lt;/b&gt;&lt;br&gt;&lt;br&gt;&lt;img src='http://www.topcastles.com/images/large/kaja.jpg' border='0'&gt;&lt;br&gt;&lt;br&gt;Topcastle according to http://www.topcastles.com/kastelen.php?SubMenu=main&amp;SelCastle=kaja&lt;br&gt;&lt;br&gt;978. Kaja&lt;br&gt;Country: Austria&lt;br&gt;Region: Niederöstenreich&lt;br&gt;Place: Nationalpark Thayatal</t>
  </si>
  <si>
    <t>&lt;b&gt;Château de Nesles-en-Dôles&lt;/b&gt;&lt;br&gt;&lt;br&gt;&lt;img src='http://www.topcastles.com/images/large/neslesendoles.jpg' border='0'&gt;&lt;br&gt;&lt;br&gt;Topcastle according to http://www.topcastles.com/kastelen.php?SubMenu=main&amp;SelCastle=neslesendoles&lt;br&gt;&lt;br&gt;979. Château de Nesles-en-Dôles&lt;br&gt;Country: France&lt;br&gt;Region: Picardie&lt;br&gt;Place: Nesles</t>
  </si>
  <si>
    <t xml:space="preserve">&lt;b&gt;Kuusisto (Kuustö)&lt;/b&gt;&lt;br&gt;&lt;br&gt;&lt;img src='http://www.topcastles.com/images/large/kuusto.jpg' border='0'&gt;&lt;br&gt;&lt;br&gt;Topcastle according to http://www.topcastles.com/kastelen.php?SubMenu=main&amp;SelCastle=kuusto&lt;br&gt;&lt;br&gt;980. Kuusisto (Kuustö)&lt;br&gt;Country: Finland&lt;br&gt;Region: &lt;br&gt;Place: </t>
  </si>
  <si>
    <t>&lt;b&gt;Château de Chenaux (Estavayer-le-Lac)&lt;/b&gt;&lt;br&gt;&lt;br&gt;&lt;img src='http://www.topcastles.com/images/large/estavayer.jpg' border='0'&gt;&lt;br&gt;&lt;br&gt;Topcastle according to http://www.topcastles.com/kastelen.php?SubMenu=main&amp;SelCastle=estavayer&lt;br&gt;&lt;br&gt;981. Château de Chenaux (Estavayer-le-Lac)&lt;br&gt;Country: Switzerland&lt;br&gt;Region: Genfersee&lt;br&gt;Place: Estavayer-le-Lac (Kanton Fribourg)</t>
  </si>
  <si>
    <t xml:space="preserve">&lt;b&gt;Kakegawa&lt;/b&gt;&lt;br&gt;&lt;br&gt;&lt;img src='http://www.topcastles.com/images/large/kakegawa.jpg' border='0'&gt;&lt;br&gt;&lt;br&gt;Topcastle according to http://www.topcastles.com/kastelen.php?SubMenu=main&amp;SelCastle=kakegawa&lt;br&gt;&lt;br&gt;982. Kakegawa&lt;br&gt;Country: Japan&lt;br&gt;Region: &lt;br&gt;Place: </t>
  </si>
  <si>
    <t xml:space="preserve">&lt;b&gt;Castello del Goceano (Burgos)&lt;/b&gt;&lt;br&gt;&lt;br&gt;&lt;img src='http://www.topcastles.com/images/large/burgos.jpg' border='0'&gt;&lt;br&gt;&lt;br&gt;Topcastle according to http://www.topcastles.com/kastelen.php?SubMenu=main&amp;SelCastle=burgos&lt;br&gt;&lt;br&gt;983. Castello del Goceano (Burgos)&lt;br&gt;Country: Italy&lt;br&gt;Region: Sardegna (Sardinia)&lt;br&gt;Place: </t>
  </si>
  <si>
    <t>&lt;b&gt;Laugharne Castle (Castell Talacharn)&lt;/b&gt;&lt;br&gt;&lt;br&gt;&lt;img src='http://www.topcastles.com/images/large/laugharne.jpg' border='0'&gt;&lt;br&gt;&lt;br&gt;Topcastle according to http://www.topcastles.com/kastelen.php?SubMenu=main&amp;SelCastle=laugharne&lt;br&gt;&lt;br&gt;984. Laugharne Castle (Castell Talacharn)&lt;br&gt;Country: Wales&lt;br&gt;Region: Dyfed&lt;br&gt;Place: Laugharne (Carmarthensire)</t>
  </si>
  <si>
    <t xml:space="preserve">&lt;b&gt;Château d'Auxonne&lt;/b&gt;&lt;br&gt;&lt;br&gt;&lt;img src='http://www.topcastles.com/images/large/auxonne.jpg' border='0'&gt;&lt;br&gt;&lt;br&gt;Topcastle according to http://www.topcastles.com/kastelen.php?SubMenu=main&amp;SelCastle=auxonne&lt;br&gt;&lt;br&gt;985. Château d'Auxonne&lt;br&gt;Country: France&lt;br&gt;Region: Bourgogne&lt;br&gt;Place: </t>
  </si>
  <si>
    <t>&lt;b&gt;Château de Lucens&lt;/b&gt;&lt;br&gt;&lt;br&gt;&lt;img src='http://www.topcastles.com/images/large/lucens.jpg' border='0'&gt;&lt;br&gt;&lt;br&gt;Topcastle according to http://www.topcastles.com/kastelen.php?SubMenu=main&amp;SelCastle=lucens&lt;br&gt;&lt;br&gt;986. Château de Lucens&lt;br&gt;Country: Switzerland&lt;br&gt;Region: Genfersee&lt;br&gt;Place: Lucens (Kanton Vaud)</t>
  </si>
  <si>
    <t xml:space="preserve">&lt;b&gt;Château de Brancion&lt;/b&gt;&lt;br&gt;&lt;br&gt;&lt;img src='http://www.topcastles.com/images/large/brancion.jpg' border='0'&gt;&lt;br&gt;&lt;br&gt;Topcastle according to http://www.topcastles.com/kastelen.php?SubMenu=main&amp;SelCastle=brancion&lt;br&gt;&lt;br&gt;987. Château de Brancion&lt;br&gt;Country: France&lt;br&gt;Region: Bourgogne&lt;br&gt;Place: </t>
  </si>
  <si>
    <t xml:space="preserve">&lt;b&gt;Qasr al-Kharanah&lt;/b&gt;&lt;br&gt;&lt;br&gt;&lt;img src='http://www.topcastles.com/images/large/kharanah.jpg' border='0'&gt;&lt;br&gt;&lt;br&gt;Topcastle according to http://www.topcastles.com/kastelen.php?SubMenu=main&amp;SelCastle=kharanah&lt;br&gt;&lt;br&gt;988. Qasr al-Kharanah&lt;br&gt;Country: Jordan&lt;br&gt;Region: &lt;br&gt;Place: </t>
  </si>
  <si>
    <t xml:space="preserve">&lt;b&gt;Patras&lt;/b&gt;&lt;br&gt;&lt;br&gt;&lt;img src='http://www.topcastles.com/images/large/patras.jpg' border='0'&gt;&lt;br&gt;&lt;br&gt;Topcastle according to http://www.topcastles.com/kastelen.php?SubMenu=main&amp;SelCastle=patras&lt;br&gt;&lt;br&gt;989. Patras&lt;br&gt;Country: Greece&lt;br&gt;Region: Peloponnisos&lt;br&gt;Place: </t>
  </si>
  <si>
    <t xml:space="preserve">&lt;b&gt;Rocca Calascio&lt;/b&gt;&lt;br&gt;&lt;br&gt;&lt;img src='http://www.topcastles.com/images/large/calascio.jpg' border='0'&gt;&lt;br&gt;&lt;br&gt;Topcastle according to http://www.topcastles.com/kastelen.php?SubMenu=main&amp;SelCastle=calascio&lt;br&gt;&lt;br&gt;990. Rocca Calascio&lt;br&gt;Country: Italy&lt;br&gt;Region: Abruzzi&lt;br&gt;Place: </t>
  </si>
  <si>
    <t>&lt;b&gt;Neu-Falkenstein (Balsthal)&lt;/b&gt;&lt;br&gt;&lt;br&gt;&lt;img src='http://www.topcastles.com/images/large/neufalkenstein.jpg' border='0'&gt;&lt;br&gt;&lt;br&gt;Topcastle according to http://www.topcastles.com/kastelen.php?SubMenu=main&amp;SelCastle=neufalkenstein&lt;br&gt;&lt;br&gt;991. Neu-Falkenstein (Balsthal)&lt;br&gt;Country: Switzerland&lt;br&gt;Region: Mittelland&lt;br&gt;Place: Balsthal (Kanton Solothurn)</t>
  </si>
  <si>
    <t>&lt;b&gt;Ridderhofstad den Ham&lt;/b&gt;&lt;br&gt;&lt;br&gt;&lt;img src='http://www.topcastles.com/images/large/ham.jpg' border='0'&gt;&lt;br&gt;&lt;br&gt;Topcastle according to http://www.topcastles.com/kastelen.php?SubMenu=main&amp;SelCastle=ham&lt;br&gt;&lt;br&gt;992. Ridderhofstad den Ham&lt;br&gt;Country: Netherlands&lt;br&gt;Region: Utrecht&lt;br&gt;Place: Vleuten</t>
  </si>
  <si>
    <t>&lt;b&gt;Csókako vára&lt;/b&gt;&lt;br&gt;&lt;br&gt;&lt;img src='http://www.topcastles.com/images/large/csokako.jpg' border='0'&gt;&lt;br&gt;&lt;br&gt;Topcastle according to http://www.topcastles.com/kastelen.php?SubMenu=main&amp;SelCastle=csokako&lt;br&gt;&lt;br&gt;993. Csókako vára&lt;br&gt;Country: Hungary&lt;br&gt;Region: Közép Dunántúl (Central Transdanubia)&lt;br&gt;Place: Csókako</t>
  </si>
  <si>
    <t>&lt;b&gt;Burg Zwingen&lt;/b&gt;&lt;br&gt;&lt;br&gt;&lt;img src='http://www.topcastles.com/images/large/zwingen.jpg' border='0'&gt;&lt;br&gt;&lt;br&gt;Topcastle according to http://www.topcastles.com/kastelen.php?SubMenu=main&amp;SelCastle=zwingen&lt;br&gt;&lt;br&gt;994. Burg Zwingen&lt;br&gt;Country: Switzerland&lt;br&gt;Region: Nordwestschweiz&lt;br&gt;Place: Pfeffingen (Kanton Basel-Landschaft)</t>
  </si>
  <si>
    <t>&lt;b&gt;Csobánc vára (Gyulakeszi)&lt;/b&gt;&lt;br&gt;&lt;br&gt;&lt;img src='http://www.topcastles.com/images/large/csobanc.jpg' border='0'&gt;&lt;br&gt;&lt;br&gt;Topcastle according to http://www.topcastles.com/kastelen.php?SubMenu=main&amp;SelCastle=csobanc&lt;br&gt;&lt;br&gt;995. Csobánc vára (Gyulakeszi)&lt;br&gt;Country: Hungary&lt;br&gt;Region: Közép Dunántúl (Central Transdanubia)&lt;br&gt;Place: Csobánc (Veszprém)</t>
  </si>
  <si>
    <t>&lt;b&gt;Château de Polignac&lt;/b&gt;&lt;br&gt;&lt;br&gt;&lt;img src='http://www.topcastles.com/images/large/polignac.jpg' border='0'&gt;&lt;br&gt;&lt;br&gt;Topcastle according to http://www.topcastles.com/kastelen.php?SubMenu=main&amp;SelCastle=polignac&lt;br&gt;&lt;br&gt;996. Château de Polignac&lt;br&gt;Country: France&lt;br&gt;Region: Auvergne&lt;br&gt;Place: Polignac (Auvergne)</t>
  </si>
  <si>
    <t>&lt;b&gt;Tughlaqabad Qila&lt;/b&gt;&lt;br&gt;&lt;br&gt;&lt;img src='http://www.topcastles.com/images/large/tughluqabad.jpg' border='0'&gt;&lt;br&gt;&lt;br&gt;Topcastle according to http://www.topcastles.com/kastelen.php?SubMenu=main&amp;SelCastle=tughluqabad&lt;br&gt;&lt;br&gt;997. Tughlaqabad Qila&lt;br&gt;Country: India&lt;br&gt;Region: Haryana&lt;br&gt;Place: Delhi</t>
  </si>
  <si>
    <t>&lt;b&gt;Kisnánai vár&lt;/b&gt;&lt;br&gt;&lt;br&gt;&lt;img src='http://www.topcastles.com/images/large/kisnana.jpg' border='0'&gt;&lt;br&gt;&lt;br&gt;Topcastle according to http://www.topcastles.com/kastelen.php?SubMenu=main&amp;SelCastle=kisnana&lt;br&gt;&lt;br&gt;998. Kisnánai vár&lt;br&gt;Country: Hungary&lt;br&gt;Region: Észak Magyaroszág (Northern Hungary)&lt;br&gt;Place: Kisnána</t>
  </si>
  <si>
    <t xml:space="preserve">&lt;b&gt;Burg Schwanau&lt;/b&gt;&lt;br&gt;&lt;br&gt;&lt;img src='http://www.topcastles.com/images/large/schwanau.jpg' border='0'&gt;&lt;br&gt;&lt;br&gt;Topcastle according to http://www.topcastles.com/kastelen.php?SubMenu=main&amp;SelCastle=schwanau&lt;br&gt;&lt;br&gt;999. Burg Schwanau&lt;br&gt;Country: Switzerland&lt;br&gt;Region: Mittelland&lt;br&gt;Place: </t>
  </si>
  <si>
    <t>&lt;b&gt;Kisvárdai vár&lt;/b&gt;&lt;br&gt;&lt;br&gt;&lt;img src='http://www.topcastles.com/images/large/kisvarda.jpg' border='0'&gt;&lt;br&gt;&lt;br&gt;Topcastle according to http://www.topcastles.com/kastelen.php?SubMenu=main&amp;SelCastle=kisvarda&lt;br&gt;&lt;br&gt;1000. Kisvárdai vár&lt;br&gt;Country: Hungary&lt;br&gt;Region: Észak Alföld (Northern Great Plain)&lt;br&gt;Place: Kisvárda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</si>
</sst>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b/>
      <sz val="10"/>
      <color indexed="9"/>
      <name val="Arial"/>
      <family val="2"/>
    </font>
    <font>
      <b/>
      <sz val="10"/>
      <color indexed="8"/>
      <name val="Arial"/>
      <family val="2"/>
    </font>
    <font>
      <i/>
      <sz val="10"/>
      <name val="Arial"/>
      <family val="2"/>
    </font>
    <font>
      <u/>
      <sz val="10"/>
      <color indexed="12"/>
      <name val="Arial"/>
      <family val="2"/>
    </font>
    <font>
      <sz val="8"/>
      <name val="Arial"/>
      <family val="2"/>
    </font>
    <font>
      <sz val="10"/>
      <name val="Arial"/>
      <family val="2"/>
    </font>
  </fonts>
  <fills count="2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15"/>
      </patternFill>
    </fill>
    <fill>
      <patternFill patternType="solid">
        <fgColor indexed="51"/>
        <bgColor indexed="34"/>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13"/>
      </patternFill>
    </fill>
    <fill>
      <patternFill patternType="solid">
        <fgColor indexed="26"/>
        <bgColor indexed="9"/>
      </patternFill>
    </fill>
    <fill>
      <patternFill patternType="solid">
        <fgColor indexed="12"/>
        <bgColor indexed="39"/>
      </patternFill>
    </fill>
    <fill>
      <patternFill patternType="solid">
        <fgColor indexed="23"/>
        <bgColor indexed="55"/>
      </patternFill>
    </fill>
    <fill>
      <patternFill patternType="solid">
        <fgColor indexed="12"/>
        <bgColor indexed="64"/>
      </patternFill>
    </fill>
    <fill>
      <patternFill patternType="solid">
        <fgColor rgb="FF92D05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22"/>
      </left>
      <right/>
      <top/>
      <bottom/>
      <diagonal/>
    </border>
  </borders>
  <cellStyleXfs count="55">
    <xf numFmtId="0" fontId="0" fillId="0" borderId="0"/>
    <xf numFmtId="0" fontId="30" fillId="0" borderId="0" applyNumberForma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20" fillId="0" borderId="6" applyNumberFormat="0" applyFill="0" applyAlignment="0" applyProtection="0"/>
    <xf numFmtId="0" fontId="21" fillId="22" borderId="0" applyNumberFormat="0" applyBorder="0" applyAlignment="0" applyProtection="0"/>
    <xf numFmtId="0" fontId="32" fillId="23" borderId="7" applyNumberForma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Protection="0">
      <alignment horizontal="left"/>
    </xf>
    <xf numFmtId="0" fontId="26" fillId="0" borderId="0" applyNumberFormat="0" applyFill="0" applyBorder="0" applyProtection="0">
      <alignment horizontal="left"/>
    </xf>
    <xf numFmtId="0" fontId="26" fillId="0" borderId="0" applyNumberForma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cellStyleXfs>
  <cellXfs count="44">
    <xf numFmtId="0" fontId="0" fillId="0" borderId="0" xfId="0"/>
    <xf numFmtId="0" fontId="0" fillId="0" borderId="0" xfId="0" applyAlignment="1">
      <alignment horizontal="left" indent="2"/>
    </xf>
    <xf numFmtId="0" fontId="26" fillId="0" borderId="0" xfId="0" applyFont="1" applyAlignment="1">
      <alignment horizontal="left" indent="2"/>
    </xf>
    <xf numFmtId="1" fontId="0" fillId="0" borderId="0" xfId="0" applyNumberFormat="1" applyAlignment="1">
      <alignment horizontal="left" indent="2"/>
    </xf>
    <xf numFmtId="0" fontId="26" fillId="0" borderId="0" xfId="0" applyFont="1"/>
    <xf numFmtId="0" fontId="27" fillId="24" borderId="0" xfId="0" applyFont="1" applyFill="1" applyAlignment="1">
      <alignment horizontal="center"/>
    </xf>
    <xf numFmtId="0" fontId="28" fillId="24" borderId="0" xfId="0" applyFont="1" applyFill="1" applyAlignment="1">
      <alignment horizontal="right"/>
    </xf>
    <xf numFmtId="0" fontId="28" fillId="24" borderId="0" xfId="0" applyFont="1" applyFill="1" applyAlignment="1">
      <alignment horizontal="center"/>
    </xf>
    <xf numFmtId="0" fontId="27" fillId="24" borderId="0" xfId="0" applyFont="1" applyFill="1" applyAlignment="1">
      <alignment horizontal="left" indent="2"/>
    </xf>
    <xf numFmtId="0" fontId="28" fillId="24" borderId="0" xfId="0" applyFont="1" applyFill="1" applyAlignment="1">
      <alignment horizontal="left" indent="2"/>
    </xf>
    <xf numFmtId="0" fontId="27" fillId="24" borderId="10" xfId="0" applyFont="1" applyFill="1" applyBorder="1" applyAlignment="1">
      <alignment horizontal="left" indent="2"/>
    </xf>
    <xf numFmtId="0" fontId="27" fillId="24" borderId="10" xfId="0" applyFont="1" applyFill="1" applyBorder="1" applyAlignment="1">
      <alignment horizontal="center"/>
    </xf>
    <xf numFmtId="0" fontId="27" fillId="5" borderId="0" xfId="0" applyFont="1" applyFill="1" applyAlignment="1">
      <alignment horizontal="center"/>
    </xf>
    <xf numFmtId="0" fontId="27" fillId="25" borderId="0" xfId="0" applyFont="1" applyFill="1" applyAlignment="1">
      <alignment horizontal="center"/>
    </xf>
    <xf numFmtId="1" fontId="26" fillId="0" borderId="0" xfId="0" applyNumberFormat="1" applyFont="1"/>
    <xf numFmtId="1" fontId="0" fillId="0" borderId="0" xfId="0" applyNumberFormat="1"/>
    <xf numFmtId="1" fontId="26" fillId="7" borderId="0" xfId="0" applyNumberFormat="1" applyFont="1" applyFill="1"/>
    <xf numFmtId="1" fontId="26" fillId="4" borderId="0" xfId="0" applyNumberFormat="1" applyFont="1" applyFill="1"/>
    <xf numFmtId="1" fontId="29" fillId="0" borderId="0" xfId="0" applyNumberFormat="1" applyFont="1"/>
    <xf numFmtId="1" fontId="26" fillId="22" borderId="0" xfId="0" applyNumberFormat="1" applyFont="1" applyFill="1"/>
    <xf numFmtId="0" fontId="30" fillId="0" borderId="0" xfId="1" applyNumberFormat="1" applyFill="1" applyBorder="1" applyAlignment="1" applyProtection="1"/>
    <xf numFmtId="0" fontId="0" fillId="0" borderId="0" xfId="0" applyAlignment="1">
      <alignment wrapText="1"/>
    </xf>
    <xf numFmtId="0" fontId="26" fillId="0" borderId="0" xfId="0" applyFont="1" applyAlignment="1">
      <alignment horizontal="right" wrapText="1"/>
    </xf>
    <xf numFmtId="0" fontId="26" fillId="0" borderId="0" xfId="0" applyFont="1" applyAlignment="1">
      <alignment wrapText="1"/>
    </xf>
    <xf numFmtId="0" fontId="31" fillId="0" borderId="0" xfId="0" applyFont="1" applyAlignment="1">
      <alignment wrapText="1"/>
    </xf>
    <xf numFmtId="0" fontId="0" fillId="0" borderId="0" xfId="0" applyAlignment="1">
      <alignment vertical="top" wrapText="1"/>
    </xf>
    <xf numFmtId="1" fontId="31" fillId="0" borderId="0" xfId="0" applyNumberFormat="1" applyFont="1" applyAlignment="1">
      <alignment wrapText="1"/>
    </xf>
    <xf numFmtId="0" fontId="27" fillId="26" borderId="0" xfId="0" applyFont="1" applyFill="1" applyAlignment="1">
      <alignment horizontal="center"/>
    </xf>
    <xf numFmtId="0" fontId="32" fillId="0" borderId="0" xfId="0" applyFont="1"/>
    <xf numFmtId="1" fontId="26" fillId="0" borderId="0" xfId="0" applyNumberFormat="1" applyFont="1" applyAlignment="1">
      <alignment horizontal="right"/>
    </xf>
    <xf numFmtId="0" fontId="0" fillId="0" borderId="0" xfId="0" applyAlignment="1">
      <alignment horizontal="right"/>
    </xf>
    <xf numFmtId="164" fontId="26" fillId="0" borderId="0" xfId="0" applyNumberFormat="1" applyFont="1" applyAlignment="1">
      <alignment horizontal="right"/>
    </xf>
    <xf numFmtId="2" fontId="26" fillId="0" borderId="0" xfId="0" applyNumberFormat="1" applyFont="1" applyAlignment="1">
      <alignment horizontal="right"/>
    </xf>
    <xf numFmtId="49" fontId="32" fillId="0" borderId="0" xfId="0" applyNumberFormat="1" applyFont="1"/>
    <xf numFmtId="49" fontId="0" fillId="0" borderId="0" xfId="0" applyNumberFormat="1"/>
    <xf numFmtId="0" fontId="8" fillId="0" borderId="0" xfId="0" applyFont="1" applyAlignment="1" applyProtection="1">
      <alignment horizontal="right"/>
      <protection locked="0"/>
    </xf>
    <xf numFmtId="0" fontId="0" fillId="0" borderId="0" xfId="0" applyAlignment="1">
      <alignment horizontal="left"/>
    </xf>
    <xf numFmtId="1" fontId="26" fillId="0" borderId="0" xfId="0" applyNumberFormat="1" applyFont="1" applyAlignment="1">
      <alignment horizontal="left"/>
    </xf>
    <xf numFmtId="1" fontId="29" fillId="0" borderId="0" xfId="0" applyNumberFormat="1" applyFont="1" applyAlignment="1">
      <alignment horizontal="left"/>
    </xf>
    <xf numFmtId="0" fontId="0" fillId="27" borderId="0" xfId="0" applyFill="1"/>
    <xf numFmtId="1" fontId="7" fillId="0" borderId="0" xfId="0" applyNumberFormat="1" applyFont="1" applyAlignment="1" applyProtection="1">
      <alignment horizontal="right"/>
      <protection locked="0"/>
    </xf>
    <xf numFmtId="0" fontId="7" fillId="0" borderId="0" xfId="0" applyFont="1" applyAlignment="1" applyProtection="1">
      <alignment horizontal="right"/>
      <protection locked="0"/>
    </xf>
    <xf numFmtId="1" fontId="8" fillId="0" borderId="0" xfId="0" applyNumberFormat="1" applyFont="1" applyAlignment="1">
      <alignment horizontal="right"/>
    </xf>
    <xf numFmtId="17" fontId="0" fillId="0" borderId="0" xfId="0" applyNumberFormat="1"/>
  </cellXfs>
  <cellStyles count="55">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Assistent Categorie" xfId="46" xr:uid="{00000000-0005-0000-0000-000018000000}"/>
    <cellStyle name="Assistent Hoek" xfId="43" xr:uid="{00000000-0005-0000-0000-000019000000}"/>
    <cellStyle name="Assistent Resultaat" xfId="48" xr:uid="{00000000-0005-0000-0000-00001A000000}"/>
    <cellStyle name="Assistent Titel" xfId="47" xr:uid="{00000000-0005-0000-0000-00001B000000}"/>
    <cellStyle name="Assistent Veld" xfId="45" xr:uid="{00000000-0005-0000-0000-00001C000000}"/>
    <cellStyle name="Assistent Waarde" xfId="44" xr:uid="{00000000-0005-0000-0000-00001D000000}"/>
    <cellStyle name="Bad" xfId="26" builtinId="27" customBuiltin="1"/>
    <cellStyle name="Calculation" xfId="27" builtinId="22" customBuiltin="1"/>
    <cellStyle name="Check Cell" xfId="28" builtinId="23" customBuiltin="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1"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Standaard 2" xfId="49" xr:uid="{00000000-0005-0000-0000-00002C000000}"/>
    <cellStyle name="Standaard 3" xfId="50" xr:uid="{00000000-0005-0000-0000-00002D000000}"/>
    <cellStyle name="Standaard 4" xfId="51" xr:uid="{00000000-0005-0000-0000-00002E000000}"/>
    <cellStyle name="Standaard 5" xfId="52" xr:uid="{00000000-0005-0000-0000-00002F000000}"/>
    <cellStyle name="Standaard 6" xfId="53" xr:uid="{00000000-0005-0000-0000-000030000000}"/>
    <cellStyle name="Standaard 7" xfId="54" xr:uid="{00000000-0005-0000-0000-000031000000}"/>
    <cellStyle name="Title" xfId="40" builtinId="15" customBuiltin="1"/>
    <cellStyle name="Total" xfId="41" builtinId="25" customBuiltin="1"/>
    <cellStyle name="Warning Text" xfId="42" builtinId="11" customBuiltin="1"/>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23FF23"/>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9966CC"/>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region-braunschweig.de/burgen/orte/goslar.html" TargetMode="External"/><Relationship Id="rId2" Type="http://schemas.openxmlformats.org/officeDocument/2006/relationships/hyperlink" Target="http://historie.denhaag.org/binnenhof.htm" TargetMode="External"/><Relationship Id="rId1" Type="http://schemas.openxmlformats.org/officeDocument/2006/relationships/hyperlink" Target="http://www.kasteelalmere.nl/" TargetMode="External"/><Relationship Id="rId6" Type="http://schemas.openxmlformats.org/officeDocument/2006/relationships/printerSettings" Target="../printerSettings/printerSettings1.bin"/><Relationship Id="rId5" Type="http://schemas.openxmlformats.org/officeDocument/2006/relationships/hyperlink" Target="http://www.kronborgcastle.com/" TargetMode="External"/><Relationship Id="rId4" Type="http://schemas.openxmlformats.org/officeDocument/2006/relationships/hyperlink" Target="http://www.preussen.de/de/heute/burg_hohenzoller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C9E0-D6DA-4CE8-A19E-EDE9A0D08621}">
  <dimension ref="A1:AP1001"/>
  <sheetViews>
    <sheetView tabSelected="1" workbookViewId="0">
      <selection activeCell="F11" sqref="F11"/>
    </sheetView>
  </sheetViews>
  <sheetFormatPr defaultColWidth="13.5546875" defaultRowHeight="13.2" x14ac:dyDescent="0.25"/>
  <cols>
    <col min="1" max="1" width="7.21875" bestFit="1" customWidth="1"/>
    <col min="38" max="38" width="11" customWidth="1"/>
    <col min="41" max="41" width="15.21875" customWidth="1"/>
  </cols>
  <sheetData>
    <row r="1" spans="1:42" x14ac:dyDescent="0.25">
      <c r="A1" t="s">
        <v>0</v>
      </c>
      <c r="B1" t="s">
        <v>1</v>
      </c>
      <c r="C1" t="s">
        <v>4051</v>
      </c>
      <c r="D1" t="s">
        <v>2</v>
      </c>
      <c r="E1" t="s">
        <v>3</v>
      </c>
      <c r="F1" t="s">
        <v>4</v>
      </c>
      <c r="G1" t="s">
        <v>5</v>
      </c>
      <c r="H1" t="s">
        <v>6</v>
      </c>
      <c r="I1" t="s">
        <v>7</v>
      </c>
      <c r="J1" t="s">
        <v>8</v>
      </c>
      <c r="K1" t="s">
        <v>2980</v>
      </c>
      <c r="L1" t="s">
        <v>4297</v>
      </c>
      <c r="M1" t="s">
        <v>4298</v>
      </c>
      <c r="N1" t="s">
        <v>4186</v>
      </c>
      <c r="O1" t="s">
        <v>9</v>
      </c>
      <c r="P1" t="s">
        <v>10</v>
      </c>
      <c r="Q1" t="s">
        <v>11</v>
      </c>
      <c r="R1" t="s">
        <v>12</v>
      </c>
      <c r="S1" t="s">
        <v>13</v>
      </c>
      <c r="T1" t="s">
        <v>14</v>
      </c>
      <c r="U1" t="s">
        <v>15</v>
      </c>
      <c r="V1" t="s">
        <v>16</v>
      </c>
      <c r="W1" t="s">
        <v>17</v>
      </c>
      <c r="X1" t="s">
        <v>18</v>
      </c>
      <c r="Y1" t="s">
        <v>19</v>
      </c>
      <c r="Z1" t="s">
        <v>20</v>
      </c>
      <c r="AA1" t="s">
        <v>21</v>
      </c>
      <c r="AB1" t="s">
        <v>22</v>
      </c>
      <c r="AC1" t="s">
        <v>23</v>
      </c>
      <c r="AD1" t="s">
        <v>24</v>
      </c>
      <c r="AE1" t="s">
        <v>25</v>
      </c>
      <c r="AF1" t="s">
        <v>2952</v>
      </c>
      <c r="AG1" t="s">
        <v>29</v>
      </c>
      <c r="AH1" t="s">
        <v>30</v>
      </c>
      <c r="AI1" t="s">
        <v>31</v>
      </c>
      <c r="AJ1" t="s">
        <v>32</v>
      </c>
      <c r="AK1" t="s">
        <v>5047</v>
      </c>
      <c r="AL1" t="s">
        <v>2725</v>
      </c>
      <c r="AM1" t="s">
        <v>3817</v>
      </c>
      <c r="AN1" t="s">
        <v>2953</v>
      </c>
      <c r="AO1" t="s">
        <v>5081</v>
      </c>
      <c r="AP1" t="s">
        <v>4443</v>
      </c>
    </row>
    <row r="2" spans="1:42" x14ac:dyDescent="0.25">
      <c r="A2">
        <v>1</v>
      </c>
      <c r="B2" t="s">
        <v>2216</v>
      </c>
      <c r="C2" t="s">
        <v>4071</v>
      </c>
      <c r="D2" t="s">
        <v>2217</v>
      </c>
      <c r="E2" t="s">
        <v>282</v>
      </c>
      <c r="F2" t="s">
        <v>283</v>
      </c>
      <c r="G2" t="s">
        <v>3167</v>
      </c>
      <c r="H2" t="s">
        <v>3166</v>
      </c>
      <c r="I2" t="s">
        <v>2218</v>
      </c>
      <c r="J2" t="s">
        <v>2218</v>
      </c>
      <c r="K2" t="s">
        <v>2219</v>
      </c>
      <c r="L2">
        <v>51.508035</v>
      </c>
      <c r="M2">
        <v>-7.6132000000000005E-2</v>
      </c>
      <c r="N2" t="s">
        <v>4299</v>
      </c>
      <c r="O2" t="s">
        <v>2658</v>
      </c>
      <c r="P2" t="s">
        <v>2659</v>
      </c>
      <c r="Q2">
        <v>11</v>
      </c>
      <c r="R2" t="s">
        <v>2420</v>
      </c>
      <c r="S2" t="s">
        <v>2421</v>
      </c>
      <c r="T2">
        <v>5</v>
      </c>
      <c r="U2" t="s">
        <v>2430</v>
      </c>
      <c r="V2" t="s">
        <v>2431</v>
      </c>
      <c r="W2">
        <v>6</v>
      </c>
      <c r="X2" t="s">
        <v>2440</v>
      </c>
      <c r="Y2" t="s">
        <v>2441</v>
      </c>
      <c r="Z2">
        <v>2</v>
      </c>
      <c r="AA2" t="s">
        <v>2220</v>
      </c>
      <c r="AB2" t="s">
        <v>2221</v>
      </c>
      <c r="AC2" t="s">
        <v>2222</v>
      </c>
      <c r="AD2" t="s">
        <v>2223</v>
      </c>
      <c r="AE2" t="s">
        <v>2224</v>
      </c>
      <c r="AF2">
        <v>1278.2188083147944</v>
      </c>
      <c r="AG2">
        <v>7.6764890282131999</v>
      </c>
      <c r="AH2">
        <v>1594</v>
      </c>
      <c r="AI2">
        <v>1</v>
      </c>
      <c r="AJ2">
        <v>872.21595211570491</v>
      </c>
      <c r="AK2">
        <v>1086.44890282132</v>
      </c>
      <c r="AL2">
        <v>2009</v>
      </c>
      <c r="AM2">
        <v>1165.1023329619868</v>
      </c>
      <c r="AN2">
        <v>224</v>
      </c>
      <c r="AO2" t="s">
        <v>5445</v>
      </c>
      <c r="AP2" t="s">
        <v>2217</v>
      </c>
    </row>
    <row r="3" spans="1:42" x14ac:dyDescent="0.25">
      <c r="A3">
        <v>2</v>
      </c>
      <c r="B3" t="s">
        <v>737</v>
      </c>
      <c r="C3" t="s">
        <v>737</v>
      </c>
      <c r="D3" t="s">
        <v>738</v>
      </c>
      <c r="E3" t="s">
        <v>199</v>
      </c>
      <c r="F3" t="s">
        <v>200</v>
      </c>
      <c r="I3" t="s">
        <v>739</v>
      </c>
      <c r="J3" t="s">
        <v>202</v>
      </c>
      <c r="K3" t="s">
        <v>203</v>
      </c>
      <c r="L3" t="s">
        <v>5079</v>
      </c>
      <c r="M3" t="s">
        <v>5080</v>
      </c>
      <c r="N3" t="s">
        <v>4300</v>
      </c>
      <c r="O3" t="s">
        <v>204</v>
      </c>
      <c r="P3" t="s">
        <v>205</v>
      </c>
      <c r="Q3">
        <v>12</v>
      </c>
      <c r="R3" t="s">
        <v>2420</v>
      </c>
      <c r="S3" t="s">
        <v>2421</v>
      </c>
      <c r="T3">
        <v>5</v>
      </c>
      <c r="U3" t="s">
        <v>3137</v>
      </c>
      <c r="V3" t="s">
        <v>3136</v>
      </c>
      <c r="W3">
        <v>5</v>
      </c>
      <c r="X3" t="s">
        <v>2440</v>
      </c>
      <c r="Y3" t="s">
        <v>2441</v>
      </c>
      <c r="Z3">
        <v>2</v>
      </c>
      <c r="AA3" t="s">
        <v>73</v>
      </c>
      <c r="AB3" t="s">
        <v>73</v>
      </c>
      <c r="AC3" t="s">
        <v>740</v>
      </c>
      <c r="AD3" t="s">
        <v>740</v>
      </c>
      <c r="AE3" t="s">
        <v>2709</v>
      </c>
      <c r="AF3">
        <v>1226.6751973472096</v>
      </c>
      <c r="AG3">
        <v>8.2081470442126001</v>
      </c>
      <c r="AH3">
        <v>2012</v>
      </c>
      <c r="AI3">
        <v>4</v>
      </c>
      <c r="AJ3">
        <v>738.96427237397745</v>
      </c>
      <c r="AK3">
        <v>1223.21470442126</v>
      </c>
      <c r="AL3">
        <v>2011</v>
      </c>
      <c r="AM3">
        <v>1034.5499813235683</v>
      </c>
      <c r="AN3">
        <v>0</v>
      </c>
      <c r="AO3" t="s">
        <v>5446</v>
      </c>
      <c r="AP3" t="s">
        <v>738</v>
      </c>
    </row>
    <row r="4" spans="1:42" x14ac:dyDescent="0.25">
      <c r="A4">
        <v>3</v>
      </c>
      <c r="B4" t="s">
        <v>1482</v>
      </c>
      <c r="C4" t="s">
        <v>1482</v>
      </c>
      <c r="D4" t="s">
        <v>2513</v>
      </c>
      <c r="E4" t="s">
        <v>213</v>
      </c>
      <c r="F4" t="s">
        <v>214</v>
      </c>
      <c r="G4" t="s">
        <v>75</v>
      </c>
      <c r="H4" t="s">
        <v>76</v>
      </c>
      <c r="I4" t="s">
        <v>1483</v>
      </c>
      <c r="L4">
        <v>34.756987000000002</v>
      </c>
      <c r="M4">
        <v>36.294364999999999</v>
      </c>
      <c r="O4" t="s">
        <v>1484</v>
      </c>
      <c r="P4" t="s">
        <v>1484</v>
      </c>
      <c r="Q4">
        <v>12</v>
      </c>
      <c r="R4" t="s">
        <v>2409</v>
      </c>
      <c r="S4" t="s">
        <v>2410</v>
      </c>
      <c r="T4">
        <v>2</v>
      </c>
      <c r="U4" t="s">
        <v>2430</v>
      </c>
      <c r="V4" t="s">
        <v>2431</v>
      </c>
      <c r="W4">
        <v>6</v>
      </c>
      <c r="X4" t="s">
        <v>2443</v>
      </c>
      <c r="Y4" t="s">
        <v>2444</v>
      </c>
      <c r="Z4">
        <v>3</v>
      </c>
      <c r="AA4" t="s">
        <v>1485</v>
      </c>
      <c r="AB4" t="s">
        <v>1486</v>
      </c>
      <c r="AE4" t="s">
        <v>1487</v>
      </c>
      <c r="AF4">
        <v>1153.3519375155299</v>
      </c>
      <c r="AG4">
        <v>6.0655379574003003</v>
      </c>
      <c r="AH4">
        <v>1830</v>
      </c>
      <c r="AI4">
        <v>2</v>
      </c>
      <c r="AJ4">
        <v>796.750044050572</v>
      </c>
      <c r="AK4">
        <v>972.55379574003007</v>
      </c>
      <c r="AM4">
        <v>1059.4500616708008</v>
      </c>
      <c r="AN4">
        <v>224</v>
      </c>
      <c r="AO4" t="s">
        <v>5447</v>
      </c>
      <c r="AP4" t="s">
        <v>2513</v>
      </c>
    </row>
    <row r="5" spans="1:42" x14ac:dyDescent="0.25">
      <c r="A5">
        <v>4</v>
      </c>
      <c r="B5" t="s">
        <v>1601</v>
      </c>
      <c r="C5" t="s">
        <v>1601</v>
      </c>
      <c r="D5" t="s">
        <v>2783</v>
      </c>
      <c r="E5" t="s">
        <v>91</v>
      </c>
      <c r="F5" t="s">
        <v>92</v>
      </c>
      <c r="G5" t="s">
        <v>3515</v>
      </c>
      <c r="H5" t="s">
        <v>3516</v>
      </c>
      <c r="I5" t="s">
        <v>1602</v>
      </c>
      <c r="J5" t="s">
        <v>3069</v>
      </c>
      <c r="K5" t="s">
        <v>3063</v>
      </c>
      <c r="L5">
        <v>54.041699999999999</v>
      </c>
      <c r="M5">
        <v>19.033300000000001</v>
      </c>
      <c r="N5" t="s">
        <v>4189</v>
      </c>
      <c r="O5" t="s">
        <v>63</v>
      </c>
      <c r="P5" t="s">
        <v>2577</v>
      </c>
      <c r="Q5">
        <v>13</v>
      </c>
      <c r="R5" t="s">
        <v>2420</v>
      </c>
      <c r="S5" t="s">
        <v>2421</v>
      </c>
      <c r="T5">
        <v>5</v>
      </c>
      <c r="U5" t="s">
        <v>2430</v>
      </c>
      <c r="V5" t="s">
        <v>2431</v>
      </c>
      <c r="W5">
        <v>6</v>
      </c>
      <c r="X5" t="s">
        <v>2440</v>
      </c>
      <c r="Y5" t="s">
        <v>2441</v>
      </c>
      <c r="Z5">
        <v>2</v>
      </c>
      <c r="AA5" t="s">
        <v>2784</v>
      </c>
      <c r="AB5" t="s">
        <v>2784</v>
      </c>
      <c r="AC5" t="s">
        <v>2785</v>
      </c>
      <c r="AD5" t="s">
        <v>2785</v>
      </c>
      <c r="AE5" t="s">
        <v>5049</v>
      </c>
      <c r="AF5">
        <v>1112.6232405338747</v>
      </c>
      <c r="AG5">
        <v>8.1077752117013002</v>
      </c>
      <c r="AH5">
        <v>1298</v>
      </c>
      <c r="AI5">
        <v>6</v>
      </c>
      <c r="AJ5">
        <v>697.14942216534416</v>
      </c>
      <c r="AK5">
        <v>1070.37752117013</v>
      </c>
      <c r="AL5">
        <v>2010</v>
      </c>
      <c r="AM5">
        <v>962.00919103148181</v>
      </c>
      <c r="AN5">
        <v>56</v>
      </c>
      <c r="AO5" t="s">
        <v>5448</v>
      </c>
      <c r="AP5" t="s">
        <v>2783</v>
      </c>
    </row>
    <row r="6" spans="1:42" x14ac:dyDescent="0.25">
      <c r="A6">
        <v>5</v>
      </c>
      <c r="B6" t="s">
        <v>710</v>
      </c>
      <c r="C6" t="s">
        <v>710</v>
      </c>
      <c r="D6" t="s">
        <v>3772</v>
      </c>
      <c r="E6" t="s">
        <v>161</v>
      </c>
      <c r="F6" t="s">
        <v>161</v>
      </c>
      <c r="G6" t="s">
        <v>3167</v>
      </c>
      <c r="H6" t="s">
        <v>3166</v>
      </c>
      <c r="I6" t="s">
        <v>711</v>
      </c>
      <c r="J6" t="s">
        <v>463</v>
      </c>
      <c r="K6" t="s">
        <v>464</v>
      </c>
      <c r="L6">
        <v>53.140098000000002</v>
      </c>
      <c r="M6">
        <v>-4.2744</v>
      </c>
      <c r="N6" t="s">
        <v>4190</v>
      </c>
      <c r="O6" t="s">
        <v>166</v>
      </c>
      <c r="P6" t="s">
        <v>167</v>
      </c>
      <c r="Q6">
        <v>13</v>
      </c>
      <c r="R6" t="s">
        <v>2420</v>
      </c>
      <c r="S6" t="s">
        <v>2421</v>
      </c>
      <c r="T6">
        <v>5</v>
      </c>
      <c r="U6" t="s">
        <v>3137</v>
      </c>
      <c r="V6" t="s">
        <v>3136</v>
      </c>
      <c r="W6">
        <v>5</v>
      </c>
      <c r="X6" t="s">
        <v>2437</v>
      </c>
      <c r="Y6" t="s">
        <v>2438</v>
      </c>
      <c r="Z6">
        <v>1</v>
      </c>
      <c r="AA6" t="s">
        <v>73</v>
      </c>
      <c r="AB6" t="s">
        <v>73</v>
      </c>
      <c r="AE6" t="s">
        <v>712</v>
      </c>
      <c r="AF6">
        <v>1055.5133216459099</v>
      </c>
      <c r="AG6">
        <v>7.3142857142856998</v>
      </c>
      <c r="AH6">
        <v>629</v>
      </c>
      <c r="AI6">
        <v>3</v>
      </c>
      <c r="AJ6">
        <v>752.11003992402755</v>
      </c>
      <c r="AK6">
        <v>857.22857142856992</v>
      </c>
      <c r="AM6">
        <v>1052.9540558936385</v>
      </c>
      <c r="AN6">
        <v>0</v>
      </c>
      <c r="AO6" t="s">
        <v>5449</v>
      </c>
      <c r="AP6" t="s">
        <v>3772</v>
      </c>
    </row>
    <row r="7" spans="1:42" x14ac:dyDescent="0.25">
      <c r="A7">
        <v>6</v>
      </c>
      <c r="B7" t="s">
        <v>238</v>
      </c>
      <c r="C7" t="s">
        <v>238</v>
      </c>
      <c r="D7" t="s">
        <v>239</v>
      </c>
      <c r="E7" t="s">
        <v>218</v>
      </c>
      <c r="F7" t="s">
        <v>219</v>
      </c>
      <c r="G7" t="s">
        <v>69</v>
      </c>
      <c r="H7" t="s">
        <v>70</v>
      </c>
      <c r="I7" t="s">
        <v>240</v>
      </c>
      <c r="J7" t="s">
        <v>241</v>
      </c>
      <c r="K7" t="s">
        <v>242</v>
      </c>
      <c r="L7">
        <v>37.176892000000002</v>
      </c>
      <c r="M7">
        <v>-3.5899860000000001</v>
      </c>
      <c r="N7" t="s">
        <v>4301</v>
      </c>
      <c r="O7" t="s">
        <v>243</v>
      </c>
      <c r="P7" t="s">
        <v>243</v>
      </c>
      <c r="Q7">
        <v>13</v>
      </c>
      <c r="R7" t="s">
        <v>2406</v>
      </c>
      <c r="S7" t="s">
        <v>2407</v>
      </c>
      <c r="T7">
        <v>1</v>
      </c>
      <c r="U7" t="s">
        <v>2430</v>
      </c>
      <c r="V7" t="s">
        <v>2431</v>
      </c>
      <c r="W7">
        <v>6</v>
      </c>
      <c r="X7" t="s">
        <v>2440</v>
      </c>
      <c r="Y7" t="s">
        <v>2441</v>
      </c>
      <c r="Z7">
        <v>2</v>
      </c>
      <c r="AA7" t="s">
        <v>73</v>
      </c>
      <c r="AB7" t="s">
        <v>73</v>
      </c>
      <c r="AC7" t="s">
        <v>244</v>
      </c>
      <c r="AD7" t="s">
        <v>244</v>
      </c>
      <c r="AE7" t="s">
        <v>245</v>
      </c>
      <c r="AF7">
        <v>1015.3612651955982</v>
      </c>
      <c r="AG7">
        <v>7.6870967741934999</v>
      </c>
      <c r="AH7">
        <v>309</v>
      </c>
      <c r="AI7">
        <v>5</v>
      </c>
      <c r="AJ7">
        <v>722.34047387324813</v>
      </c>
      <c r="AK7">
        <v>830.50967741934994</v>
      </c>
      <c r="AM7">
        <v>955.27666342254736</v>
      </c>
      <c r="AN7">
        <v>224</v>
      </c>
      <c r="AO7" t="s">
        <v>5450</v>
      </c>
      <c r="AP7" t="s">
        <v>239</v>
      </c>
    </row>
    <row r="8" spans="1:42" x14ac:dyDescent="0.25">
      <c r="A8">
        <v>7</v>
      </c>
      <c r="B8" t="s">
        <v>1322</v>
      </c>
      <c r="C8" t="s">
        <v>1322</v>
      </c>
      <c r="D8" t="s">
        <v>1323</v>
      </c>
      <c r="E8" t="s">
        <v>161</v>
      </c>
      <c r="F8" t="s">
        <v>161</v>
      </c>
      <c r="G8" t="s">
        <v>3167</v>
      </c>
      <c r="H8" t="s">
        <v>3166</v>
      </c>
      <c r="I8" t="s">
        <v>1324</v>
      </c>
      <c r="J8" t="s">
        <v>463</v>
      </c>
      <c r="K8" t="s">
        <v>464</v>
      </c>
      <c r="L8">
        <v>52.86</v>
      </c>
      <c r="M8">
        <v>-4.1083333333333298</v>
      </c>
      <c r="N8" t="s">
        <v>4191</v>
      </c>
      <c r="O8" t="s">
        <v>2555</v>
      </c>
      <c r="P8" t="s">
        <v>2556</v>
      </c>
      <c r="Q8">
        <v>13</v>
      </c>
      <c r="R8" t="s">
        <v>2409</v>
      </c>
      <c r="S8" t="s">
        <v>2410</v>
      </c>
      <c r="T8">
        <v>2</v>
      </c>
      <c r="U8" t="s">
        <v>3137</v>
      </c>
      <c r="V8" t="s">
        <v>3136</v>
      </c>
      <c r="W8">
        <v>5</v>
      </c>
      <c r="X8" t="s">
        <v>2443</v>
      </c>
      <c r="Y8" t="s">
        <v>2444</v>
      </c>
      <c r="Z8">
        <v>3</v>
      </c>
      <c r="AA8" t="s">
        <v>73</v>
      </c>
      <c r="AB8" t="s">
        <v>73</v>
      </c>
      <c r="AE8" t="s">
        <v>1325</v>
      </c>
      <c r="AF8">
        <v>1002.2426826472908</v>
      </c>
      <c r="AG8">
        <v>7.3179419525066001</v>
      </c>
      <c r="AH8">
        <v>757</v>
      </c>
      <c r="AI8">
        <v>7</v>
      </c>
      <c r="AJ8">
        <v>678.49509446884542</v>
      </c>
      <c r="AK8">
        <v>883.19419525065996</v>
      </c>
      <c r="AM8">
        <v>949.89313225638352</v>
      </c>
      <c r="AN8">
        <v>0</v>
      </c>
      <c r="AO8" t="s">
        <v>5451</v>
      </c>
      <c r="AP8" t="s">
        <v>1323</v>
      </c>
    </row>
    <row r="9" spans="1:42" x14ac:dyDescent="0.25">
      <c r="A9">
        <v>8</v>
      </c>
      <c r="B9" t="s">
        <v>815</v>
      </c>
      <c r="C9" t="s">
        <v>815</v>
      </c>
      <c r="D9" t="s">
        <v>816</v>
      </c>
      <c r="E9" t="s">
        <v>5312</v>
      </c>
      <c r="F9" t="s">
        <v>157</v>
      </c>
      <c r="G9" t="s">
        <v>158</v>
      </c>
      <c r="H9" t="s">
        <v>159</v>
      </c>
      <c r="I9" t="s">
        <v>5315</v>
      </c>
      <c r="J9" t="s">
        <v>3087</v>
      </c>
      <c r="K9" t="s">
        <v>3088</v>
      </c>
      <c r="L9" t="s">
        <v>5083</v>
      </c>
      <c r="M9" t="s">
        <v>5084</v>
      </c>
      <c r="N9" t="s">
        <v>4191</v>
      </c>
      <c r="O9" t="s">
        <v>817</v>
      </c>
      <c r="P9" t="s">
        <v>817</v>
      </c>
      <c r="Q9">
        <v>12</v>
      </c>
      <c r="R9" t="s">
        <v>2417</v>
      </c>
      <c r="S9" t="s">
        <v>2418</v>
      </c>
      <c r="T9">
        <v>4</v>
      </c>
      <c r="U9" t="s">
        <v>2430</v>
      </c>
      <c r="V9" t="s">
        <v>2431</v>
      </c>
      <c r="W9">
        <v>6</v>
      </c>
      <c r="X9" t="s">
        <v>2437</v>
      </c>
      <c r="Y9" t="s">
        <v>2438</v>
      </c>
      <c r="Z9">
        <v>1</v>
      </c>
      <c r="AA9" t="s">
        <v>73</v>
      </c>
      <c r="AB9" t="s">
        <v>73</v>
      </c>
      <c r="AE9" t="s">
        <v>818</v>
      </c>
      <c r="AF9">
        <v>987.60976862200459</v>
      </c>
      <c r="AG9">
        <v>7.3028263795423998</v>
      </c>
      <c r="AH9">
        <v>742</v>
      </c>
      <c r="AI9">
        <v>8</v>
      </c>
      <c r="AJ9">
        <v>664.74272182764969</v>
      </c>
      <c r="AK9">
        <v>878.68263795423991</v>
      </c>
      <c r="AL9">
        <v>2012</v>
      </c>
      <c r="AM9">
        <v>930.63981055870954</v>
      </c>
      <c r="AN9">
        <v>0</v>
      </c>
      <c r="AO9" t="s">
        <v>5452</v>
      </c>
      <c r="AP9" t="s">
        <v>816</v>
      </c>
    </row>
    <row r="10" spans="1:42" x14ac:dyDescent="0.25">
      <c r="A10">
        <v>9</v>
      </c>
      <c r="B10" t="s">
        <v>2045</v>
      </c>
      <c r="C10" t="s">
        <v>4073</v>
      </c>
      <c r="D10" t="s">
        <v>2046</v>
      </c>
      <c r="E10" t="s">
        <v>218</v>
      </c>
      <c r="F10" t="s">
        <v>219</v>
      </c>
      <c r="G10" t="s">
        <v>69</v>
      </c>
      <c r="H10" t="s">
        <v>70</v>
      </c>
      <c r="I10" t="s">
        <v>860</v>
      </c>
      <c r="J10" t="s">
        <v>408</v>
      </c>
      <c r="K10" t="s">
        <v>409</v>
      </c>
      <c r="L10">
        <v>40.952500000000001</v>
      </c>
      <c r="M10">
        <v>-4.1327780000000001</v>
      </c>
      <c r="N10" t="s">
        <v>4196</v>
      </c>
      <c r="O10" t="s">
        <v>2639</v>
      </c>
      <c r="P10" t="s">
        <v>2640</v>
      </c>
      <c r="Q10">
        <v>11</v>
      </c>
      <c r="R10" t="s">
        <v>2409</v>
      </c>
      <c r="S10" t="s">
        <v>2410</v>
      </c>
      <c r="T10">
        <v>2</v>
      </c>
      <c r="U10" t="s">
        <v>2430</v>
      </c>
      <c r="V10" t="s">
        <v>2431</v>
      </c>
      <c r="W10">
        <v>6</v>
      </c>
      <c r="X10" t="s">
        <v>2440</v>
      </c>
      <c r="Y10" t="s">
        <v>2441</v>
      </c>
      <c r="Z10">
        <v>2</v>
      </c>
      <c r="AA10" t="s">
        <v>73</v>
      </c>
      <c r="AB10" t="s">
        <v>73</v>
      </c>
      <c r="AE10" t="s">
        <v>2047</v>
      </c>
      <c r="AF10">
        <v>982.81118954681551</v>
      </c>
      <c r="AG10">
        <v>8.5635359116021998</v>
      </c>
      <c r="AH10">
        <v>904</v>
      </c>
      <c r="AI10">
        <v>17</v>
      </c>
      <c r="AJ10">
        <v>571.37154885189489</v>
      </c>
      <c r="AK10">
        <v>1037.15359116022</v>
      </c>
      <c r="AM10">
        <v>743.92016839265273</v>
      </c>
      <c r="AN10">
        <v>224</v>
      </c>
      <c r="AO10" t="s">
        <v>5453</v>
      </c>
      <c r="AP10" t="s">
        <v>2046</v>
      </c>
    </row>
    <row r="11" spans="1:42" x14ac:dyDescent="0.25">
      <c r="A11">
        <v>10</v>
      </c>
      <c r="B11" t="s">
        <v>996</v>
      </c>
      <c r="C11" t="s">
        <v>996</v>
      </c>
      <c r="D11" t="s">
        <v>997</v>
      </c>
      <c r="E11" t="s">
        <v>282</v>
      </c>
      <c r="F11" t="s">
        <v>283</v>
      </c>
      <c r="G11" t="s">
        <v>3167</v>
      </c>
      <c r="H11" t="s">
        <v>3166</v>
      </c>
      <c r="I11" t="s">
        <v>998</v>
      </c>
      <c r="J11" t="s">
        <v>368</v>
      </c>
      <c r="K11" t="s">
        <v>369</v>
      </c>
      <c r="L11">
        <v>51.129683999999997</v>
      </c>
      <c r="M11">
        <v>1.3214490000000001</v>
      </c>
      <c r="N11" t="s">
        <v>4193</v>
      </c>
      <c r="O11" t="s">
        <v>822</v>
      </c>
      <c r="P11" t="s">
        <v>823</v>
      </c>
      <c r="Q11">
        <v>12</v>
      </c>
      <c r="R11" t="s">
        <v>2420</v>
      </c>
      <c r="S11" t="s">
        <v>2421</v>
      </c>
      <c r="T11">
        <v>5</v>
      </c>
      <c r="U11" t="s">
        <v>2430</v>
      </c>
      <c r="V11" t="s">
        <v>2431</v>
      </c>
      <c r="W11">
        <v>6</v>
      </c>
      <c r="X11" t="s">
        <v>2437</v>
      </c>
      <c r="Y11" t="s">
        <v>2438</v>
      </c>
      <c r="Z11">
        <v>1</v>
      </c>
      <c r="AA11" t="s">
        <v>73</v>
      </c>
      <c r="AB11" t="s">
        <v>73</v>
      </c>
      <c r="AE11" t="s">
        <v>2767</v>
      </c>
      <c r="AF11">
        <v>980.40721721302725</v>
      </c>
      <c r="AG11">
        <v>7.6651532349603002</v>
      </c>
      <c r="AH11">
        <v>880</v>
      </c>
      <c r="AI11">
        <v>13</v>
      </c>
      <c r="AJ11">
        <v>621.27728385001342</v>
      </c>
      <c r="AK11">
        <v>942.51532349603008</v>
      </c>
      <c r="AL11">
        <v>2009</v>
      </c>
      <c r="AM11">
        <v>813.78819739001869</v>
      </c>
      <c r="AN11">
        <v>224</v>
      </c>
      <c r="AO11" t="s">
        <v>5454</v>
      </c>
      <c r="AP11" t="s">
        <v>997</v>
      </c>
    </row>
    <row r="12" spans="1:42" x14ac:dyDescent="0.25">
      <c r="A12">
        <v>11</v>
      </c>
      <c r="B12" t="s">
        <v>1093</v>
      </c>
      <c r="C12" t="s">
        <v>1093</v>
      </c>
      <c r="D12" t="s">
        <v>1094</v>
      </c>
      <c r="E12" t="s">
        <v>137</v>
      </c>
      <c r="F12" t="s">
        <v>138</v>
      </c>
      <c r="G12" t="s">
        <v>139</v>
      </c>
      <c r="H12" t="s">
        <v>140</v>
      </c>
      <c r="I12" t="s">
        <v>1095</v>
      </c>
      <c r="J12" t="s">
        <v>426</v>
      </c>
      <c r="K12" t="s">
        <v>427</v>
      </c>
      <c r="L12">
        <v>50.204900000000002</v>
      </c>
      <c r="M12">
        <v>7.3367000000000004</v>
      </c>
      <c r="N12" t="s">
        <v>4201</v>
      </c>
      <c r="Q12">
        <v>12</v>
      </c>
      <c r="R12" t="s">
        <v>2409</v>
      </c>
      <c r="S12" t="s">
        <v>2410</v>
      </c>
      <c r="T12">
        <v>2</v>
      </c>
      <c r="U12" t="s">
        <v>3139</v>
      </c>
      <c r="V12" t="s">
        <v>3140</v>
      </c>
      <c r="W12">
        <v>4</v>
      </c>
      <c r="X12" t="s">
        <v>2437</v>
      </c>
      <c r="Y12" t="s">
        <v>2438</v>
      </c>
      <c r="Z12">
        <v>1</v>
      </c>
      <c r="AA12" t="s">
        <v>73</v>
      </c>
      <c r="AB12" t="s">
        <v>73</v>
      </c>
      <c r="AE12" t="s">
        <v>1096</v>
      </c>
      <c r="AF12">
        <v>974.03104768303319</v>
      </c>
      <c r="AG12">
        <v>8.7090909090909001</v>
      </c>
      <c r="AH12">
        <v>1814</v>
      </c>
      <c r="AI12">
        <v>30</v>
      </c>
      <c r="AJ12">
        <v>452.41833580943126</v>
      </c>
      <c r="AK12">
        <v>1233.70909090909</v>
      </c>
      <c r="AL12">
        <v>2004</v>
      </c>
      <c r="AM12">
        <v>633.38567013320369</v>
      </c>
      <c r="AN12">
        <v>0</v>
      </c>
      <c r="AO12" t="s">
        <v>5455</v>
      </c>
      <c r="AP12" t="s">
        <v>1094</v>
      </c>
    </row>
    <row r="13" spans="1:42" x14ac:dyDescent="0.25">
      <c r="A13">
        <v>12</v>
      </c>
      <c r="B13" t="s">
        <v>570</v>
      </c>
      <c r="C13" t="s">
        <v>570</v>
      </c>
      <c r="D13" t="s">
        <v>571</v>
      </c>
      <c r="E13" t="s">
        <v>282</v>
      </c>
      <c r="F13" t="s">
        <v>283</v>
      </c>
      <c r="G13" t="s">
        <v>3167</v>
      </c>
      <c r="H13" t="s">
        <v>3166</v>
      </c>
      <c r="I13" t="s">
        <v>572</v>
      </c>
      <c r="J13" t="s">
        <v>368</v>
      </c>
      <c r="K13" t="s">
        <v>369</v>
      </c>
      <c r="L13">
        <v>51.002222222222201</v>
      </c>
      <c r="M13">
        <v>0.54333333333333</v>
      </c>
      <c r="N13" t="s">
        <v>4198</v>
      </c>
      <c r="O13" t="s">
        <v>573</v>
      </c>
      <c r="P13" t="s">
        <v>573</v>
      </c>
      <c r="Q13">
        <v>14</v>
      </c>
      <c r="R13" t="s">
        <v>2414</v>
      </c>
      <c r="S13" t="s">
        <v>2415</v>
      </c>
      <c r="T13">
        <v>3</v>
      </c>
      <c r="U13" t="s">
        <v>3137</v>
      </c>
      <c r="V13" t="s">
        <v>3136</v>
      </c>
      <c r="W13">
        <v>5</v>
      </c>
      <c r="X13" t="s">
        <v>2443</v>
      </c>
      <c r="Y13" t="s">
        <v>2444</v>
      </c>
      <c r="Z13">
        <v>3</v>
      </c>
      <c r="AA13" t="s">
        <v>73</v>
      </c>
      <c r="AB13" t="s">
        <v>73</v>
      </c>
      <c r="AE13" t="s">
        <v>3138</v>
      </c>
      <c r="AF13">
        <v>970.279956617567</v>
      </c>
      <c r="AG13">
        <v>7.7175208581644998</v>
      </c>
      <c r="AH13">
        <v>838</v>
      </c>
      <c r="AI13">
        <v>15</v>
      </c>
      <c r="AJ13">
        <v>611.78212634371334</v>
      </c>
      <c r="AK13">
        <v>939.35208581644997</v>
      </c>
      <c r="AL13">
        <v>2009</v>
      </c>
      <c r="AM13">
        <v>800.49497688119857</v>
      </c>
      <c r="AN13">
        <v>224</v>
      </c>
      <c r="AO13" t="s">
        <v>5456</v>
      </c>
      <c r="AP13" t="s">
        <v>571</v>
      </c>
    </row>
    <row r="14" spans="1:42" x14ac:dyDescent="0.25">
      <c r="A14">
        <v>13</v>
      </c>
      <c r="B14" t="s">
        <v>1674</v>
      </c>
      <c r="C14" t="s">
        <v>4072</v>
      </c>
      <c r="D14" t="s">
        <v>1675</v>
      </c>
      <c r="E14" t="s">
        <v>67</v>
      </c>
      <c r="F14" t="s">
        <v>68</v>
      </c>
      <c r="G14" t="s">
        <v>69</v>
      </c>
      <c r="H14" t="s">
        <v>70</v>
      </c>
      <c r="J14" t="s">
        <v>437</v>
      </c>
      <c r="K14" t="s">
        <v>438</v>
      </c>
      <c r="L14">
        <v>41.084166666666697</v>
      </c>
      <c r="M14">
        <v>16.271388888888001</v>
      </c>
      <c r="N14" t="s">
        <v>4194</v>
      </c>
      <c r="O14" t="s">
        <v>439</v>
      </c>
      <c r="P14" t="s">
        <v>440</v>
      </c>
      <c r="Q14">
        <v>13</v>
      </c>
      <c r="R14" t="s">
        <v>2406</v>
      </c>
      <c r="S14" t="s">
        <v>2407</v>
      </c>
      <c r="T14">
        <v>1</v>
      </c>
      <c r="U14" t="s">
        <v>3137</v>
      </c>
      <c r="V14" t="s">
        <v>3136</v>
      </c>
      <c r="W14">
        <v>5</v>
      </c>
      <c r="X14" t="s">
        <v>2437</v>
      </c>
      <c r="Y14" t="s">
        <v>2438</v>
      </c>
      <c r="Z14">
        <v>1</v>
      </c>
      <c r="AC14" t="s">
        <v>1676</v>
      </c>
      <c r="AD14" t="s">
        <v>1676</v>
      </c>
      <c r="AE14" t="s">
        <v>1677</v>
      </c>
      <c r="AF14">
        <v>955.336156221181</v>
      </c>
      <c r="AG14">
        <v>7.3842794759824999</v>
      </c>
      <c r="AH14">
        <v>686</v>
      </c>
      <c r="AI14">
        <v>12</v>
      </c>
      <c r="AJ14">
        <v>630.58020269117333</v>
      </c>
      <c r="AK14">
        <v>875.62794759824988</v>
      </c>
      <c r="AM14">
        <v>854.81228376764261</v>
      </c>
      <c r="AN14">
        <v>112</v>
      </c>
      <c r="AO14" t="s">
        <v>5457</v>
      </c>
      <c r="AP14" t="s">
        <v>1675</v>
      </c>
    </row>
    <row r="15" spans="1:42" x14ac:dyDescent="0.25">
      <c r="A15">
        <v>14</v>
      </c>
      <c r="B15" t="s">
        <v>1264</v>
      </c>
      <c r="C15" t="s">
        <v>1264</v>
      </c>
      <c r="D15" t="s">
        <v>1265</v>
      </c>
      <c r="E15" t="s">
        <v>351</v>
      </c>
      <c r="F15" t="s">
        <v>352</v>
      </c>
      <c r="G15" t="s">
        <v>257</v>
      </c>
      <c r="H15" t="s">
        <v>258</v>
      </c>
      <c r="I15" t="s">
        <v>1266</v>
      </c>
      <c r="J15" t="s">
        <v>1267</v>
      </c>
      <c r="K15" t="s">
        <v>1268</v>
      </c>
      <c r="L15">
        <v>51.057222222222201</v>
      </c>
      <c r="M15">
        <v>3.7205555555555598</v>
      </c>
      <c r="N15" t="s">
        <v>4199</v>
      </c>
      <c r="O15" t="s">
        <v>2549</v>
      </c>
      <c r="P15" t="s">
        <v>2550</v>
      </c>
      <c r="Q15">
        <v>12</v>
      </c>
      <c r="R15" t="s">
        <v>2414</v>
      </c>
      <c r="S15" t="s">
        <v>2415</v>
      </c>
      <c r="T15">
        <v>3</v>
      </c>
      <c r="U15" t="s">
        <v>2430</v>
      </c>
      <c r="V15" t="s">
        <v>2431</v>
      </c>
      <c r="W15">
        <v>6</v>
      </c>
      <c r="X15" t="s">
        <v>2440</v>
      </c>
      <c r="Y15" t="s">
        <v>2441</v>
      </c>
      <c r="Z15">
        <v>2</v>
      </c>
      <c r="AC15" t="s">
        <v>1269</v>
      </c>
      <c r="AD15" t="s">
        <v>1269</v>
      </c>
      <c r="AE15" t="s">
        <v>1270</v>
      </c>
      <c r="AF15">
        <v>942.16657522081277</v>
      </c>
      <c r="AG15">
        <v>7.9261083743842002</v>
      </c>
      <c r="AH15">
        <v>405</v>
      </c>
      <c r="AI15">
        <v>14</v>
      </c>
      <c r="AJ15">
        <v>617.06795166844745</v>
      </c>
      <c r="AK15">
        <v>873.61083743842005</v>
      </c>
      <c r="AL15">
        <v>1999</v>
      </c>
      <c r="AM15">
        <v>863.89513233582636</v>
      </c>
      <c r="AN15">
        <v>0</v>
      </c>
      <c r="AO15" t="s">
        <v>5458</v>
      </c>
      <c r="AP15" t="s">
        <v>1265</v>
      </c>
    </row>
    <row r="16" spans="1:42" x14ac:dyDescent="0.25">
      <c r="A16">
        <v>15</v>
      </c>
      <c r="B16" t="s">
        <v>893</v>
      </c>
      <c r="C16" t="s">
        <v>4056</v>
      </c>
      <c r="D16" t="s">
        <v>3771</v>
      </c>
      <c r="E16" t="s">
        <v>161</v>
      </c>
      <c r="F16" t="s">
        <v>161</v>
      </c>
      <c r="G16" t="s">
        <v>3167</v>
      </c>
      <c r="H16" t="s">
        <v>3166</v>
      </c>
      <c r="I16" t="s">
        <v>894</v>
      </c>
      <c r="J16" t="s">
        <v>463</v>
      </c>
      <c r="K16" t="s">
        <v>464</v>
      </c>
      <c r="L16">
        <v>53.28</v>
      </c>
      <c r="M16">
        <v>-3.8255555555555598</v>
      </c>
      <c r="N16" t="s">
        <v>4197</v>
      </c>
      <c r="O16" t="s">
        <v>166</v>
      </c>
      <c r="P16" t="s">
        <v>167</v>
      </c>
      <c r="Q16">
        <v>13</v>
      </c>
      <c r="R16" t="s">
        <v>2420</v>
      </c>
      <c r="S16" t="s">
        <v>2421</v>
      </c>
      <c r="T16">
        <v>5</v>
      </c>
      <c r="U16" t="s">
        <v>3137</v>
      </c>
      <c r="V16" t="s">
        <v>3136</v>
      </c>
      <c r="W16">
        <v>5</v>
      </c>
      <c r="X16" t="s">
        <v>2443</v>
      </c>
      <c r="Y16" t="s">
        <v>2444</v>
      </c>
      <c r="Z16">
        <v>3</v>
      </c>
      <c r="AA16" t="s">
        <v>73</v>
      </c>
      <c r="AB16" t="s">
        <v>73</v>
      </c>
      <c r="AE16" t="s">
        <v>895</v>
      </c>
      <c r="AF16">
        <v>927.57828046683312</v>
      </c>
      <c r="AG16">
        <v>7.5317725752508</v>
      </c>
      <c r="AH16">
        <v>298</v>
      </c>
      <c r="AI16">
        <v>10</v>
      </c>
      <c r="AJ16">
        <v>634.65516856032559</v>
      </c>
      <c r="AK16">
        <v>812.77725752508002</v>
      </c>
      <c r="AM16">
        <v>888.51723598445585</v>
      </c>
      <c r="AN16">
        <v>0</v>
      </c>
      <c r="AO16" t="s">
        <v>5459</v>
      </c>
      <c r="AP16" t="s">
        <v>3771</v>
      </c>
    </row>
    <row r="17" spans="1:42" x14ac:dyDescent="0.25">
      <c r="A17">
        <v>16</v>
      </c>
      <c r="B17" t="s">
        <v>460</v>
      </c>
      <c r="C17" t="s">
        <v>460</v>
      </c>
      <c r="D17" t="s">
        <v>461</v>
      </c>
      <c r="E17" t="s">
        <v>161</v>
      </c>
      <c r="F17" t="s">
        <v>161</v>
      </c>
      <c r="G17" t="s">
        <v>3167</v>
      </c>
      <c r="H17" t="s">
        <v>3166</v>
      </c>
      <c r="I17" t="s">
        <v>462</v>
      </c>
      <c r="J17" t="s">
        <v>463</v>
      </c>
      <c r="K17" t="s">
        <v>464</v>
      </c>
      <c r="L17">
        <v>53.264738000000001</v>
      </c>
      <c r="M17">
        <v>-4.0897459999999999</v>
      </c>
      <c r="N17" t="s">
        <v>4200</v>
      </c>
      <c r="O17" t="s">
        <v>166</v>
      </c>
      <c r="P17" t="s">
        <v>167</v>
      </c>
      <c r="Q17">
        <v>13</v>
      </c>
      <c r="R17" t="s">
        <v>2414</v>
      </c>
      <c r="S17" t="s">
        <v>2415</v>
      </c>
      <c r="T17">
        <v>3</v>
      </c>
      <c r="U17" t="s">
        <v>3137</v>
      </c>
      <c r="V17" t="s">
        <v>3136</v>
      </c>
      <c r="W17">
        <v>5</v>
      </c>
      <c r="X17" t="s">
        <v>2443</v>
      </c>
      <c r="Y17" t="s">
        <v>2444</v>
      </c>
      <c r="Z17">
        <v>3</v>
      </c>
      <c r="AA17" t="s">
        <v>73</v>
      </c>
      <c r="AB17" t="s">
        <v>73</v>
      </c>
      <c r="AC17" t="s">
        <v>465</v>
      </c>
      <c r="AD17" t="s">
        <v>465</v>
      </c>
      <c r="AE17" t="s">
        <v>466</v>
      </c>
      <c r="AF17">
        <v>894.58208995166649</v>
      </c>
      <c r="AG17">
        <v>6.7931034482759003</v>
      </c>
      <c r="AH17">
        <v>173</v>
      </c>
      <c r="AI17">
        <v>9</v>
      </c>
      <c r="AJ17">
        <v>652.91879726430159</v>
      </c>
      <c r="AK17">
        <v>713.91034482759005</v>
      </c>
      <c r="AM17">
        <v>914.0863161700222</v>
      </c>
      <c r="AN17">
        <v>0</v>
      </c>
      <c r="AO17" t="s">
        <v>5460</v>
      </c>
      <c r="AP17" t="s">
        <v>461</v>
      </c>
    </row>
    <row r="18" spans="1:42" x14ac:dyDescent="0.25">
      <c r="A18">
        <v>17</v>
      </c>
      <c r="B18" t="s">
        <v>1222</v>
      </c>
      <c r="C18" t="s">
        <v>1222</v>
      </c>
      <c r="D18" t="s">
        <v>1223</v>
      </c>
      <c r="E18" t="s">
        <v>199</v>
      </c>
      <c r="F18" t="s">
        <v>200</v>
      </c>
      <c r="I18" t="s">
        <v>1224</v>
      </c>
      <c r="J18" t="s">
        <v>360</v>
      </c>
      <c r="K18" t="s">
        <v>361</v>
      </c>
      <c r="L18">
        <v>49.238042</v>
      </c>
      <c r="M18">
        <v>1.4026989999999999</v>
      </c>
      <c r="N18" t="s">
        <v>4195</v>
      </c>
      <c r="O18" t="s">
        <v>1225</v>
      </c>
      <c r="P18" t="s">
        <v>1226</v>
      </c>
      <c r="Q18">
        <v>12</v>
      </c>
      <c r="R18" t="s">
        <v>2409</v>
      </c>
      <c r="S18" t="s">
        <v>2410</v>
      </c>
      <c r="T18">
        <v>2</v>
      </c>
      <c r="U18" t="s">
        <v>2430</v>
      </c>
      <c r="V18" t="s">
        <v>2431</v>
      </c>
      <c r="W18">
        <v>6</v>
      </c>
      <c r="X18" t="s">
        <v>2446</v>
      </c>
      <c r="Y18" t="s">
        <v>2447</v>
      </c>
      <c r="Z18">
        <v>4</v>
      </c>
      <c r="AA18" t="s">
        <v>1227</v>
      </c>
      <c r="AB18" t="s">
        <v>1228</v>
      </c>
      <c r="AC18" t="s">
        <v>1229</v>
      </c>
      <c r="AD18" t="s">
        <v>1229</v>
      </c>
      <c r="AE18" t="s">
        <v>1230</v>
      </c>
      <c r="AF18">
        <v>868.60795671483038</v>
      </c>
      <c r="AG18">
        <v>5.7396825396824998</v>
      </c>
      <c r="AH18">
        <v>629</v>
      </c>
      <c r="AI18">
        <v>11</v>
      </c>
      <c r="AJ18">
        <v>631.91536636745047</v>
      </c>
      <c r="AK18">
        <v>699.76825396824995</v>
      </c>
      <c r="AL18">
        <v>2004</v>
      </c>
      <c r="AM18">
        <v>884.68151291443064</v>
      </c>
      <c r="AN18">
        <v>0</v>
      </c>
      <c r="AO18" t="s">
        <v>5461</v>
      </c>
      <c r="AP18" t="s">
        <v>1223</v>
      </c>
    </row>
    <row r="19" spans="1:42" x14ac:dyDescent="0.25">
      <c r="A19">
        <v>18</v>
      </c>
      <c r="B19" t="s">
        <v>2299</v>
      </c>
      <c r="C19" t="s">
        <v>2299</v>
      </c>
      <c r="D19" t="s">
        <v>2300</v>
      </c>
      <c r="E19" t="s">
        <v>459</v>
      </c>
      <c r="F19" t="s">
        <v>459</v>
      </c>
      <c r="G19" t="s">
        <v>257</v>
      </c>
      <c r="H19" t="s">
        <v>258</v>
      </c>
      <c r="I19" t="s">
        <v>2300</v>
      </c>
      <c r="L19">
        <v>49.934932000000003</v>
      </c>
      <c r="M19">
        <v>6.2028230000000004</v>
      </c>
      <c r="N19" t="s">
        <v>4204</v>
      </c>
      <c r="R19" t="s">
        <v>2409</v>
      </c>
      <c r="S19" t="s">
        <v>2410</v>
      </c>
      <c r="T19">
        <v>2</v>
      </c>
      <c r="U19" t="s">
        <v>3137</v>
      </c>
      <c r="V19" t="s">
        <v>3136</v>
      </c>
      <c r="W19">
        <v>5</v>
      </c>
      <c r="X19" t="s">
        <v>2440</v>
      </c>
      <c r="Y19" t="s">
        <v>2441</v>
      </c>
      <c r="Z19">
        <v>2</v>
      </c>
      <c r="AA19" t="s">
        <v>2301</v>
      </c>
      <c r="AB19" t="s">
        <v>2301</v>
      </c>
      <c r="AE19" t="s">
        <v>2302</v>
      </c>
      <c r="AF19">
        <v>837.50601836358305</v>
      </c>
      <c r="AG19">
        <v>7.6034482758620996</v>
      </c>
      <c r="AH19">
        <v>231</v>
      </c>
      <c r="AI19">
        <v>18</v>
      </c>
      <c r="AJ19">
        <v>538.03733841164228</v>
      </c>
      <c r="AK19">
        <v>806.54482758620998</v>
      </c>
      <c r="AL19">
        <v>2004</v>
      </c>
      <c r="AM19">
        <v>725.25227377629915</v>
      </c>
      <c r="AN19">
        <v>112</v>
      </c>
      <c r="AO19" t="s">
        <v>5462</v>
      </c>
      <c r="AP19" t="s">
        <v>2300</v>
      </c>
    </row>
    <row r="20" spans="1:42" x14ac:dyDescent="0.25">
      <c r="A20">
        <v>19</v>
      </c>
      <c r="B20" t="s">
        <v>1441</v>
      </c>
      <c r="C20" t="s">
        <v>4133</v>
      </c>
      <c r="D20" t="s">
        <v>2502</v>
      </c>
      <c r="E20" t="s">
        <v>471</v>
      </c>
      <c r="F20" t="s">
        <v>472</v>
      </c>
      <c r="G20" t="s">
        <v>93</v>
      </c>
      <c r="H20" t="s">
        <v>94</v>
      </c>
      <c r="I20" t="s">
        <v>3215</v>
      </c>
      <c r="J20" t="s">
        <v>3245</v>
      </c>
      <c r="K20" t="s">
        <v>3170</v>
      </c>
      <c r="L20">
        <v>49.939444444444398</v>
      </c>
      <c r="M20">
        <v>14.188333333333301</v>
      </c>
      <c r="N20" t="s">
        <v>4202</v>
      </c>
      <c r="O20" t="s">
        <v>2573</v>
      </c>
      <c r="P20" t="s">
        <v>2574</v>
      </c>
      <c r="Q20">
        <v>14</v>
      </c>
      <c r="R20" t="s">
        <v>2406</v>
      </c>
      <c r="S20" t="s">
        <v>2407</v>
      </c>
      <c r="T20">
        <v>1</v>
      </c>
      <c r="U20" t="s">
        <v>2430</v>
      </c>
      <c r="V20" t="s">
        <v>2431</v>
      </c>
      <c r="W20">
        <v>6</v>
      </c>
      <c r="X20" t="s">
        <v>2440</v>
      </c>
      <c r="Y20" t="s">
        <v>2441</v>
      </c>
      <c r="Z20">
        <v>2</v>
      </c>
      <c r="AA20" t="s">
        <v>73</v>
      </c>
      <c r="AB20" t="s">
        <v>73</v>
      </c>
      <c r="AC20" t="s">
        <v>2723</v>
      </c>
      <c r="AE20" t="s">
        <v>1442</v>
      </c>
      <c r="AF20">
        <v>830.04148297410416</v>
      </c>
      <c r="AG20">
        <v>7.9935064935064997</v>
      </c>
      <c r="AH20">
        <v>307</v>
      </c>
      <c r="AI20">
        <v>21</v>
      </c>
      <c r="AJ20">
        <v>499.62906477642127</v>
      </c>
      <c r="AK20">
        <v>860.75064935064995</v>
      </c>
      <c r="AL20">
        <v>2005</v>
      </c>
      <c r="AM20">
        <v>671.48069068698976</v>
      </c>
      <c r="AN20">
        <v>112</v>
      </c>
      <c r="AO20" t="s">
        <v>5463</v>
      </c>
      <c r="AP20" t="s">
        <v>2502</v>
      </c>
    </row>
    <row r="21" spans="1:42" x14ac:dyDescent="0.25">
      <c r="A21">
        <v>20</v>
      </c>
      <c r="B21" t="s">
        <v>2351</v>
      </c>
      <c r="C21" t="s">
        <v>2351</v>
      </c>
      <c r="D21" t="s">
        <v>2352</v>
      </c>
      <c r="E21" t="s">
        <v>137</v>
      </c>
      <c r="F21" t="s">
        <v>138</v>
      </c>
      <c r="G21" t="s">
        <v>139</v>
      </c>
      <c r="H21" t="s">
        <v>140</v>
      </c>
      <c r="I21" t="s">
        <v>2353</v>
      </c>
      <c r="J21" t="s">
        <v>1981</v>
      </c>
      <c r="K21" t="s">
        <v>1982</v>
      </c>
      <c r="L21">
        <v>50.966216666666703</v>
      </c>
      <c r="M21" t="s">
        <v>4767</v>
      </c>
      <c r="N21" t="s">
        <v>4208</v>
      </c>
      <c r="O21" t="s">
        <v>2354</v>
      </c>
      <c r="P21" t="s">
        <v>2354</v>
      </c>
      <c r="Q21">
        <v>11</v>
      </c>
      <c r="R21" t="s">
        <v>2406</v>
      </c>
      <c r="S21" t="s">
        <v>2407</v>
      </c>
      <c r="T21">
        <v>1</v>
      </c>
      <c r="U21" t="s">
        <v>2430</v>
      </c>
      <c r="V21" t="s">
        <v>2431</v>
      </c>
      <c r="W21">
        <v>6</v>
      </c>
      <c r="X21" t="s">
        <v>2437</v>
      </c>
      <c r="Y21" t="s">
        <v>2438</v>
      </c>
      <c r="Z21">
        <v>1</v>
      </c>
      <c r="AA21" t="s">
        <v>2355</v>
      </c>
      <c r="AB21" t="s">
        <v>2356</v>
      </c>
      <c r="AE21" t="s">
        <v>2357</v>
      </c>
      <c r="AF21">
        <v>828.98255549694295</v>
      </c>
      <c r="AG21">
        <v>6.6993464052288001</v>
      </c>
      <c r="AH21">
        <v>152</v>
      </c>
      <c r="AI21">
        <v>16</v>
      </c>
      <c r="AJ21">
        <v>587.57248359500318</v>
      </c>
      <c r="AK21">
        <v>700.33464052288002</v>
      </c>
      <c r="AM21">
        <v>822.60147703300436</v>
      </c>
      <c r="AN21">
        <v>0</v>
      </c>
      <c r="AO21" t="s">
        <v>5464</v>
      </c>
      <c r="AP21" t="s">
        <v>2352</v>
      </c>
    </row>
    <row r="22" spans="1:42" x14ac:dyDescent="0.25">
      <c r="A22">
        <v>21</v>
      </c>
      <c r="B22" t="s">
        <v>858</v>
      </c>
      <c r="C22" t="s">
        <v>858</v>
      </c>
      <c r="D22" t="s">
        <v>859</v>
      </c>
      <c r="E22" t="s">
        <v>218</v>
      </c>
      <c r="F22" t="s">
        <v>219</v>
      </c>
      <c r="G22" t="s">
        <v>69</v>
      </c>
      <c r="H22" t="s">
        <v>70</v>
      </c>
      <c r="I22" t="s">
        <v>860</v>
      </c>
      <c r="J22" t="s">
        <v>408</v>
      </c>
      <c r="K22" t="s">
        <v>409</v>
      </c>
      <c r="L22">
        <v>41.215000000000003</v>
      </c>
      <c r="M22">
        <v>-4.5255559999999999</v>
      </c>
      <c r="N22" t="s">
        <v>4203</v>
      </c>
      <c r="O22" t="s">
        <v>861</v>
      </c>
      <c r="P22" t="s">
        <v>861</v>
      </c>
      <c r="Q22">
        <v>14</v>
      </c>
      <c r="R22" t="s">
        <v>2406</v>
      </c>
      <c r="S22" t="s">
        <v>2407</v>
      </c>
      <c r="T22">
        <v>1</v>
      </c>
      <c r="U22" t="s">
        <v>2430</v>
      </c>
      <c r="V22" t="s">
        <v>2431</v>
      </c>
      <c r="W22">
        <v>6</v>
      </c>
      <c r="X22" t="s">
        <v>2437</v>
      </c>
      <c r="Y22" t="s">
        <v>2438</v>
      </c>
      <c r="Z22">
        <v>1</v>
      </c>
      <c r="AA22" t="s">
        <v>73</v>
      </c>
      <c r="AB22" t="s">
        <v>73</v>
      </c>
      <c r="AE22" t="s">
        <v>862</v>
      </c>
      <c r="AF22">
        <v>825.73251965817087</v>
      </c>
      <c r="AG22">
        <v>8.3802816901407997</v>
      </c>
      <c r="AH22">
        <v>283</v>
      </c>
      <c r="AI22">
        <v>24</v>
      </c>
      <c r="AJ22">
        <v>476.02048350125654</v>
      </c>
      <c r="AK22">
        <v>894.62816901407996</v>
      </c>
      <c r="AM22">
        <v>610.4286769017591</v>
      </c>
      <c r="AN22">
        <v>224</v>
      </c>
      <c r="AO22" t="s">
        <v>5465</v>
      </c>
      <c r="AP22" t="s">
        <v>859</v>
      </c>
    </row>
    <row r="23" spans="1:42" x14ac:dyDescent="0.25">
      <c r="A23">
        <v>22</v>
      </c>
      <c r="B23" t="s">
        <v>713</v>
      </c>
      <c r="C23" t="s">
        <v>713</v>
      </c>
      <c r="D23" t="s">
        <v>714</v>
      </c>
      <c r="E23" t="s">
        <v>161</v>
      </c>
      <c r="F23" t="s">
        <v>161</v>
      </c>
      <c r="G23" t="s">
        <v>3167</v>
      </c>
      <c r="H23" t="s">
        <v>3166</v>
      </c>
      <c r="I23" t="s">
        <v>715</v>
      </c>
      <c r="J23" t="s">
        <v>716</v>
      </c>
      <c r="K23" t="s">
        <v>717</v>
      </c>
      <c r="L23">
        <v>51.576163000000001</v>
      </c>
      <c r="M23">
        <v>-3.2201960000000001</v>
      </c>
      <c r="O23" t="s">
        <v>718</v>
      </c>
      <c r="P23" t="s">
        <v>718</v>
      </c>
      <c r="Q23">
        <v>13</v>
      </c>
      <c r="R23" t="s">
        <v>2414</v>
      </c>
      <c r="S23" t="s">
        <v>2415</v>
      </c>
      <c r="T23">
        <v>3</v>
      </c>
      <c r="U23" t="s">
        <v>3137</v>
      </c>
      <c r="V23" t="s">
        <v>3136</v>
      </c>
      <c r="W23">
        <v>5</v>
      </c>
      <c r="X23" t="s">
        <v>2443</v>
      </c>
      <c r="Y23" t="s">
        <v>2444</v>
      </c>
      <c r="Z23">
        <v>3</v>
      </c>
      <c r="AA23" t="s">
        <v>73</v>
      </c>
      <c r="AB23" t="s">
        <v>73</v>
      </c>
      <c r="AE23" t="s">
        <v>719</v>
      </c>
      <c r="AF23">
        <v>810.24356107151914</v>
      </c>
      <c r="AG23">
        <v>7.2244897959183998</v>
      </c>
      <c r="AH23">
        <v>195</v>
      </c>
      <c r="AI23">
        <v>19</v>
      </c>
      <c r="AJ23">
        <v>532.79896808399906</v>
      </c>
      <c r="AK23">
        <v>761.44897959183993</v>
      </c>
      <c r="AM23">
        <v>745.91855531759859</v>
      </c>
      <c r="AN23">
        <v>0</v>
      </c>
      <c r="AO23" t="s">
        <v>5466</v>
      </c>
      <c r="AP23" t="s">
        <v>714</v>
      </c>
    </row>
    <row r="24" spans="1:42" x14ac:dyDescent="0.25">
      <c r="A24">
        <v>23</v>
      </c>
      <c r="B24" t="s">
        <v>1437</v>
      </c>
      <c r="C24" t="s">
        <v>1437</v>
      </c>
      <c r="D24" t="s">
        <v>2501</v>
      </c>
      <c r="E24" t="s">
        <v>300</v>
      </c>
      <c r="F24" t="s">
        <v>301</v>
      </c>
      <c r="G24" t="s">
        <v>151</v>
      </c>
      <c r="H24" t="s">
        <v>152</v>
      </c>
      <c r="I24" t="s">
        <v>3252</v>
      </c>
      <c r="J24" t="s">
        <v>3251</v>
      </c>
      <c r="K24" t="s">
        <v>3253</v>
      </c>
      <c r="L24">
        <v>56.657960549899997</v>
      </c>
      <c r="M24">
        <v>16.355564360399999</v>
      </c>
      <c r="N24" t="s">
        <v>4245</v>
      </c>
      <c r="O24" t="s">
        <v>3249</v>
      </c>
      <c r="P24" t="s">
        <v>3250</v>
      </c>
      <c r="Q24">
        <v>12</v>
      </c>
      <c r="R24" t="s">
        <v>2417</v>
      </c>
      <c r="S24" t="s">
        <v>2418</v>
      </c>
      <c r="T24">
        <v>4</v>
      </c>
      <c r="U24" t="s">
        <v>3137</v>
      </c>
      <c r="V24" t="s">
        <v>3136</v>
      </c>
      <c r="W24">
        <v>5</v>
      </c>
      <c r="X24" t="s">
        <v>2437</v>
      </c>
      <c r="Y24" t="s">
        <v>2438</v>
      </c>
      <c r="Z24">
        <v>1</v>
      </c>
      <c r="AA24" t="s">
        <v>73</v>
      </c>
      <c r="AB24" t="s">
        <v>73</v>
      </c>
      <c r="AC24" t="s">
        <v>3263</v>
      </c>
      <c r="AD24" t="s">
        <v>3264</v>
      </c>
      <c r="AE24" t="s">
        <v>2705</v>
      </c>
      <c r="AF24">
        <v>804.17288196567631</v>
      </c>
      <c r="AG24">
        <v>7.3875968992247998</v>
      </c>
      <c r="AH24">
        <v>128</v>
      </c>
      <c r="AI24">
        <v>20</v>
      </c>
      <c r="AJ24">
        <v>524.436707782707</v>
      </c>
      <c r="AK24">
        <v>764.35968992248002</v>
      </c>
      <c r="AM24">
        <v>622.2113908957898</v>
      </c>
      <c r="AN24">
        <v>448</v>
      </c>
      <c r="AO24" t="s">
        <v>5467</v>
      </c>
      <c r="AP24" t="s">
        <v>2501</v>
      </c>
    </row>
    <row r="25" spans="1:42" x14ac:dyDescent="0.25">
      <c r="A25">
        <v>24</v>
      </c>
      <c r="B25" t="s">
        <v>1699</v>
      </c>
      <c r="C25" t="s">
        <v>1699</v>
      </c>
      <c r="D25" t="s">
        <v>1700</v>
      </c>
      <c r="E25" t="s">
        <v>255</v>
      </c>
      <c r="F25" t="s">
        <v>256</v>
      </c>
      <c r="G25" t="s">
        <v>257</v>
      </c>
      <c r="H25" t="s">
        <v>258</v>
      </c>
      <c r="I25" t="s">
        <v>1701</v>
      </c>
      <c r="J25" t="s">
        <v>382</v>
      </c>
      <c r="K25" t="s">
        <v>383</v>
      </c>
      <c r="L25">
        <v>52.3342305555556</v>
      </c>
      <c r="M25">
        <v>5.0718055555555601</v>
      </c>
      <c r="N25" t="s">
        <v>4205</v>
      </c>
      <c r="O25" t="s">
        <v>2580</v>
      </c>
      <c r="P25" t="s">
        <v>2581</v>
      </c>
      <c r="Q25">
        <v>13</v>
      </c>
      <c r="R25" t="s">
        <v>2414</v>
      </c>
      <c r="S25" t="s">
        <v>2415</v>
      </c>
      <c r="T25">
        <v>3</v>
      </c>
      <c r="U25" t="s">
        <v>3137</v>
      </c>
      <c r="V25" t="s">
        <v>3136</v>
      </c>
      <c r="W25">
        <v>5</v>
      </c>
      <c r="X25" t="s">
        <v>2440</v>
      </c>
      <c r="Y25" t="s">
        <v>2441</v>
      </c>
      <c r="Z25">
        <v>2</v>
      </c>
      <c r="AA25" t="s">
        <v>1702</v>
      </c>
      <c r="AB25" t="s">
        <v>1702</v>
      </c>
      <c r="AC25" t="s">
        <v>1703</v>
      </c>
      <c r="AD25" t="s">
        <v>1703</v>
      </c>
      <c r="AE25" t="s">
        <v>1704</v>
      </c>
      <c r="AF25">
        <v>791.05967824499226</v>
      </c>
      <c r="AG25">
        <v>8.1552447552447997</v>
      </c>
      <c r="AH25">
        <v>714</v>
      </c>
      <c r="AI25">
        <v>43</v>
      </c>
      <c r="AJ25">
        <v>402.10826720305812</v>
      </c>
      <c r="AK25">
        <v>958.32447552448002</v>
      </c>
      <c r="AL25">
        <v>2008</v>
      </c>
      <c r="AM25">
        <v>562.95157408428133</v>
      </c>
      <c r="AN25">
        <v>0</v>
      </c>
      <c r="AO25" t="s">
        <v>5468</v>
      </c>
      <c r="AP25" t="s">
        <v>1700</v>
      </c>
    </row>
    <row r="26" spans="1:42" x14ac:dyDescent="0.25">
      <c r="A26">
        <v>25</v>
      </c>
      <c r="B26" t="s">
        <v>2900</v>
      </c>
      <c r="C26" t="s">
        <v>4115</v>
      </c>
      <c r="D26" t="s">
        <v>3006</v>
      </c>
      <c r="E26" t="s">
        <v>199</v>
      </c>
      <c r="F26" t="s">
        <v>200</v>
      </c>
      <c r="G26" t="s">
        <v>139</v>
      </c>
      <c r="H26" t="s">
        <v>140</v>
      </c>
      <c r="I26" t="s">
        <v>1331</v>
      </c>
      <c r="J26" t="s">
        <v>326</v>
      </c>
      <c r="K26" t="s">
        <v>327</v>
      </c>
      <c r="L26">
        <v>48.2494825789</v>
      </c>
      <c r="M26">
        <v>7.34531410607</v>
      </c>
      <c r="N26" t="s">
        <v>4244</v>
      </c>
      <c r="Q26">
        <v>12</v>
      </c>
      <c r="R26" t="s">
        <v>2409</v>
      </c>
      <c r="S26" t="s">
        <v>2410</v>
      </c>
      <c r="T26">
        <v>2</v>
      </c>
      <c r="U26" t="s">
        <v>2430</v>
      </c>
      <c r="V26" t="s">
        <v>2431</v>
      </c>
      <c r="W26">
        <v>6</v>
      </c>
      <c r="X26" t="s">
        <v>2440</v>
      </c>
      <c r="Y26" t="s">
        <v>2441</v>
      </c>
      <c r="Z26">
        <v>2</v>
      </c>
      <c r="AE26" t="s">
        <v>5311</v>
      </c>
      <c r="AF26">
        <v>781.00945156204557</v>
      </c>
      <c r="AG26">
        <v>7.6754098360656</v>
      </c>
      <c r="AH26">
        <v>304</v>
      </c>
      <c r="AI26">
        <v>28</v>
      </c>
      <c r="AJ26">
        <v>463.1543997319618</v>
      </c>
      <c r="AK26">
        <v>828.34098360655992</v>
      </c>
      <c r="AL26">
        <v>2002</v>
      </c>
      <c r="AM26">
        <v>648.41615962474646</v>
      </c>
      <c r="AN26">
        <v>0</v>
      </c>
      <c r="AO26" t="s">
        <v>5469</v>
      </c>
      <c r="AP26" t="s">
        <v>3006</v>
      </c>
    </row>
    <row r="27" spans="1:42" x14ac:dyDescent="0.25">
      <c r="A27">
        <v>26</v>
      </c>
      <c r="B27" t="s">
        <v>2385</v>
      </c>
      <c r="C27" t="s">
        <v>2385</v>
      </c>
      <c r="D27" t="s">
        <v>2386</v>
      </c>
      <c r="E27" t="s">
        <v>282</v>
      </c>
      <c r="F27" t="s">
        <v>283</v>
      </c>
      <c r="G27" t="s">
        <v>3167</v>
      </c>
      <c r="H27" t="s">
        <v>3166</v>
      </c>
      <c r="I27" t="s">
        <v>2387</v>
      </c>
      <c r="J27" t="s">
        <v>368</v>
      </c>
      <c r="K27" t="s">
        <v>369</v>
      </c>
      <c r="L27">
        <v>51.483888888888899</v>
      </c>
      <c r="M27">
        <v>-0.60437777777778001</v>
      </c>
      <c r="N27" t="s">
        <v>4209</v>
      </c>
      <c r="O27" t="s">
        <v>2388</v>
      </c>
      <c r="P27" t="s">
        <v>2389</v>
      </c>
      <c r="Q27">
        <v>11</v>
      </c>
      <c r="R27" t="s">
        <v>2406</v>
      </c>
      <c r="S27" t="s">
        <v>2407</v>
      </c>
      <c r="T27">
        <v>1</v>
      </c>
      <c r="U27" t="s">
        <v>2426</v>
      </c>
      <c r="V27" t="s">
        <v>2427</v>
      </c>
      <c r="W27">
        <v>2</v>
      </c>
      <c r="X27" t="s">
        <v>2437</v>
      </c>
      <c r="Y27" t="s">
        <v>2438</v>
      </c>
      <c r="Z27">
        <v>1</v>
      </c>
      <c r="AA27" t="s">
        <v>73</v>
      </c>
      <c r="AB27" t="s">
        <v>73</v>
      </c>
      <c r="AE27" t="s">
        <v>2700</v>
      </c>
      <c r="AF27">
        <v>776.67540590855492</v>
      </c>
      <c r="AG27">
        <v>7.3782608695652003</v>
      </c>
      <c r="AH27">
        <v>229</v>
      </c>
      <c r="AI27">
        <v>23</v>
      </c>
      <c r="AJ27">
        <v>483.18040270032776</v>
      </c>
      <c r="AK27">
        <v>783.62608695652</v>
      </c>
      <c r="AL27">
        <v>2009</v>
      </c>
      <c r="AM27">
        <v>620.45256378045883</v>
      </c>
      <c r="AN27">
        <v>224</v>
      </c>
      <c r="AO27" t="s">
        <v>5470</v>
      </c>
      <c r="AP27" t="s">
        <v>2386</v>
      </c>
    </row>
    <row r="28" spans="1:42" x14ac:dyDescent="0.25">
      <c r="A28">
        <v>27</v>
      </c>
      <c r="B28" t="s">
        <v>1388</v>
      </c>
      <c r="C28" t="s">
        <v>1388</v>
      </c>
      <c r="D28" t="s">
        <v>2487</v>
      </c>
      <c r="E28" t="s">
        <v>183</v>
      </c>
      <c r="F28" t="s">
        <v>184</v>
      </c>
      <c r="G28" t="s">
        <v>158</v>
      </c>
      <c r="H28" t="s">
        <v>159</v>
      </c>
      <c r="I28" t="s">
        <v>337</v>
      </c>
      <c r="J28" t="s">
        <v>337</v>
      </c>
      <c r="K28" t="s">
        <v>338</v>
      </c>
      <c r="L28">
        <v>47.794967</v>
      </c>
      <c r="M28">
        <v>13.047256000000001</v>
      </c>
      <c r="N28" t="s">
        <v>4192</v>
      </c>
      <c r="O28" t="s">
        <v>2570</v>
      </c>
      <c r="P28" t="s">
        <v>2570</v>
      </c>
      <c r="Q28">
        <v>11</v>
      </c>
      <c r="R28" t="s">
        <v>2409</v>
      </c>
      <c r="S28" t="s">
        <v>2410</v>
      </c>
      <c r="T28">
        <v>2</v>
      </c>
      <c r="U28" t="s">
        <v>3137</v>
      </c>
      <c r="V28" t="s">
        <v>3136</v>
      </c>
      <c r="W28">
        <v>5</v>
      </c>
      <c r="X28" t="s">
        <v>2437</v>
      </c>
      <c r="Y28" t="s">
        <v>2438</v>
      </c>
      <c r="Z28">
        <v>1</v>
      </c>
      <c r="AA28" t="s">
        <v>73</v>
      </c>
      <c r="AB28" t="s">
        <v>73</v>
      </c>
      <c r="AC28" t="s">
        <v>1389</v>
      </c>
      <c r="AD28" t="s">
        <v>1389</v>
      </c>
      <c r="AE28" t="s">
        <v>1390</v>
      </c>
      <c r="AF28">
        <v>756.02548906640823</v>
      </c>
      <c r="AG28">
        <v>7.8536585365854004</v>
      </c>
      <c r="AH28">
        <v>286</v>
      </c>
      <c r="AI28">
        <v>37</v>
      </c>
      <c r="AJ28">
        <v>427.49173581904239</v>
      </c>
      <c r="AK28">
        <v>842.56585365854005</v>
      </c>
      <c r="AM28">
        <v>598.48843014665931</v>
      </c>
      <c r="AN28">
        <v>0</v>
      </c>
      <c r="AO28" t="s">
        <v>5471</v>
      </c>
      <c r="AP28" t="s">
        <v>2487</v>
      </c>
    </row>
    <row r="29" spans="1:42" x14ac:dyDescent="0.25">
      <c r="A29">
        <v>28</v>
      </c>
      <c r="B29" t="s">
        <v>2321</v>
      </c>
      <c r="C29" t="s">
        <v>3663</v>
      </c>
      <c r="D29" t="s">
        <v>3638</v>
      </c>
      <c r="E29" t="s">
        <v>666</v>
      </c>
      <c r="F29" t="s">
        <v>667</v>
      </c>
      <c r="G29" t="s">
        <v>60</v>
      </c>
      <c r="H29" t="s">
        <v>61</v>
      </c>
      <c r="I29" t="s">
        <v>3663</v>
      </c>
      <c r="J29" t="s">
        <v>3620</v>
      </c>
      <c r="K29" t="s">
        <v>3623</v>
      </c>
      <c r="L29" t="s">
        <v>4332</v>
      </c>
      <c r="M29" t="s">
        <v>4331</v>
      </c>
      <c r="N29" t="s">
        <v>4330</v>
      </c>
      <c r="R29" t="s">
        <v>2409</v>
      </c>
      <c r="S29" t="s">
        <v>2410</v>
      </c>
      <c r="T29">
        <v>2</v>
      </c>
      <c r="U29" t="s">
        <v>2432</v>
      </c>
      <c r="V29" t="s">
        <v>2433</v>
      </c>
      <c r="W29">
        <v>7</v>
      </c>
      <c r="X29" t="s">
        <v>2446</v>
      </c>
      <c r="Y29" t="s">
        <v>2447</v>
      </c>
      <c r="Z29">
        <v>4</v>
      </c>
      <c r="AA29" t="s">
        <v>73</v>
      </c>
      <c r="AB29" t="s">
        <v>73</v>
      </c>
      <c r="AE29" t="s">
        <v>2322</v>
      </c>
      <c r="AF29">
        <v>746.90348378060605</v>
      </c>
      <c r="AG29">
        <v>7.4097222222222001</v>
      </c>
      <c r="AH29">
        <v>143</v>
      </c>
      <c r="AI29">
        <v>29</v>
      </c>
      <c r="AJ29">
        <v>457.90819185499561</v>
      </c>
      <c r="AK29">
        <v>769.57222222222003</v>
      </c>
      <c r="AM29">
        <v>557.07146859699378</v>
      </c>
      <c r="AN29">
        <v>336</v>
      </c>
      <c r="AO29" t="s">
        <v>5472</v>
      </c>
      <c r="AP29" t="s">
        <v>3638</v>
      </c>
    </row>
    <row r="30" spans="1:42" x14ac:dyDescent="0.25">
      <c r="A30">
        <v>29</v>
      </c>
      <c r="B30" t="s">
        <v>2101</v>
      </c>
      <c r="C30" t="s">
        <v>4135</v>
      </c>
      <c r="D30" t="s">
        <v>3951</v>
      </c>
      <c r="E30" t="s">
        <v>954</v>
      </c>
      <c r="F30" t="s">
        <v>955</v>
      </c>
      <c r="G30" t="s">
        <v>632</v>
      </c>
      <c r="H30" t="s">
        <v>633</v>
      </c>
      <c r="I30" t="s">
        <v>2102</v>
      </c>
      <c r="J30" t="s">
        <v>2103</v>
      </c>
      <c r="K30" t="s">
        <v>2104</v>
      </c>
      <c r="L30" t="s">
        <v>4319</v>
      </c>
      <c r="M30" t="s">
        <v>4320</v>
      </c>
      <c r="N30" t="s">
        <v>4318</v>
      </c>
      <c r="O30" t="s">
        <v>2644</v>
      </c>
      <c r="P30" t="s">
        <v>2645</v>
      </c>
      <c r="Q30">
        <v>11</v>
      </c>
      <c r="R30" t="s">
        <v>2409</v>
      </c>
      <c r="S30" t="s">
        <v>2410</v>
      </c>
      <c r="T30">
        <v>2</v>
      </c>
      <c r="U30" t="s">
        <v>2430</v>
      </c>
      <c r="V30" t="s">
        <v>2431</v>
      </c>
      <c r="W30">
        <v>6</v>
      </c>
      <c r="X30" t="s">
        <v>2443</v>
      </c>
      <c r="Y30" t="s">
        <v>2444</v>
      </c>
      <c r="Z30">
        <v>3</v>
      </c>
      <c r="AA30" t="s">
        <v>73</v>
      </c>
      <c r="AB30" t="s">
        <v>73</v>
      </c>
      <c r="AC30" t="s">
        <v>2105</v>
      </c>
      <c r="AD30" t="s">
        <v>2105</v>
      </c>
      <c r="AE30" t="s">
        <v>2106</v>
      </c>
      <c r="AF30">
        <v>742.83823941094658</v>
      </c>
      <c r="AG30">
        <v>8.5752895752896006</v>
      </c>
      <c r="AH30">
        <v>517</v>
      </c>
      <c r="AI30">
        <v>71</v>
      </c>
      <c r="AJ30">
        <v>347.08195627385174</v>
      </c>
      <c r="AK30">
        <v>960.92895752896004</v>
      </c>
      <c r="AM30">
        <v>373.91473878339241</v>
      </c>
      <c r="AN30">
        <v>448</v>
      </c>
      <c r="AO30" t="s">
        <v>5473</v>
      </c>
      <c r="AP30" t="s">
        <v>3951</v>
      </c>
    </row>
    <row r="31" spans="1:42" x14ac:dyDescent="0.25">
      <c r="A31">
        <v>30</v>
      </c>
      <c r="B31" t="s">
        <v>400</v>
      </c>
      <c r="C31" t="s">
        <v>400</v>
      </c>
      <c r="D31" t="s">
        <v>401</v>
      </c>
      <c r="E31" t="s">
        <v>199</v>
      </c>
      <c r="F31" t="s">
        <v>200</v>
      </c>
      <c r="I31" t="s">
        <v>402</v>
      </c>
      <c r="J31" t="s">
        <v>403</v>
      </c>
      <c r="K31" t="s">
        <v>404</v>
      </c>
      <c r="L31">
        <v>43.950602552200003</v>
      </c>
      <c r="M31">
        <v>4.8073914444500003</v>
      </c>
      <c r="O31" t="s">
        <v>405</v>
      </c>
      <c r="P31" t="s">
        <v>405</v>
      </c>
      <c r="Q31">
        <v>13</v>
      </c>
      <c r="R31" t="s">
        <v>2420</v>
      </c>
      <c r="S31" t="s">
        <v>2421</v>
      </c>
      <c r="T31">
        <v>5</v>
      </c>
      <c r="U31" t="s">
        <v>3137</v>
      </c>
      <c r="V31" t="s">
        <v>3136</v>
      </c>
      <c r="W31">
        <v>5</v>
      </c>
      <c r="X31" t="s">
        <v>2437</v>
      </c>
      <c r="Y31" t="s">
        <v>2438</v>
      </c>
      <c r="Z31">
        <v>1</v>
      </c>
      <c r="AA31" t="s">
        <v>73</v>
      </c>
      <c r="AB31" t="s">
        <v>73</v>
      </c>
      <c r="AC31" t="s">
        <v>406</v>
      </c>
      <c r="AD31" t="s">
        <v>406</v>
      </c>
      <c r="AE31" t="s">
        <v>407</v>
      </c>
      <c r="AF31">
        <v>731.82065348401443</v>
      </c>
      <c r="AG31">
        <v>7.4484848484848003</v>
      </c>
      <c r="AH31">
        <v>164</v>
      </c>
      <c r="AI31">
        <v>34</v>
      </c>
      <c r="AJ31">
        <v>436.66267895530495</v>
      </c>
      <c r="AK31">
        <v>777.64848484847994</v>
      </c>
      <c r="AL31">
        <v>2011</v>
      </c>
      <c r="AM31">
        <v>611.32775053742694</v>
      </c>
      <c r="AN31">
        <v>0</v>
      </c>
      <c r="AO31" t="s">
        <v>5474</v>
      </c>
      <c r="AP31" t="s">
        <v>401</v>
      </c>
    </row>
    <row r="32" spans="1:42" x14ac:dyDescent="0.25">
      <c r="A32">
        <v>31</v>
      </c>
      <c r="B32" t="s">
        <v>628</v>
      </c>
      <c r="C32" t="s">
        <v>628</v>
      </c>
      <c r="D32" t="s">
        <v>629</v>
      </c>
      <c r="E32" t="s">
        <v>630</v>
      </c>
      <c r="F32" t="s">
        <v>631</v>
      </c>
      <c r="G32" t="s">
        <v>60</v>
      </c>
      <c r="H32" t="s">
        <v>61</v>
      </c>
      <c r="I32" t="s">
        <v>634</v>
      </c>
      <c r="J32" t="s">
        <v>3036</v>
      </c>
      <c r="K32" t="s">
        <v>3353</v>
      </c>
      <c r="L32" t="s">
        <v>4388</v>
      </c>
      <c r="M32" t="s">
        <v>4389</v>
      </c>
      <c r="O32" t="s">
        <v>635</v>
      </c>
      <c r="P32" t="s">
        <v>636</v>
      </c>
      <c r="Q32">
        <v>14</v>
      </c>
      <c r="R32" t="s">
        <v>2406</v>
      </c>
      <c r="S32" t="s">
        <v>2407</v>
      </c>
      <c r="T32">
        <v>1</v>
      </c>
      <c r="U32" t="s">
        <v>2432</v>
      </c>
      <c r="V32" t="s">
        <v>2433</v>
      </c>
      <c r="W32">
        <v>7</v>
      </c>
      <c r="X32" t="s">
        <v>2437</v>
      </c>
      <c r="Y32" t="s">
        <v>2438</v>
      </c>
      <c r="Z32">
        <v>1</v>
      </c>
      <c r="AA32" t="s">
        <v>637</v>
      </c>
      <c r="AB32" t="s">
        <v>637</v>
      </c>
      <c r="AE32" t="s">
        <v>4390</v>
      </c>
      <c r="AF32">
        <v>727.81141396178964</v>
      </c>
      <c r="AG32">
        <v>8.4472573839661997</v>
      </c>
      <c r="AH32">
        <v>236</v>
      </c>
      <c r="AI32">
        <v>57</v>
      </c>
      <c r="AJ32">
        <v>368.72060529275507</v>
      </c>
      <c r="AK32">
        <v>891.92573839661998</v>
      </c>
      <c r="AM32">
        <v>404.20884740985707</v>
      </c>
      <c r="AN32">
        <v>448</v>
      </c>
      <c r="AO32" t="s">
        <v>5475</v>
      </c>
      <c r="AP32" t="s">
        <v>629</v>
      </c>
    </row>
    <row r="33" spans="1:42" x14ac:dyDescent="0.25">
      <c r="A33">
        <v>32</v>
      </c>
      <c r="B33" t="s">
        <v>2976</v>
      </c>
      <c r="C33" t="s">
        <v>4113</v>
      </c>
      <c r="D33" t="s">
        <v>2978</v>
      </c>
      <c r="E33" t="s">
        <v>318</v>
      </c>
      <c r="F33" t="s">
        <v>319</v>
      </c>
      <c r="G33" t="s">
        <v>75</v>
      </c>
      <c r="H33" t="s">
        <v>76</v>
      </c>
      <c r="I33" t="s">
        <v>1975</v>
      </c>
      <c r="L33" t="s">
        <v>4383</v>
      </c>
      <c r="M33" t="s">
        <v>4384</v>
      </c>
      <c r="O33" t="s">
        <v>322</v>
      </c>
      <c r="P33" t="s">
        <v>322</v>
      </c>
      <c r="Q33">
        <v>12</v>
      </c>
      <c r="R33" t="s">
        <v>2406</v>
      </c>
      <c r="S33" t="s">
        <v>2407</v>
      </c>
      <c r="T33">
        <v>1</v>
      </c>
      <c r="U33" t="s">
        <v>2432</v>
      </c>
      <c r="V33" t="s">
        <v>2433</v>
      </c>
      <c r="W33">
        <v>7</v>
      </c>
      <c r="X33" t="s">
        <v>2443</v>
      </c>
      <c r="Y33" t="s">
        <v>2444</v>
      </c>
      <c r="Z33">
        <v>3</v>
      </c>
      <c r="AA33" t="s">
        <v>1976</v>
      </c>
      <c r="AB33" t="s">
        <v>1976</v>
      </c>
      <c r="AC33" t="s">
        <v>1977</v>
      </c>
      <c r="AD33" t="s">
        <v>1977</v>
      </c>
      <c r="AF33">
        <v>726.49641872796269</v>
      </c>
      <c r="AG33">
        <v>7.5045871559632999</v>
      </c>
      <c r="AH33">
        <v>108</v>
      </c>
      <c r="AI33">
        <v>36</v>
      </c>
      <c r="AJ33">
        <v>433.85228992199734</v>
      </c>
      <c r="AK33">
        <v>772.05871559632999</v>
      </c>
      <c r="AM33">
        <v>523.39320589079625</v>
      </c>
      <c r="AN33">
        <v>336</v>
      </c>
      <c r="AO33" t="s">
        <v>5476</v>
      </c>
      <c r="AP33" t="s">
        <v>2978</v>
      </c>
    </row>
    <row r="34" spans="1:42" x14ac:dyDescent="0.25">
      <c r="A34">
        <v>33</v>
      </c>
      <c r="B34" t="s">
        <v>2019</v>
      </c>
      <c r="C34" t="s">
        <v>2019</v>
      </c>
      <c r="D34" t="s">
        <v>2020</v>
      </c>
      <c r="E34" t="s">
        <v>199</v>
      </c>
      <c r="F34" t="s">
        <v>200</v>
      </c>
      <c r="I34" t="s">
        <v>2021</v>
      </c>
      <c r="J34" t="s">
        <v>3164</v>
      </c>
      <c r="K34" t="s">
        <v>309</v>
      </c>
      <c r="L34">
        <v>47.257130908400001</v>
      </c>
      <c r="M34">
        <v>-7.2816090617099996E-2</v>
      </c>
      <c r="O34" t="s">
        <v>2634</v>
      </c>
      <c r="P34" t="s">
        <v>2635</v>
      </c>
      <c r="Q34">
        <v>14</v>
      </c>
      <c r="R34" t="s">
        <v>2409</v>
      </c>
      <c r="S34" t="s">
        <v>2410</v>
      </c>
      <c r="T34">
        <v>2</v>
      </c>
      <c r="U34" t="s">
        <v>3137</v>
      </c>
      <c r="V34" t="s">
        <v>3136</v>
      </c>
      <c r="W34">
        <v>5</v>
      </c>
      <c r="X34" t="s">
        <v>2440</v>
      </c>
      <c r="Y34" t="s">
        <v>2441</v>
      </c>
      <c r="Z34">
        <v>2</v>
      </c>
      <c r="AA34" t="s">
        <v>2022</v>
      </c>
      <c r="AB34" t="s">
        <v>2023</v>
      </c>
      <c r="AC34" t="s">
        <v>2024</v>
      </c>
      <c r="AD34" t="s">
        <v>2024</v>
      </c>
      <c r="AE34" t="s">
        <v>2025</v>
      </c>
      <c r="AF34">
        <v>725.76465188319617</v>
      </c>
      <c r="AG34">
        <v>8.0590163934425991</v>
      </c>
      <c r="AH34">
        <v>304</v>
      </c>
      <c r="AI34">
        <v>51</v>
      </c>
      <c r="AJ34">
        <v>380.45981356785143</v>
      </c>
      <c r="AK34">
        <v>866.70163934425989</v>
      </c>
      <c r="AL34">
        <v>2005</v>
      </c>
      <c r="AM34">
        <v>532.64373899499196</v>
      </c>
      <c r="AN34">
        <v>0</v>
      </c>
      <c r="AO34" t="s">
        <v>5477</v>
      </c>
      <c r="AP34" t="s">
        <v>2020</v>
      </c>
    </row>
    <row r="35" spans="1:42" x14ac:dyDescent="0.25">
      <c r="A35">
        <v>34</v>
      </c>
      <c r="B35" t="s">
        <v>1948</v>
      </c>
      <c r="C35" t="s">
        <v>1948</v>
      </c>
      <c r="D35" t="s">
        <v>1949</v>
      </c>
      <c r="E35" t="s">
        <v>282</v>
      </c>
      <c r="F35" t="s">
        <v>283</v>
      </c>
      <c r="G35" t="s">
        <v>3167</v>
      </c>
      <c r="H35" t="s">
        <v>3166</v>
      </c>
      <c r="I35" t="s">
        <v>1950</v>
      </c>
      <c r="J35" t="s">
        <v>368</v>
      </c>
      <c r="K35" t="s">
        <v>369</v>
      </c>
      <c r="L35">
        <v>51.3893539309</v>
      </c>
      <c r="M35" t="s">
        <v>4273</v>
      </c>
      <c r="N35" t="s">
        <v>4241</v>
      </c>
      <c r="O35" t="s">
        <v>2623</v>
      </c>
      <c r="P35" t="s">
        <v>2624</v>
      </c>
      <c r="Q35">
        <v>12</v>
      </c>
      <c r="R35" t="s">
        <v>2417</v>
      </c>
      <c r="S35" t="s">
        <v>2418</v>
      </c>
      <c r="T35">
        <v>4</v>
      </c>
      <c r="U35" t="s">
        <v>2430</v>
      </c>
      <c r="V35" t="s">
        <v>2431</v>
      </c>
      <c r="W35">
        <v>6</v>
      </c>
      <c r="X35" t="s">
        <v>2443</v>
      </c>
      <c r="Y35" t="s">
        <v>2444</v>
      </c>
      <c r="Z35">
        <v>3</v>
      </c>
      <c r="AA35" t="s">
        <v>73</v>
      </c>
      <c r="AB35" t="s">
        <v>73</v>
      </c>
      <c r="AE35" t="s">
        <v>1951</v>
      </c>
      <c r="AF35">
        <v>724.3035656271677</v>
      </c>
      <c r="AG35">
        <v>6.7243589743590002</v>
      </c>
      <c r="AH35">
        <v>155</v>
      </c>
      <c r="AI35">
        <v>26</v>
      </c>
      <c r="AJ35">
        <v>469.53957434357517</v>
      </c>
      <c r="AK35">
        <v>703.43589743590007</v>
      </c>
      <c r="AL35">
        <v>2009</v>
      </c>
      <c r="AM35">
        <v>601.35540408100519</v>
      </c>
      <c r="AN35">
        <v>224</v>
      </c>
      <c r="AO35" t="s">
        <v>5478</v>
      </c>
      <c r="AP35" t="s">
        <v>1949</v>
      </c>
    </row>
    <row r="36" spans="1:42" x14ac:dyDescent="0.25">
      <c r="A36">
        <v>35</v>
      </c>
      <c r="B36" t="s">
        <v>1559</v>
      </c>
      <c r="C36" t="s">
        <v>1559</v>
      </c>
      <c r="D36" t="s">
        <v>2541</v>
      </c>
      <c r="E36" t="s">
        <v>199</v>
      </c>
      <c r="F36" t="s">
        <v>200</v>
      </c>
      <c r="I36" t="s">
        <v>1560</v>
      </c>
      <c r="J36" t="s">
        <v>411</v>
      </c>
      <c r="K36" t="s">
        <v>412</v>
      </c>
      <c r="L36">
        <v>47.126111111111101</v>
      </c>
      <c r="M36">
        <v>0.99805555555556003</v>
      </c>
      <c r="N36" t="s">
        <v>4207</v>
      </c>
      <c r="O36" t="s">
        <v>1561</v>
      </c>
      <c r="P36" t="s">
        <v>1562</v>
      </c>
      <c r="Q36">
        <v>11</v>
      </c>
      <c r="R36" t="s">
        <v>2409</v>
      </c>
      <c r="S36" t="s">
        <v>2410</v>
      </c>
      <c r="T36">
        <v>2</v>
      </c>
      <c r="U36" t="s">
        <v>2430</v>
      </c>
      <c r="V36" t="s">
        <v>2431</v>
      </c>
      <c r="W36">
        <v>6</v>
      </c>
      <c r="X36" t="s">
        <v>2443</v>
      </c>
      <c r="Y36" t="s">
        <v>2444</v>
      </c>
      <c r="Z36">
        <v>3</v>
      </c>
      <c r="AA36" t="s">
        <v>73</v>
      </c>
      <c r="AB36" t="s">
        <v>73</v>
      </c>
      <c r="AE36" t="s">
        <v>1563</v>
      </c>
      <c r="AF36">
        <v>722.33320024891736</v>
      </c>
      <c r="AG36">
        <v>6.5957446808510998</v>
      </c>
      <c r="AH36">
        <v>187</v>
      </c>
      <c r="AI36">
        <v>25</v>
      </c>
      <c r="AJ36">
        <v>470.93996245151379</v>
      </c>
      <c r="AK36">
        <v>696.97446808510995</v>
      </c>
      <c r="AL36">
        <v>2005</v>
      </c>
      <c r="AM36">
        <v>659.31594743211929</v>
      </c>
      <c r="AN36">
        <v>0</v>
      </c>
      <c r="AO36" t="s">
        <v>5479</v>
      </c>
      <c r="AP36" t="s">
        <v>2541</v>
      </c>
    </row>
    <row r="37" spans="1:42" x14ac:dyDescent="0.25">
      <c r="A37">
        <v>36</v>
      </c>
      <c r="B37" t="s">
        <v>904</v>
      </c>
      <c r="C37" t="s">
        <v>904</v>
      </c>
      <c r="D37" t="s">
        <v>905</v>
      </c>
      <c r="E37" t="s">
        <v>199</v>
      </c>
      <c r="F37" t="s">
        <v>200</v>
      </c>
      <c r="I37" t="s">
        <v>905</v>
      </c>
      <c r="J37" t="s">
        <v>303</v>
      </c>
      <c r="K37" t="s">
        <v>304</v>
      </c>
      <c r="L37">
        <v>49.521231294300001</v>
      </c>
      <c r="M37">
        <v>3.31870299247</v>
      </c>
      <c r="O37" t="s">
        <v>906</v>
      </c>
      <c r="P37" t="s">
        <v>907</v>
      </c>
      <c r="Q37">
        <v>13</v>
      </c>
      <c r="R37" t="s">
        <v>2406</v>
      </c>
      <c r="S37" t="s">
        <v>2407</v>
      </c>
      <c r="T37">
        <v>1</v>
      </c>
      <c r="U37" t="s">
        <v>2432</v>
      </c>
      <c r="V37" t="s">
        <v>2433</v>
      </c>
      <c r="W37">
        <v>7</v>
      </c>
      <c r="X37" t="s">
        <v>2446</v>
      </c>
      <c r="Y37" t="s">
        <v>2447</v>
      </c>
      <c r="Z37">
        <v>4</v>
      </c>
      <c r="AA37" t="s">
        <v>908</v>
      </c>
      <c r="AB37" t="s">
        <v>909</v>
      </c>
      <c r="AC37" t="s">
        <v>910</v>
      </c>
      <c r="AE37" t="s">
        <v>911</v>
      </c>
      <c r="AF37">
        <v>715.03284485714755</v>
      </c>
      <c r="AG37">
        <v>6.8415841584157997</v>
      </c>
      <c r="AH37">
        <v>201</v>
      </c>
      <c r="AI37">
        <v>31</v>
      </c>
      <c r="AJ37">
        <v>447.61515215150837</v>
      </c>
      <c r="AK37">
        <v>724.35841584158004</v>
      </c>
      <c r="AL37">
        <v>2005</v>
      </c>
      <c r="AM37">
        <v>626.66121301211172</v>
      </c>
      <c r="AN37">
        <v>0</v>
      </c>
      <c r="AO37" t="s">
        <v>5480</v>
      </c>
      <c r="AP37" t="s">
        <v>905</v>
      </c>
    </row>
    <row r="38" spans="1:42" x14ac:dyDescent="0.25">
      <c r="A38">
        <v>37</v>
      </c>
      <c r="B38" t="s">
        <v>2238</v>
      </c>
      <c r="C38" t="s">
        <v>2238</v>
      </c>
      <c r="D38" t="s">
        <v>2239</v>
      </c>
      <c r="E38" t="s">
        <v>3169</v>
      </c>
      <c r="F38" t="s">
        <v>379</v>
      </c>
      <c r="G38" t="s">
        <v>162</v>
      </c>
      <c r="H38" t="s">
        <v>163</v>
      </c>
      <c r="J38" t="s">
        <v>2240</v>
      </c>
      <c r="K38" t="s">
        <v>2241</v>
      </c>
      <c r="L38" t="s">
        <v>4337</v>
      </c>
      <c r="M38" t="s">
        <v>4338</v>
      </c>
      <c r="N38" t="s">
        <v>4336</v>
      </c>
      <c r="O38" t="s">
        <v>2242</v>
      </c>
      <c r="P38" t="s">
        <v>2242</v>
      </c>
      <c r="Q38">
        <v>12</v>
      </c>
      <c r="R38" t="s">
        <v>2414</v>
      </c>
      <c r="S38" t="s">
        <v>2415</v>
      </c>
      <c r="T38">
        <v>3</v>
      </c>
      <c r="U38" t="s">
        <v>2430</v>
      </c>
      <c r="V38" t="s">
        <v>2431</v>
      </c>
      <c r="W38">
        <v>6</v>
      </c>
      <c r="X38" t="s">
        <v>2443</v>
      </c>
      <c r="Y38" t="s">
        <v>2444</v>
      </c>
      <c r="Z38">
        <v>3</v>
      </c>
      <c r="AA38" t="s">
        <v>73</v>
      </c>
      <c r="AB38" t="s">
        <v>73</v>
      </c>
      <c r="AF38">
        <v>714.74104358867407</v>
      </c>
      <c r="AG38">
        <v>7.5789473684211002</v>
      </c>
      <c r="AH38">
        <v>56</v>
      </c>
      <c r="AI38">
        <v>38</v>
      </c>
      <c r="AJ38">
        <v>422.43741685291013</v>
      </c>
      <c r="AK38">
        <v>769.09473684211002</v>
      </c>
      <c r="AM38">
        <v>485.41238359407419</v>
      </c>
      <c r="AN38">
        <v>424</v>
      </c>
      <c r="AO38" t="s">
        <v>5481</v>
      </c>
      <c r="AP38" t="s">
        <v>2239</v>
      </c>
    </row>
    <row r="39" spans="1:42" x14ac:dyDescent="0.25">
      <c r="A39">
        <v>38</v>
      </c>
      <c r="B39" t="s">
        <v>2358</v>
      </c>
      <c r="C39" t="s">
        <v>2358</v>
      </c>
      <c r="D39" t="s">
        <v>2359</v>
      </c>
      <c r="E39" t="s">
        <v>282</v>
      </c>
      <c r="F39" t="s">
        <v>283</v>
      </c>
      <c r="G39" t="s">
        <v>3167</v>
      </c>
      <c r="H39" t="s">
        <v>3166</v>
      </c>
      <c r="I39" t="s">
        <v>2360</v>
      </c>
      <c r="J39" t="s">
        <v>523</v>
      </c>
      <c r="K39" t="s">
        <v>524</v>
      </c>
      <c r="L39">
        <v>52.279861111111103</v>
      </c>
      <c r="M39">
        <v>-1.5841666666666701</v>
      </c>
      <c r="N39" t="s">
        <v>4211</v>
      </c>
      <c r="O39" t="s">
        <v>2361</v>
      </c>
      <c r="P39" t="s">
        <v>2361</v>
      </c>
      <c r="Q39">
        <v>14</v>
      </c>
      <c r="R39" t="s">
        <v>2406</v>
      </c>
      <c r="S39" t="s">
        <v>2407</v>
      </c>
      <c r="T39">
        <v>1</v>
      </c>
      <c r="U39" t="s">
        <v>2426</v>
      </c>
      <c r="V39" t="s">
        <v>2427</v>
      </c>
      <c r="W39">
        <v>2</v>
      </c>
      <c r="X39" t="s">
        <v>2443</v>
      </c>
      <c r="Y39" t="s">
        <v>2444</v>
      </c>
      <c r="Z39">
        <v>3</v>
      </c>
      <c r="AA39" t="s">
        <v>73</v>
      </c>
      <c r="AB39" t="s">
        <v>73</v>
      </c>
      <c r="AE39" t="s">
        <v>2362</v>
      </c>
      <c r="AF39">
        <v>707.53225475182489</v>
      </c>
      <c r="AG39">
        <v>8.0889830508474994</v>
      </c>
      <c r="AH39">
        <v>235</v>
      </c>
      <c r="AI39">
        <v>59</v>
      </c>
      <c r="AJ39">
        <v>366.20344689938878</v>
      </c>
      <c r="AK39">
        <v>855.89830508474995</v>
      </c>
      <c r="AL39">
        <v>2009</v>
      </c>
      <c r="AM39">
        <v>456.68482565914422</v>
      </c>
      <c r="AN39">
        <v>224</v>
      </c>
      <c r="AO39" t="s">
        <v>5482</v>
      </c>
      <c r="AP39" t="s">
        <v>2359</v>
      </c>
    </row>
    <row r="40" spans="1:42" x14ac:dyDescent="0.25">
      <c r="A40">
        <v>39</v>
      </c>
      <c r="B40" t="s">
        <v>561</v>
      </c>
      <c r="C40" t="s">
        <v>561</v>
      </c>
      <c r="D40" t="s">
        <v>562</v>
      </c>
      <c r="E40" t="s">
        <v>3169</v>
      </c>
      <c r="F40" t="s">
        <v>379</v>
      </c>
      <c r="G40" t="s">
        <v>162</v>
      </c>
      <c r="H40" t="s">
        <v>163</v>
      </c>
      <c r="J40" t="s">
        <v>563</v>
      </c>
      <c r="K40" t="s">
        <v>564</v>
      </c>
      <c r="L40">
        <v>51.928888999999998</v>
      </c>
      <c r="M40">
        <v>-8.5708330000000004</v>
      </c>
      <c r="O40" t="s">
        <v>565</v>
      </c>
      <c r="P40" t="s">
        <v>565</v>
      </c>
      <c r="Q40">
        <v>15</v>
      </c>
      <c r="R40" t="s">
        <v>2409</v>
      </c>
      <c r="S40" t="s">
        <v>2410</v>
      </c>
      <c r="T40">
        <v>2</v>
      </c>
      <c r="U40" t="s">
        <v>2430</v>
      </c>
      <c r="V40" t="s">
        <v>2431</v>
      </c>
      <c r="W40">
        <v>6</v>
      </c>
      <c r="X40" t="s">
        <v>2443</v>
      </c>
      <c r="Y40" t="s">
        <v>2444</v>
      </c>
      <c r="Z40">
        <v>3</v>
      </c>
      <c r="AA40" t="s">
        <v>566</v>
      </c>
      <c r="AB40" t="s">
        <v>566</v>
      </c>
      <c r="AE40" t="s">
        <v>567</v>
      </c>
      <c r="AF40">
        <v>706.34884371283601</v>
      </c>
      <c r="AG40">
        <v>7.0204081632652997</v>
      </c>
      <c r="AH40">
        <v>48</v>
      </c>
      <c r="AI40">
        <v>32</v>
      </c>
      <c r="AJ40">
        <v>445.03159505507892</v>
      </c>
      <c r="AK40">
        <v>711.64081632652994</v>
      </c>
      <c r="AM40">
        <v>517.04423307711045</v>
      </c>
      <c r="AN40">
        <v>424</v>
      </c>
      <c r="AO40" t="s">
        <v>5483</v>
      </c>
      <c r="AP40" t="s">
        <v>562</v>
      </c>
    </row>
    <row r="41" spans="1:42" x14ac:dyDescent="0.25">
      <c r="A41">
        <v>40</v>
      </c>
      <c r="B41" t="s">
        <v>1620</v>
      </c>
      <c r="C41" t="s">
        <v>1620</v>
      </c>
      <c r="D41" t="s">
        <v>1621</v>
      </c>
      <c r="E41" t="s">
        <v>137</v>
      </c>
      <c r="F41" t="s">
        <v>138</v>
      </c>
      <c r="G41" t="s">
        <v>139</v>
      </c>
      <c r="H41" t="s">
        <v>140</v>
      </c>
      <c r="I41" t="s">
        <v>1622</v>
      </c>
      <c r="J41" t="s">
        <v>426</v>
      </c>
      <c r="K41" t="s">
        <v>427</v>
      </c>
      <c r="L41" t="s">
        <v>4307</v>
      </c>
      <c r="M41">
        <v>7.6494530000000003</v>
      </c>
      <c r="N41" t="s">
        <v>4306</v>
      </c>
      <c r="Q41">
        <v>12</v>
      </c>
      <c r="R41" t="s">
        <v>2406</v>
      </c>
      <c r="S41" t="s">
        <v>2407</v>
      </c>
      <c r="T41">
        <v>1</v>
      </c>
      <c r="U41" t="s">
        <v>2430</v>
      </c>
      <c r="V41" t="s">
        <v>2431</v>
      </c>
      <c r="W41">
        <v>6</v>
      </c>
      <c r="X41" t="s">
        <v>2437</v>
      </c>
      <c r="Y41" t="s">
        <v>2438</v>
      </c>
      <c r="Z41">
        <v>1</v>
      </c>
      <c r="AA41" t="s">
        <v>73</v>
      </c>
      <c r="AB41" t="s">
        <v>73</v>
      </c>
      <c r="AE41" t="s">
        <v>1623</v>
      </c>
      <c r="AF41">
        <v>702.20838987583227</v>
      </c>
      <c r="AG41">
        <v>7.8988095238094997</v>
      </c>
      <c r="AH41">
        <v>167</v>
      </c>
      <c r="AI41">
        <v>52</v>
      </c>
      <c r="AJ41">
        <v>378.40879298373028</v>
      </c>
      <c r="AK41">
        <v>823.28095238095</v>
      </c>
      <c r="AL41">
        <v>2004</v>
      </c>
      <c r="AM41">
        <v>529.77231017722238</v>
      </c>
      <c r="AN41">
        <v>0</v>
      </c>
      <c r="AO41" t="s">
        <v>5484</v>
      </c>
      <c r="AP41" t="s">
        <v>1621</v>
      </c>
    </row>
    <row r="42" spans="1:42" x14ac:dyDescent="0.25">
      <c r="A42">
        <v>41</v>
      </c>
      <c r="B42" t="s">
        <v>1763</v>
      </c>
      <c r="C42" t="s">
        <v>1763</v>
      </c>
      <c r="D42" t="s">
        <v>1764</v>
      </c>
      <c r="E42" t="s">
        <v>137</v>
      </c>
      <c r="F42" t="s">
        <v>138</v>
      </c>
      <c r="G42" t="s">
        <v>139</v>
      </c>
      <c r="H42" t="s">
        <v>140</v>
      </c>
      <c r="I42" t="s">
        <v>1765</v>
      </c>
      <c r="J42" t="s">
        <v>689</v>
      </c>
      <c r="K42" t="s">
        <v>690</v>
      </c>
      <c r="L42">
        <v>49.457707029700003</v>
      </c>
      <c r="M42">
        <v>11.076364996500001</v>
      </c>
      <c r="N42" t="s">
        <v>4240</v>
      </c>
      <c r="O42" t="s">
        <v>2599</v>
      </c>
      <c r="P42" t="s">
        <v>2600</v>
      </c>
      <c r="Q42">
        <v>11</v>
      </c>
      <c r="R42" t="s">
        <v>2420</v>
      </c>
      <c r="S42" t="s">
        <v>2421</v>
      </c>
      <c r="T42">
        <v>5</v>
      </c>
      <c r="U42" t="s">
        <v>2432</v>
      </c>
      <c r="V42" t="s">
        <v>2433</v>
      </c>
      <c r="W42">
        <v>7</v>
      </c>
      <c r="X42" t="s">
        <v>2440</v>
      </c>
      <c r="Y42" t="s">
        <v>2441</v>
      </c>
      <c r="Z42">
        <v>2</v>
      </c>
      <c r="AA42" t="s">
        <v>73</v>
      </c>
      <c r="AB42" t="s">
        <v>73</v>
      </c>
      <c r="AE42" t="s">
        <v>1766</v>
      </c>
      <c r="AF42">
        <v>697.52899934333368</v>
      </c>
      <c r="AG42">
        <v>6.7441860465115999</v>
      </c>
      <c r="AH42">
        <v>128</v>
      </c>
      <c r="AI42">
        <v>33</v>
      </c>
      <c r="AJ42">
        <v>441.68855224194857</v>
      </c>
      <c r="AK42">
        <v>700.01860465115999</v>
      </c>
      <c r="AM42">
        <v>618.36397313872794</v>
      </c>
      <c r="AN42">
        <v>0</v>
      </c>
      <c r="AO42" t="s">
        <v>5485</v>
      </c>
      <c r="AP42" t="s">
        <v>1764</v>
      </c>
    </row>
    <row r="43" spans="1:42" x14ac:dyDescent="0.25">
      <c r="A43">
        <v>42</v>
      </c>
      <c r="B43" t="s">
        <v>1364</v>
      </c>
      <c r="C43" t="s">
        <v>1364</v>
      </c>
      <c r="D43" t="s">
        <v>2479</v>
      </c>
      <c r="E43" t="s">
        <v>415</v>
      </c>
      <c r="F43" t="s">
        <v>415</v>
      </c>
      <c r="G43" t="s">
        <v>85</v>
      </c>
      <c r="H43" t="s">
        <v>86</v>
      </c>
      <c r="I43" t="s">
        <v>1365</v>
      </c>
      <c r="L43" t="s">
        <v>4282</v>
      </c>
      <c r="M43" t="s">
        <v>4283</v>
      </c>
      <c r="O43" t="s">
        <v>2566</v>
      </c>
      <c r="P43" t="s">
        <v>2566</v>
      </c>
      <c r="Q43">
        <v>14</v>
      </c>
      <c r="R43" t="s">
        <v>2420</v>
      </c>
      <c r="S43" t="s">
        <v>2421</v>
      </c>
      <c r="T43">
        <v>5</v>
      </c>
      <c r="U43" t="s">
        <v>2430</v>
      </c>
      <c r="V43" t="s">
        <v>2431</v>
      </c>
      <c r="W43">
        <v>6</v>
      </c>
      <c r="X43" t="s">
        <v>2437</v>
      </c>
      <c r="Y43" t="s">
        <v>2438</v>
      </c>
      <c r="Z43">
        <v>1</v>
      </c>
      <c r="AA43" t="s">
        <v>73</v>
      </c>
      <c r="AB43" t="s">
        <v>73</v>
      </c>
      <c r="AC43" t="s">
        <v>1366</v>
      </c>
      <c r="AD43" t="s">
        <v>1366</v>
      </c>
      <c r="AE43" t="s">
        <v>1367</v>
      </c>
      <c r="AF43">
        <v>696.93931737728428</v>
      </c>
      <c r="AG43">
        <v>8.2193548387097</v>
      </c>
      <c r="AH43">
        <v>154</v>
      </c>
      <c r="AI43">
        <v>64</v>
      </c>
      <c r="AJ43">
        <v>356.190639379777</v>
      </c>
      <c r="AK43">
        <v>852.73548387096992</v>
      </c>
      <c r="AM43">
        <v>442.66689513168774</v>
      </c>
      <c r="AN43">
        <v>224</v>
      </c>
      <c r="AO43" t="s">
        <v>5486</v>
      </c>
      <c r="AP43" t="s">
        <v>2479</v>
      </c>
    </row>
    <row r="44" spans="1:42" x14ac:dyDescent="0.25">
      <c r="A44">
        <v>43</v>
      </c>
      <c r="B44" t="s">
        <v>1847</v>
      </c>
      <c r="C44" t="s">
        <v>1847</v>
      </c>
      <c r="D44" t="s">
        <v>1848</v>
      </c>
      <c r="E44" t="s">
        <v>199</v>
      </c>
      <c r="F44" t="s">
        <v>200</v>
      </c>
      <c r="I44" t="s">
        <v>1849</v>
      </c>
      <c r="J44" t="s">
        <v>303</v>
      </c>
      <c r="K44" t="s">
        <v>304</v>
      </c>
      <c r="L44">
        <v>49.346338908</v>
      </c>
      <c r="M44">
        <v>2.9797788108600001</v>
      </c>
      <c r="N44" t="s">
        <v>4247</v>
      </c>
      <c r="O44" t="s">
        <v>1165</v>
      </c>
      <c r="P44" t="s">
        <v>1166</v>
      </c>
      <c r="Q44">
        <v>14</v>
      </c>
      <c r="R44" t="s">
        <v>2406</v>
      </c>
      <c r="S44" t="s">
        <v>2407</v>
      </c>
      <c r="T44">
        <v>1</v>
      </c>
      <c r="U44" t="s">
        <v>2432</v>
      </c>
      <c r="V44" t="s">
        <v>2433</v>
      </c>
      <c r="W44">
        <v>7</v>
      </c>
      <c r="X44" t="s">
        <v>2440</v>
      </c>
      <c r="Y44" t="s">
        <v>2441</v>
      </c>
      <c r="Z44">
        <v>2</v>
      </c>
      <c r="AA44" t="s">
        <v>1850</v>
      </c>
      <c r="AB44" t="s">
        <v>1850</v>
      </c>
      <c r="AE44" t="s">
        <v>1851</v>
      </c>
      <c r="AF44">
        <v>690.6481565338778</v>
      </c>
      <c r="AG44">
        <v>8.4028571428570995</v>
      </c>
      <c r="AH44">
        <v>349</v>
      </c>
      <c r="AI44">
        <v>92</v>
      </c>
      <c r="AJ44">
        <v>317.33922154558098</v>
      </c>
      <c r="AK44">
        <v>910.08571428570986</v>
      </c>
      <c r="AL44">
        <v>2004</v>
      </c>
      <c r="AM44">
        <v>444.27491016381333</v>
      </c>
      <c r="AN44">
        <v>0</v>
      </c>
      <c r="AO44" t="s">
        <v>5487</v>
      </c>
      <c r="AP44" t="s">
        <v>1848</v>
      </c>
    </row>
    <row r="45" spans="1:42" x14ac:dyDescent="0.25">
      <c r="A45">
        <v>44</v>
      </c>
      <c r="B45" t="s">
        <v>1061</v>
      </c>
      <c r="C45" t="s">
        <v>1061</v>
      </c>
      <c r="D45" t="s">
        <v>1062</v>
      </c>
      <c r="E45" t="s">
        <v>595</v>
      </c>
      <c r="F45" t="s">
        <v>596</v>
      </c>
      <c r="G45" t="s">
        <v>3167</v>
      </c>
      <c r="H45" t="s">
        <v>3166</v>
      </c>
      <c r="I45" t="s">
        <v>920</v>
      </c>
      <c r="J45" t="s">
        <v>598</v>
      </c>
      <c r="K45" t="s">
        <v>599</v>
      </c>
      <c r="L45">
        <v>55.948335</v>
      </c>
      <c r="M45">
        <v>-3.1998540000000002</v>
      </c>
      <c r="N45" t="s">
        <v>4212</v>
      </c>
      <c r="O45" t="s">
        <v>1063</v>
      </c>
      <c r="P45" t="s">
        <v>1064</v>
      </c>
      <c r="Q45">
        <v>12</v>
      </c>
      <c r="R45" t="s">
        <v>2406</v>
      </c>
      <c r="S45" t="s">
        <v>2407</v>
      </c>
      <c r="T45">
        <v>1</v>
      </c>
      <c r="U45" t="s">
        <v>2430</v>
      </c>
      <c r="V45" t="s">
        <v>2431</v>
      </c>
      <c r="W45">
        <v>6</v>
      </c>
      <c r="X45" t="s">
        <v>2437</v>
      </c>
      <c r="Y45" t="s">
        <v>2438</v>
      </c>
      <c r="Z45">
        <v>1</v>
      </c>
      <c r="AA45" t="s">
        <v>1065</v>
      </c>
      <c r="AB45" t="s">
        <v>1065</v>
      </c>
      <c r="AC45" t="s">
        <v>1066</v>
      </c>
      <c r="AD45" t="s">
        <v>1066</v>
      </c>
      <c r="AE45" t="s">
        <v>1067</v>
      </c>
      <c r="AF45">
        <v>689.17375992995153</v>
      </c>
      <c r="AG45">
        <v>8.1492537313433004</v>
      </c>
      <c r="AH45">
        <v>200</v>
      </c>
      <c r="AI45">
        <v>74</v>
      </c>
      <c r="AJ45">
        <v>346.34563706976274</v>
      </c>
      <c r="AK45">
        <v>854.92537313433002</v>
      </c>
      <c r="AM45">
        <v>428.88389189766781</v>
      </c>
      <c r="AN45">
        <v>224</v>
      </c>
      <c r="AO45" t="s">
        <v>5488</v>
      </c>
      <c r="AP45" t="s">
        <v>1062</v>
      </c>
    </row>
    <row r="46" spans="1:42" x14ac:dyDescent="0.25">
      <c r="A46">
        <v>45</v>
      </c>
      <c r="B46" t="s">
        <v>1695</v>
      </c>
      <c r="C46" t="s">
        <v>1695</v>
      </c>
      <c r="D46" t="s">
        <v>3575</v>
      </c>
      <c r="E46" t="s">
        <v>218</v>
      </c>
      <c r="F46" t="s">
        <v>219</v>
      </c>
      <c r="G46" t="s">
        <v>69</v>
      </c>
      <c r="H46" t="s">
        <v>70</v>
      </c>
      <c r="I46" t="s">
        <v>1696</v>
      </c>
      <c r="J46" t="s">
        <v>408</v>
      </c>
      <c r="K46" t="s">
        <v>409</v>
      </c>
      <c r="L46" t="s">
        <v>4345</v>
      </c>
      <c r="M46" t="s">
        <v>4346</v>
      </c>
      <c r="O46" t="s">
        <v>1210</v>
      </c>
      <c r="P46" t="s">
        <v>1211</v>
      </c>
      <c r="Q46">
        <v>13</v>
      </c>
      <c r="R46" t="s">
        <v>2406</v>
      </c>
      <c r="S46" t="s">
        <v>2407</v>
      </c>
      <c r="T46">
        <v>1</v>
      </c>
      <c r="U46" t="s">
        <v>2432</v>
      </c>
      <c r="V46" t="s">
        <v>2433</v>
      </c>
      <c r="W46">
        <v>7</v>
      </c>
      <c r="X46" t="s">
        <v>2440</v>
      </c>
      <c r="Y46" t="s">
        <v>2441</v>
      </c>
      <c r="Z46">
        <v>2</v>
      </c>
      <c r="AA46" t="s">
        <v>73</v>
      </c>
      <c r="AB46" t="s">
        <v>73</v>
      </c>
      <c r="AE46" t="s">
        <v>2703</v>
      </c>
      <c r="AF46">
        <v>689.01252458396925</v>
      </c>
      <c r="AG46">
        <v>8.1285714285713997</v>
      </c>
      <c r="AH46">
        <v>139</v>
      </c>
      <c r="AI46">
        <v>65</v>
      </c>
      <c r="AJ46">
        <v>354.09328128377695</v>
      </c>
      <c r="AK46">
        <v>840.65714285713989</v>
      </c>
      <c r="AM46">
        <v>439.73059379728767</v>
      </c>
      <c r="AN46">
        <v>224</v>
      </c>
      <c r="AO46" t="s">
        <v>5489</v>
      </c>
      <c r="AP46" t="s">
        <v>3575</v>
      </c>
    </row>
    <row r="47" spans="1:42" x14ac:dyDescent="0.25">
      <c r="A47">
        <v>46</v>
      </c>
      <c r="B47" t="s">
        <v>772</v>
      </c>
      <c r="C47" t="s">
        <v>772</v>
      </c>
      <c r="D47" t="s">
        <v>773</v>
      </c>
      <c r="E47" t="s">
        <v>67</v>
      </c>
      <c r="F47" t="s">
        <v>68</v>
      </c>
      <c r="G47" t="s">
        <v>3845</v>
      </c>
      <c r="H47" t="s">
        <v>3846</v>
      </c>
      <c r="I47" t="s">
        <v>774</v>
      </c>
      <c r="J47" t="s">
        <v>3841</v>
      </c>
      <c r="K47" t="s">
        <v>775</v>
      </c>
      <c r="L47" t="s">
        <v>4351</v>
      </c>
      <c r="M47" t="s">
        <v>4352</v>
      </c>
      <c r="N47" t="s">
        <v>4350</v>
      </c>
      <c r="O47" t="s">
        <v>776</v>
      </c>
      <c r="P47" t="s">
        <v>776</v>
      </c>
      <c r="Q47">
        <v>14</v>
      </c>
      <c r="R47" t="s">
        <v>2414</v>
      </c>
      <c r="S47" t="s">
        <v>2415</v>
      </c>
      <c r="T47">
        <v>3</v>
      </c>
      <c r="U47" t="s">
        <v>3137</v>
      </c>
      <c r="V47" t="s">
        <v>3136</v>
      </c>
      <c r="W47">
        <v>5</v>
      </c>
      <c r="X47" t="s">
        <v>2437</v>
      </c>
      <c r="Y47" t="s">
        <v>2438</v>
      </c>
      <c r="Z47">
        <v>1</v>
      </c>
      <c r="AA47" t="s">
        <v>73</v>
      </c>
      <c r="AB47" t="s">
        <v>73</v>
      </c>
      <c r="AE47" t="s">
        <v>777</v>
      </c>
      <c r="AF47">
        <v>688.43867147084234</v>
      </c>
      <c r="AG47">
        <v>7.8141592920354004</v>
      </c>
      <c r="AH47">
        <v>112</v>
      </c>
      <c r="AI47">
        <v>53</v>
      </c>
      <c r="AJ47">
        <v>373.92300763230264</v>
      </c>
      <c r="AK47">
        <v>803.81592920354001</v>
      </c>
      <c r="AL47">
        <v>2007</v>
      </c>
      <c r="AM47">
        <v>495.49221068522365</v>
      </c>
      <c r="AN47">
        <v>112</v>
      </c>
      <c r="AO47" t="s">
        <v>5490</v>
      </c>
      <c r="AP47" t="s">
        <v>773</v>
      </c>
    </row>
    <row r="48" spans="1:42" x14ac:dyDescent="0.25">
      <c r="A48">
        <v>47</v>
      </c>
      <c r="B48" t="s">
        <v>1512</v>
      </c>
      <c r="C48" t="s">
        <v>1512</v>
      </c>
      <c r="D48" t="s">
        <v>2524</v>
      </c>
      <c r="E48" t="s">
        <v>199</v>
      </c>
      <c r="F48" t="s">
        <v>200</v>
      </c>
      <c r="I48" t="s">
        <v>1513</v>
      </c>
      <c r="J48" t="s">
        <v>411</v>
      </c>
      <c r="K48" t="s">
        <v>412</v>
      </c>
      <c r="L48" t="s">
        <v>4313</v>
      </c>
      <c r="M48" t="s">
        <v>4314</v>
      </c>
      <c r="N48" t="s">
        <v>4312</v>
      </c>
      <c r="O48" t="s">
        <v>1514</v>
      </c>
      <c r="P48" t="s">
        <v>1515</v>
      </c>
      <c r="Q48">
        <v>15</v>
      </c>
      <c r="R48" t="s">
        <v>2420</v>
      </c>
      <c r="S48" t="s">
        <v>2421</v>
      </c>
      <c r="T48">
        <v>5</v>
      </c>
      <c r="U48" t="s">
        <v>3137</v>
      </c>
      <c r="V48" t="s">
        <v>3136</v>
      </c>
      <c r="W48">
        <v>5</v>
      </c>
      <c r="X48" t="s">
        <v>2437</v>
      </c>
      <c r="Y48" t="s">
        <v>2438</v>
      </c>
      <c r="Z48">
        <v>1</v>
      </c>
      <c r="AA48" t="s">
        <v>1516</v>
      </c>
      <c r="AB48" t="s">
        <v>1516</v>
      </c>
      <c r="AC48" t="s">
        <v>1517</v>
      </c>
      <c r="AD48" t="s">
        <v>1517</v>
      </c>
      <c r="AE48" t="s">
        <v>1518</v>
      </c>
      <c r="AF48">
        <v>687.41081898660104</v>
      </c>
      <c r="AG48">
        <v>7.0962962962963001</v>
      </c>
      <c r="AH48">
        <v>134</v>
      </c>
      <c r="AI48">
        <v>39</v>
      </c>
      <c r="AJ48">
        <v>410.21778241309562</v>
      </c>
      <c r="AK48">
        <v>736.42962962962997</v>
      </c>
      <c r="AL48">
        <v>2005</v>
      </c>
      <c r="AM48">
        <v>574.30489537833387</v>
      </c>
      <c r="AN48">
        <v>0</v>
      </c>
      <c r="AO48" t="s">
        <v>5491</v>
      </c>
      <c r="AP48" t="s">
        <v>2524</v>
      </c>
    </row>
    <row r="49" spans="1:42" x14ac:dyDescent="0.25">
      <c r="A49">
        <v>48</v>
      </c>
      <c r="B49" t="s">
        <v>4188</v>
      </c>
      <c r="C49" t="s">
        <v>4188</v>
      </c>
      <c r="D49" t="s">
        <v>4229</v>
      </c>
      <c r="E49" t="s">
        <v>318</v>
      </c>
      <c r="F49" t="s">
        <v>319</v>
      </c>
      <c r="G49" t="s">
        <v>75</v>
      </c>
      <c r="H49" t="s">
        <v>76</v>
      </c>
      <c r="I49" t="s">
        <v>888</v>
      </c>
      <c r="L49">
        <v>40.993056000000003</v>
      </c>
      <c r="M49">
        <v>28.923333</v>
      </c>
      <c r="O49" t="s">
        <v>889</v>
      </c>
      <c r="P49" t="s">
        <v>889</v>
      </c>
      <c r="R49" t="s">
        <v>2420</v>
      </c>
      <c r="S49" t="s">
        <v>2421</v>
      </c>
      <c r="T49">
        <v>5</v>
      </c>
      <c r="U49" t="s">
        <v>3137</v>
      </c>
      <c r="V49" t="s">
        <v>3136</v>
      </c>
      <c r="W49">
        <v>5</v>
      </c>
      <c r="X49" t="s">
        <v>2443</v>
      </c>
      <c r="Y49" t="s">
        <v>2444</v>
      </c>
      <c r="Z49">
        <v>3</v>
      </c>
      <c r="AA49" t="s">
        <v>73</v>
      </c>
      <c r="AB49" t="s">
        <v>73</v>
      </c>
      <c r="AF49">
        <v>682.66800294674931</v>
      </c>
      <c r="AG49">
        <v>8.2142857142856993</v>
      </c>
      <c r="AH49">
        <v>13</v>
      </c>
      <c r="AI49">
        <v>63</v>
      </c>
      <c r="AJ49">
        <v>356.2819080360714</v>
      </c>
      <c r="AK49">
        <v>824.02857142856999</v>
      </c>
      <c r="AM49">
        <v>414.79467125049996</v>
      </c>
      <c r="AN49">
        <v>336</v>
      </c>
      <c r="AO49" t="s">
        <v>5492</v>
      </c>
      <c r="AP49" t="s">
        <v>4229</v>
      </c>
    </row>
    <row r="50" spans="1:42" x14ac:dyDescent="0.25">
      <c r="A50">
        <v>49</v>
      </c>
      <c r="B50" t="s">
        <v>2901</v>
      </c>
      <c r="C50" t="s">
        <v>4134</v>
      </c>
      <c r="D50" t="s">
        <v>1995</v>
      </c>
      <c r="E50" t="s">
        <v>67</v>
      </c>
      <c r="F50" t="s">
        <v>68</v>
      </c>
      <c r="G50" t="s">
        <v>69</v>
      </c>
      <c r="H50" t="s">
        <v>70</v>
      </c>
      <c r="I50" t="s">
        <v>1996</v>
      </c>
      <c r="J50" t="s">
        <v>1795</v>
      </c>
      <c r="K50" t="s">
        <v>1796</v>
      </c>
      <c r="L50" t="s">
        <v>4302</v>
      </c>
      <c r="M50">
        <v>12.466390000000001</v>
      </c>
      <c r="N50" t="s">
        <v>4303</v>
      </c>
      <c r="O50" t="s">
        <v>2631</v>
      </c>
      <c r="P50" t="s">
        <v>2631</v>
      </c>
      <c r="Q50">
        <v>10</v>
      </c>
      <c r="R50" t="s">
        <v>2420</v>
      </c>
      <c r="S50" t="s">
        <v>2421</v>
      </c>
      <c r="T50">
        <v>5</v>
      </c>
      <c r="U50" t="s">
        <v>2428</v>
      </c>
      <c r="V50" t="s">
        <v>2429</v>
      </c>
      <c r="W50">
        <v>3</v>
      </c>
      <c r="X50" t="s">
        <v>2437</v>
      </c>
      <c r="Y50" t="s">
        <v>2438</v>
      </c>
      <c r="Z50">
        <v>1</v>
      </c>
      <c r="AA50" t="s">
        <v>73</v>
      </c>
      <c r="AB50" t="s">
        <v>73</v>
      </c>
      <c r="AC50" t="s">
        <v>1997</v>
      </c>
      <c r="AD50" t="s">
        <v>1997</v>
      </c>
      <c r="AE50" t="s">
        <v>4305</v>
      </c>
      <c r="AF50">
        <v>682.61133007908734</v>
      </c>
      <c r="AG50">
        <v>7.2816901408451002</v>
      </c>
      <c r="AH50">
        <v>141</v>
      </c>
      <c r="AI50">
        <v>48</v>
      </c>
      <c r="AJ50">
        <v>393.80758115203577</v>
      </c>
      <c r="AK50">
        <v>756.36901408451013</v>
      </c>
      <c r="AM50">
        <v>523.33061361285002</v>
      </c>
      <c r="AN50">
        <v>112</v>
      </c>
      <c r="AO50" t="s">
        <v>5493</v>
      </c>
      <c r="AP50" t="s">
        <v>1995</v>
      </c>
    </row>
    <row r="51" spans="1:42" x14ac:dyDescent="0.25">
      <c r="A51">
        <v>50</v>
      </c>
      <c r="B51" t="s">
        <v>1493</v>
      </c>
      <c r="C51" t="s">
        <v>1493</v>
      </c>
      <c r="D51" t="s">
        <v>2996</v>
      </c>
      <c r="E51" t="s">
        <v>91</v>
      </c>
      <c r="F51" t="s">
        <v>92</v>
      </c>
      <c r="G51" t="s">
        <v>632</v>
      </c>
      <c r="H51" t="s">
        <v>633</v>
      </c>
      <c r="I51" t="s">
        <v>2681</v>
      </c>
      <c r="J51" t="s">
        <v>3070</v>
      </c>
      <c r="K51" t="s">
        <v>3071</v>
      </c>
      <c r="L51" t="s">
        <v>4512</v>
      </c>
      <c r="M51" t="s">
        <v>4513</v>
      </c>
      <c r="N51" t="s">
        <v>4210</v>
      </c>
      <c r="O51" t="s">
        <v>2997</v>
      </c>
      <c r="P51" t="s">
        <v>2997</v>
      </c>
      <c r="Q51">
        <v>11</v>
      </c>
      <c r="R51" t="s">
        <v>2420</v>
      </c>
      <c r="S51" t="s">
        <v>2421</v>
      </c>
      <c r="T51">
        <v>5</v>
      </c>
      <c r="U51" t="s">
        <v>3137</v>
      </c>
      <c r="V51" t="s">
        <v>3136</v>
      </c>
      <c r="W51">
        <v>5</v>
      </c>
      <c r="X51" t="s">
        <v>2440</v>
      </c>
      <c r="Y51" t="s">
        <v>2441</v>
      </c>
      <c r="Z51">
        <v>2</v>
      </c>
      <c r="AC51" t="s">
        <v>2998</v>
      </c>
      <c r="AD51" t="s">
        <v>2998</v>
      </c>
      <c r="AE51" t="s">
        <v>1494</v>
      </c>
      <c r="AF51">
        <v>680.48716826478039</v>
      </c>
      <c r="AG51">
        <v>8.4404761904762005</v>
      </c>
      <c r="AH51">
        <v>83</v>
      </c>
      <c r="AI51">
        <v>83</v>
      </c>
      <c r="AJ51">
        <v>333.51484304552253</v>
      </c>
      <c r="AK51">
        <v>860.64761904762008</v>
      </c>
      <c r="AM51">
        <v>410.9207802637315</v>
      </c>
      <c r="AN51">
        <v>224</v>
      </c>
      <c r="AO51" t="s">
        <v>5494</v>
      </c>
      <c r="AP51" t="s">
        <v>2996</v>
      </c>
    </row>
    <row r="52" spans="1:42" x14ac:dyDescent="0.25">
      <c r="A52">
        <v>51</v>
      </c>
      <c r="B52" t="s">
        <v>1844</v>
      </c>
      <c r="C52" t="s">
        <v>1844</v>
      </c>
      <c r="D52" t="s">
        <v>1845</v>
      </c>
      <c r="E52" t="s">
        <v>137</v>
      </c>
      <c r="F52" t="s">
        <v>138</v>
      </c>
      <c r="G52" t="s">
        <v>139</v>
      </c>
      <c r="H52" t="s">
        <v>140</v>
      </c>
      <c r="I52" t="s">
        <v>4124</v>
      </c>
      <c r="J52" t="s">
        <v>426</v>
      </c>
      <c r="K52" t="s">
        <v>427</v>
      </c>
      <c r="L52" t="s">
        <v>4326</v>
      </c>
      <c r="M52" t="s">
        <v>4325</v>
      </c>
      <c r="N52" t="s">
        <v>4324</v>
      </c>
      <c r="O52" t="s">
        <v>2603</v>
      </c>
      <c r="P52" t="s">
        <v>2604</v>
      </c>
      <c r="Q52">
        <v>14</v>
      </c>
      <c r="R52" t="s">
        <v>2414</v>
      </c>
      <c r="S52" t="s">
        <v>2415</v>
      </c>
      <c r="T52">
        <v>3</v>
      </c>
      <c r="U52" t="s">
        <v>3139</v>
      </c>
      <c r="V52" t="s">
        <v>3140</v>
      </c>
      <c r="W52">
        <v>4</v>
      </c>
      <c r="X52" t="s">
        <v>2437</v>
      </c>
      <c r="Y52" t="s">
        <v>2438</v>
      </c>
      <c r="Z52">
        <v>1</v>
      </c>
      <c r="AA52" t="s">
        <v>73</v>
      </c>
      <c r="AB52" t="s">
        <v>73</v>
      </c>
      <c r="AE52" t="s">
        <v>1846</v>
      </c>
      <c r="AF52">
        <v>679.37548535816745</v>
      </c>
      <c r="AG52">
        <v>7.1015625</v>
      </c>
      <c r="AH52">
        <v>127</v>
      </c>
      <c r="AI52">
        <v>44</v>
      </c>
      <c r="AJ52">
        <v>401.7748448424083</v>
      </c>
      <c r="AK52">
        <v>735.55624999999998</v>
      </c>
      <c r="AL52">
        <v>2004</v>
      </c>
      <c r="AM52">
        <v>562.48478277937159</v>
      </c>
      <c r="AN52">
        <v>0</v>
      </c>
      <c r="AO52" t="s">
        <v>5495</v>
      </c>
      <c r="AP52" t="s">
        <v>1845</v>
      </c>
    </row>
    <row r="53" spans="1:42" x14ac:dyDescent="0.25">
      <c r="A53">
        <v>52</v>
      </c>
      <c r="B53" t="s">
        <v>3340</v>
      </c>
      <c r="C53" t="s">
        <v>1866</v>
      </c>
      <c r="D53" t="s">
        <v>3507</v>
      </c>
      <c r="E53" t="s">
        <v>471</v>
      </c>
      <c r="F53" t="s">
        <v>472</v>
      </c>
      <c r="G53" t="s">
        <v>93</v>
      </c>
      <c r="H53" t="s">
        <v>94</v>
      </c>
      <c r="I53" t="s">
        <v>3508</v>
      </c>
      <c r="J53" t="s">
        <v>3514</v>
      </c>
      <c r="K53" t="s">
        <v>3509</v>
      </c>
      <c r="L53">
        <v>50.089166666666699</v>
      </c>
      <c r="M53">
        <v>14.3955555555556</v>
      </c>
      <c r="N53" t="s">
        <v>4214</v>
      </c>
      <c r="R53" t="s">
        <v>2420</v>
      </c>
      <c r="S53" t="s">
        <v>2421</v>
      </c>
      <c r="T53">
        <v>5</v>
      </c>
      <c r="U53" t="s">
        <v>3137</v>
      </c>
      <c r="V53" t="s">
        <v>3136</v>
      </c>
      <c r="W53">
        <v>5</v>
      </c>
      <c r="X53" t="s">
        <v>2440</v>
      </c>
      <c r="Y53" t="s">
        <v>2441</v>
      </c>
      <c r="Z53">
        <v>2</v>
      </c>
      <c r="AA53" t="s">
        <v>73</v>
      </c>
      <c r="AB53" t="s">
        <v>73</v>
      </c>
      <c r="AF53">
        <v>677.75439695742557</v>
      </c>
      <c r="AG53">
        <v>8.0985915492958007</v>
      </c>
      <c r="AH53">
        <v>70</v>
      </c>
      <c r="AI53">
        <v>68</v>
      </c>
      <c r="AJ53">
        <v>350.91646610292838</v>
      </c>
      <c r="AK53">
        <v>823.85915492958009</v>
      </c>
      <c r="AM53">
        <v>463.28305254409969</v>
      </c>
      <c r="AN53">
        <v>112</v>
      </c>
      <c r="AO53" t="s">
        <v>5496</v>
      </c>
      <c r="AP53" t="s">
        <v>3507</v>
      </c>
    </row>
    <row r="54" spans="1:42" x14ac:dyDescent="0.25">
      <c r="A54">
        <v>53</v>
      </c>
      <c r="B54" t="s">
        <v>330</v>
      </c>
      <c r="C54" t="s">
        <v>330</v>
      </c>
      <c r="D54" t="s">
        <v>331</v>
      </c>
      <c r="E54" t="s">
        <v>199</v>
      </c>
      <c r="F54" t="s">
        <v>200</v>
      </c>
      <c r="I54" t="s">
        <v>332</v>
      </c>
      <c r="J54" t="s">
        <v>3164</v>
      </c>
      <c r="K54" t="s">
        <v>309</v>
      </c>
      <c r="L54" t="s">
        <v>4310</v>
      </c>
      <c r="M54" t="s">
        <v>4311</v>
      </c>
      <c r="N54" t="s">
        <v>4308</v>
      </c>
      <c r="O54" t="s">
        <v>204</v>
      </c>
      <c r="P54" t="s">
        <v>205</v>
      </c>
      <c r="Q54">
        <v>13</v>
      </c>
      <c r="R54" t="s">
        <v>2409</v>
      </c>
      <c r="S54" t="s">
        <v>2410</v>
      </c>
      <c r="T54">
        <v>2</v>
      </c>
      <c r="U54" t="s">
        <v>3137</v>
      </c>
      <c r="V54" t="s">
        <v>3136</v>
      </c>
      <c r="W54">
        <v>5</v>
      </c>
      <c r="X54" t="s">
        <v>2437</v>
      </c>
      <c r="Y54" t="s">
        <v>2438</v>
      </c>
      <c r="Z54">
        <v>1</v>
      </c>
      <c r="AA54" t="s">
        <v>73</v>
      </c>
      <c r="AB54" t="s">
        <v>73</v>
      </c>
      <c r="AE54" t="s">
        <v>4309</v>
      </c>
      <c r="AF54">
        <v>675.63459648206845</v>
      </c>
      <c r="AG54">
        <v>7.0218978102190004</v>
      </c>
      <c r="AH54">
        <v>136</v>
      </c>
      <c r="AI54">
        <v>45</v>
      </c>
      <c r="AJ54">
        <v>401.04411774568706</v>
      </c>
      <c r="AK54">
        <v>729.38978102190003</v>
      </c>
      <c r="AL54">
        <v>2005</v>
      </c>
      <c r="AM54">
        <v>561.46176484396187</v>
      </c>
      <c r="AN54">
        <v>0</v>
      </c>
      <c r="AO54" t="s">
        <v>5497</v>
      </c>
      <c r="AP54" t="s">
        <v>331</v>
      </c>
    </row>
    <row r="55" spans="1:42" x14ac:dyDescent="0.25">
      <c r="A55">
        <v>54</v>
      </c>
      <c r="B55" t="s">
        <v>2026</v>
      </c>
      <c r="C55" t="s">
        <v>2026</v>
      </c>
      <c r="D55" t="s">
        <v>2027</v>
      </c>
      <c r="E55" t="s">
        <v>67</v>
      </c>
      <c r="F55" t="s">
        <v>68</v>
      </c>
      <c r="G55" t="s">
        <v>3845</v>
      </c>
      <c r="H55" t="s">
        <v>3846</v>
      </c>
      <c r="I55" t="s">
        <v>2028</v>
      </c>
      <c r="J55" t="s">
        <v>328</v>
      </c>
      <c r="K55" t="s">
        <v>329</v>
      </c>
      <c r="L55" t="s">
        <v>4328</v>
      </c>
      <c r="M55" t="s">
        <v>4329</v>
      </c>
      <c r="N55" t="s">
        <v>4327</v>
      </c>
      <c r="O55" t="s">
        <v>2636</v>
      </c>
      <c r="P55" t="s">
        <v>2636</v>
      </c>
      <c r="R55" t="s">
        <v>2417</v>
      </c>
      <c r="S55" t="s">
        <v>2418</v>
      </c>
      <c r="T55">
        <v>4</v>
      </c>
      <c r="U55" t="s">
        <v>2430</v>
      </c>
      <c r="V55" t="s">
        <v>2431</v>
      </c>
      <c r="W55">
        <v>6</v>
      </c>
      <c r="X55" t="s">
        <v>2437</v>
      </c>
      <c r="Y55" t="s">
        <v>2438</v>
      </c>
      <c r="Z55">
        <v>1</v>
      </c>
      <c r="AA55" t="s">
        <v>73</v>
      </c>
      <c r="AB55" t="s">
        <v>73</v>
      </c>
      <c r="AE55" t="s">
        <v>2706</v>
      </c>
      <c r="AF55">
        <v>675.23839185232669</v>
      </c>
      <c r="AG55">
        <v>7.6565656565657001</v>
      </c>
      <c r="AH55">
        <v>98</v>
      </c>
      <c r="AI55">
        <v>55</v>
      </c>
      <c r="AJ55">
        <v>369.56678780449067</v>
      </c>
      <c r="AK55">
        <v>785.25656565657005</v>
      </c>
      <c r="AL55">
        <v>2007</v>
      </c>
      <c r="AM55">
        <v>489.39350292628694</v>
      </c>
      <c r="AN55">
        <v>112</v>
      </c>
      <c r="AO55" t="s">
        <v>5498</v>
      </c>
      <c r="AP55" t="s">
        <v>2027</v>
      </c>
    </row>
    <row r="56" spans="1:42" x14ac:dyDescent="0.25">
      <c r="A56">
        <v>55</v>
      </c>
      <c r="B56" t="s">
        <v>2317</v>
      </c>
      <c r="C56" t="s">
        <v>4137</v>
      </c>
      <c r="D56" t="s">
        <v>3268</v>
      </c>
      <c r="E56" t="s">
        <v>300</v>
      </c>
      <c r="F56" t="s">
        <v>301</v>
      </c>
      <c r="G56" t="s">
        <v>151</v>
      </c>
      <c r="H56" t="s">
        <v>152</v>
      </c>
      <c r="I56" t="s">
        <v>3269</v>
      </c>
      <c r="J56" t="s">
        <v>3270</v>
      </c>
      <c r="K56" t="s">
        <v>3271</v>
      </c>
      <c r="L56" t="s">
        <v>4367</v>
      </c>
      <c r="M56" t="s">
        <v>4368</v>
      </c>
      <c r="O56" t="s">
        <v>3272</v>
      </c>
      <c r="P56" t="s">
        <v>3273</v>
      </c>
      <c r="Q56">
        <v>15</v>
      </c>
      <c r="R56" t="s">
        <v>2417</v>
      </c>
      <c r="S56" t="s">
        <v>2418</v>
      </c>
      <c r="T56">
        <v>4</v>
      </c>
      <c r="U56" t="s">
        <v>3137</v>
      </c>
      <c r="V56" t="s">
        <v>3136</v>
      </c>
      <c r="W56">
        <v>5</v>
      </c>
      <c r="X56" t="s">
        <v>2446</v>
      </c>
      <c r="Y56" t="s">
        <v>2447</v>
      </c>
      <c r="Z56">
        <v>4</v>
      </c>
      <c r="AA56" t="s">
        <v>73</v>
      </c>
      <c r="AB56" t="s">
        <v>73</v>
      </c>
      <c r="AD56" t="s">
        <v>5499</v>
      </c>
      <c r="AF56">
        <v>674.26792335542041</v>
      </c>
      <c r="AG56">
        <v>5.4318181818182003</v>
      </c>
      <c r="AH56">
        <v>43</v>
      </c>
      <c r="AI56">
        <v>22</v>
      </c>
      <c r="AJ56">
        <v>498.19668251612262</v>
      </c>
      <c r="AK56">
        <v>551.78181818182009</v>
      </c>
      <c r="AM56">
        <v>585.47535552257159</v>
      </c>
      <c r="AN56">
        <v>448</v>
      </c>
      <c r="AO56" t="s">
        <v>5500</v>
      </c>
      <c r="AP56" t="s">
        <v>3268</v>
      </c>
    </row>
    <row r="57" spans="1:42" x14ac:dyDescent="0.25">
      <c r="A57">
        <v>56</v>
      </c>
      <c r="B57" t="s">
        <v>2233</v>
      </c>
      <c r="C57" t="s">
        <v>2233</v>
      </c>
      <c r="D57" t="s">
        <v>2234</v>
      </c>
      <c r="E57" t="s">
        <v>137</v>
      </c>
      <c r="F57" t="s">
        <v>138</v>
      </c>
      <c r="G57" t="s">
        <v>139</v>
      </c>
      <c r="H57" t="s">
        <v>140</v>
      </c>
      <c r="I57" t="s">
        <v>2235</v>
      </c>
      <c r="J57" t="s">
        <v>426</v>
      </c>
      <c r="K57" t="s">
        <v>427</v>
      </c>
      <c r="L57" t="s">
        <v>4304</v>
      </c>
      <c r="M57">
        <v>7.9782099999999998</v>
      </c>
      <c r="Q57">
        <v>12</v>
      </c>
      <c r="R57" t="s">
        <v>2409</v>
      </c>
      <c r="S57" t="s">
        <v>2410</v>
      </c>
      <c r="T57">
        <v>2</v>
      </c>
      <c r="U57" t="s">
        <v>2432</v>
      </c>
      <c r="V57" t="s">
        <v>2433</v>
      </c>
      <c r="W57">
        <v>7</v>
      </c>
      <c r="X57" t="s">
        <v>2440</v>
      </c>
      <c r="Y57" t="s">
        <v>2441</v>
      </c>
      <c r="Z57">
        <v>2</v>
      </c>
      <c r="AA57" t="s">
        <v>2236</v>
      </c>
      <c r="AB57" t="s">
        <v>2236</v>
      </c>
      <c r="AC57" t="s">
        <v>2237</v>
      </c>
      <c r="AD57" t="s">
        <v>2237</v>
      </c>
      <c r="AE57" t="s">
        <v>2708</v>
      </c>
      <c r="AF57">
        <v>673.35080441609693</v>
      </c>
      <c r="AG57">
        <v>5.8554216867470004</v>
      </c>
      <c r="AH57">
        <v>82</v>
      </c>
      <c r="AI57">
        <v>27</v>
      </c>
      <c r="AJ57">
        <v>469.31080008749649</v>
      </c>
      <c r="AK57">
        <v>601.94216867470004</v>
      </c>
      <c r="AL57">
        <v>2004</v>
      </c>
      <c r="AM57">
        <v>657.03512012249507</v>
      </c>
      <c r="AN57">
        <v>0</v>
      </c>
      <c r="AO57" t="s">
        <v>5501</v>
      </c>
      <c r="AP57" t="s">
        <v>2234</v>
      </c>
    </row>
    <row r="58" spans="1:42" x14ac:dyDescent="0.25">
      <c r="A58">
        <v>57</v>
      </c>
      <c r="B58" t="s">
        <v>1729</v>
      </c>
      <c r="C58" t="s">
        <v>1729</v>
      </c>
      <c r="D58" t="s">
        <v>4403</v>
      </c>
      <c r="E58" t="s">
        <v>169</v>
      </c>
      <c r="F58" t="s">
        <v>170</v>
      </c>
      <c r="G58" t="s">
        <v>79</v>
      </c>
      <c r="H58" t="s">
        <v>80</v>
      </c>
      <c r="I58" t="s">
        <v>1730</v>
      </c>
      <c r="L58" t="s">
        <v>4405</v>
      </c>
      <c r="M58" t="s">
        <v>4406</v>
      </c>
      <c r="N58" t="s">
        <v>4404</v>
      </c>
      <c r="Q58">
        <v>15</v>
      </c>
      <c r="R58" t="s">
        <v>2417</v>
      </c>
      <c r="S58" t="s">
        <v>2418</v>
      </c>
      <c r="T58">
        <v>4</v>
      </c>
      <c r="U58" t="s">
        <v>3137</v>
      </c>
      <c r="V58" t="s">
        <v>3136</v>
      </c>
      <c r="W58">
        <v>5</v>
      </c>
      <c r="X58" t="s">
        <v>2437</v>
      </c>
      <c r="Y58" t="s">
        <v>2438</v>
      </c>
      <c r="Z58">
        <v>1</v>
      </c>
      <c r="AA58" t="s">
        <v>73</v>
      </c>
      <c r="AB58" t="s">
        <v>73</v>
      </c>
      <c r="AF58">
        <v>672.17960290248607</v>
      </c>
      <c r="AG58">
        <v>8.3645833333333002</v>
      </c>
      <c r="AH58">
        <v>95</v>
      </c>
      <c r="AI58">
        <v>86</v>
      </c>
      <c r="AJ58">
        <v>327.16715137313446</v>
      </c>
      <c r="AK58">
        <v>855.45833333333007</v>
      </c>
      <c r="AM58">
        <v>374.03401192238817</v>
      </c>
      <c r="AN58">
        <v>336</v>
      </c>
      <c r="AO58" t="s">
        <v>5502</v>
      </c>
      <c r="AP58" t="s">
        <v>4403</v>
      </c>
    </row>
    <row r="59" spans="1:42" x14ac:dyDescent="0.25">
      <c r="A59">
        <v>58</v>
      </c>
      <c r="B59" t="s">
        <v>1820</v>
      </c>
      <c r="C59" t="s">
        <v>1820</v>
      </c>
      <c r="D59" t="s">
        <v>1821</v>
      </c>
      <c r="E59" t="s">
        <v>161</v>
      </c>
      <c r="F59" t="s">
        <v>161</v>
      </c>
      <c r="G59" t="s">
        <v>3167</v>
      </c>
      <c r="H59" t="s">
        <v>3166</v>
      </c>
      <c r="I59" t="s">
        <v>1822</v>
      </c>
      <c r="J59" t="s">
        <v>164</v>
      </c>
      <c r="K59" t="s">
        <v>165</v>
      </c>
      <c r="L59">
        <v>51.676355000000001</v>
      </c>
      <c r="M59">
        <v>-4.9208550000000004</v>
      </c>
      <c r="N59" t="s">
        <v>4213</v>
      </c>
      <c r="O59" t="s">
        <v>2602</v>
      </c>
      <c r="P59" t="s">
        <v>2602</v>
      </c>
      <c r="Q59">
        <v>12</v>
      </c>
      <c r="R59" t="s">
        <v>2417</v>
      </c>
      <c r="S59" t="s">
        <v>2418</v>
      </c>
      <c r="T59">
        <v>4</v>
      </c>
      <c r="U59" t="s">
        <v>2430</v>
      </c>
      <c r="V59" t="s">
        <v>2431</v>
      </c>
      <c r="W59">
        <v>6</v>
      </c>
      <c r="X59" t="s">
        <v>2443</v>
      </c>
      <c r="Y59" t="s">
        <v>2444</v>
      </c>
      <c r="Z59">
        <v>3</v>
      </c>
      <c r="AA59" t="s">
        <v>1823</v>
      </c>
      <c r="AB59" t="s">
        <v>1823</v>
      </c>
      <c r="AF59">
        <v>666.63692247542576</v>
      </c>
      <c r="AG59">
        <v>7.3846153846154001</v>
      </c>
      <c r="AH59">
        <v>116</v>
      </c>
      <c r="AI59">
        <v>54</v>
      </c>
      <c r="AJ59">
        <v>373.1179480496175</v>
      </c>
      <c r="AK59">
        <v>761.66153846154009</v>
      </c>
      <c r="AM59">
        <v>522.36512726946444</v>
      </c>
      <c r="AN59">
        <v>0</v>
      </c>
      <c r="AO59" t="s">
        <v>5503</v>
      </c>
      <c r="AP59" t="s">
        <v>1821</v>
      </c>
    </row>
    <row r="60" spans="1:42" x14ac:dyDescent="0.25">
      <c r="A60">
        <v>59</v>
      </c>
      <c r="B60" t="s">
        <v>756</v>
      </c>
      <c r="C60" t="s">
        <v>756</v>
      </c>
      <c r="D60" t="s">
        <v>757</v>
      </c>
      <c r="E60" t="s">
        <v>3165</v>
      </c>
      <c r="F60" t="s">
        <v>3168</v>
      </c>
      <c r="G60" t="s">
        <v>3167</v>
      </c>
      <c r="H60" t="s">
        <v>3166</v>
      </c>
      <c r="J60" t="s">
        <v>758</v>
      </c>
      <c r="K60" t="s">
        <v>759</v>
      </c>
      <c r="L60" t="s">
        <v>4359</v>
      </c>
      <c r="M60">
        <v>-5.8063070000000003</v>
      </c>
      <c r="N60" t="s">
        <v>4358</v>
      </c>
      <c r="O60" t="s">
        <v>760</v>
      </c>
      <c r="P60" t="s">
        <v>760</v>
      </c>
      <c r="R60" t="s">
        <v>2417</v>
      </c>
      <c r="S60" t="s">
        <v>2418</v>
      </c>
      <c r="T60">
        <v>4</v>
      </c>
      <c r="U60" t="s">
        <v>2430</v>
      </c>
      <c r="V60" t="s">
        <v>2431</v>
      </c>
      <c r="W60">
        <v>6</v>
      </c>
      <c r="X60" t="s">
        <v>2440</v>
      </c>
      <c r="Y60" t="s">
        <v>2441</v>
      </c>
      <c r="Z60">
        <v>2</v>
      </c>
      <c r="AA60" t="s">
        <v>73</v>
      </c>
      <c r="AB60" t="s">
        <v>73</v>
      </c>
      <c r="AF60">
        <v>663.16793673788038</v>
      </c>
      <c r="AG60">
        <v>6.8571428571429003</v>
      </c>
      <c r="AH60">
        <v>34</v>
      </c>
      <c r="AI60">
        <v>40</v>
      </c>
      <c r="AJ60">
        <v>407.67865986748382</v>
      </c>
      <c r="AK60">
        <v>692.51428571428994</v>
      </c>
      <c r="AM60">
        <v>464.75012381447726</v>
      </c>
      <c r="AN60">
        <v>424</v>
      </c>
      <c r="AO60" t="s">
        <v>5504</v>
      </c>
      <c r="AP60" t="s">
        <v>757</v>
      </c>
    </row>
    <row r="61" spans="1:42" x14ac:dyDescent="0.25">
      <c r="A61">
        <v>60</v>
      </c>
      <c r="B61" t="s">
        <v>477</v>
      </c>
      <c r="C61" t="s">
        <v>477</v>
      </c>
      <c r="D61" t="s">
        <v>478</v>
      </c>
      <c r="E61" t="s">
        <v>351</v>
      </c>
      <c r="F61" t="s">
        <v>352</v>
      </c>
      <c r="G61" t="s">
        <v>257</v>
      </c>
      <c r="H61" t="s">
        <v>258</v>
      </c>
      <c r="I61" t="s">
        <v>479</v>
      </c>
      <c r="J61" t="s">
        <v>480</v>
      </c>
      <c r="K61" t="s">
        <v>481</v>
      </c>
      <c r="L61">
        <v>50.7656229217</v>
      </c>
      <c r="M61">
        <v>4.3000836335899999</v>
      </c>
      <c r="N61" t="s">
        <v>4249</v>
      </c>
      <c r="Q61">
        <v>14</v>
      </c>
      <c r="R61" t="s">
        <v>2414</v>
      </c>
      <c r="S61" t="s">
        <v>2415</v>
      </c>
      <c r="T61">
        <v>3</v>
      </c>
      <c r="U61" t="s">
        <v>3137</v>
      </c>
      <c r="V61" t="s">
        <v>3136</v>
      </c>
      <c r="W61">
        <v>5</v>
      </c>
      <c r="X61" t="s">
        <v>2443</v>
      </c>
      <c r="Y61" t="s">
        <v>2444</v>
      </c>
      <c r="Z61">
        <v>3</v>
      </c>
      <c r="AE61" t="s">
        <v>2698</v>
      </c>
      <c r="AF61">
        <v>662.52407838719614</v>
      </c>
      <c r="AG61">
        <v>7.7388059701492997</v>
      </c>
      <c r="AH61">
        <v>133</v>
      </c>
      <c r="AI61">
        <v>72</v>
      </c>
      <c r="AJ61">
        <v>346.98197764414573</v>
      </c>
      <c r="AK61">
        <v>800.48059701493003</v>
      </c>
      <c r="AL61">
        <v>2004</v>
      </c>
      <c r="AM61">
        <v>485.77476870180396</v>
      </c>
      <c r="AN61">
        <v>0</v>
      </c>
      <c r="AO61" t="s">
        <v>5505</v>
      </c>
      <c r="AP61" t="s">
        <v>478</v>
      </c>
    </row>
    <row r="62" spans="1:42" x14ac:dyDescent="0.25">
      <c r="A62">
        <v>61</v>
      </c>
      <c r="B62" t="s">
        <v>264</v>
      </c>
      <c r="C62" t="s">
        <v>264</v>
      </c>
      <c r="D62" t="s">
        <v>265</v>
      </c>
      <c r="E62" t="s">
        <v>218</v>
      </c>
      <c r="F62" t="s">
        <v>219</v>
      </c>
      <c r="G62" t="s">
        <v>69</v>
      </c>
      <c r="H62" t="s">
        <v>70</v>
      </c>
      <c r="I62" t="s">
        <v>266</v>
      </c>
      <c r="J62" t="s">
        <v>241</v>
      </c>
      <c r="K62" t="s">
        <v>242</v>
      </c>
      <c r="L62" t="s">
        <v>4354</v>
      </c>
      <c r="M62" t="s">
        <v>4355</v>
      </c>
      <c r="N62" t="s">
        <v>4353</v>
      </c>
      <c r="O62" t="s">
        <v>267</v>
      </c>
      <c r="P62" t="s">
        <v>267</v>
      </c>
      <c r="Q62">
        <v>10</v>
      </c>
      <c r="R62" t="s">
        <v>2409</v>
      </c>
      <c r="S62" t="s">
        <v>2410</v>
      </c>
      <c r="T62">
        <v>2</v>
      </c>
      <c r="U62" t="s">
        <v>3137</v>
      </c>
      <c r="V62" t="s">
        <v>3136</v>
      </c>
      <c r="W62">
        <v>5</v>
      </c>
      <c r="X62" t="s">
        <v>2437</v>
      </c>
      <c r="Y62" t="s">
        <v>2438</v>
      </c>
      <c r="Z62">
        <v>1</v>
      </c>
      <c r="AA62" t="s">
        <v>73</v>
      </c>
      <c r="AB62" t="s">
        <v>73</v>
      </c>
      <c r="AF62">
        <v>661.51345810130408</v>
      </c>
      <c r="AG62">
        <v>7.4852941176470997</v>
      </c>
      <c r="AH62">
        <v>67</v>
      </c>
      <c r="AI62">
        <v>58</v>
      </c>
      <c r="AJ62">
        <v>367.2763913543879</v>
      </c>
      <c r="AK62">
        <v>761.92941176470993</v>
      </c>
      <c r="AM62">
        <v>458.18694789614295</v>
      </c>
      <c r="AN62">
        <v>224</v>
      </c>
      <c r="AO62" t="s">
        <v>5506</v>
      </c>
      <c r="AP62" t="s">
        <v>265</v>
      </c>
    </row>
    <row r="63" spans="1:42" x14ac:dyDescent="0.25">
      <c r="A63">
        <v>62</v>
      </c>
      <c r="B63" t="s">
        <v>1413</v>
      </c>
      <c r="C63" t="s">
        <v>1413</v>
      </c>
      <c r="D63" t="s">
        <v>4885</v>
      </c>
      <c r="E63" t="s">
        <v>630</v>
      </c>
      <c r="F63" t="s">
        <v>631</v>
      </c>
      <c r="G63" t="s">
        <v>60</v>
      </c>
      <c r="H63" t="s">
        <v>61</v>
      </c>
      <c r="I63" t="s">
        <v>1414</v>
      </c>
      <c r="J63" t="s">
        <v>3036</v>
      </c>
      <c r="K63" t="s">
        <v>3353</v>
      </c>
      <c r="L63" t="s">
        <v>4401</v>
      </c>
      <c r="M63" t="s">
        <v>4402</v>
      </c>
      <c r="N63" t="s">
        <v>4400</v>
      </c>
      <c r="R63" t="s">
        <v>2409</v>
      </c>
      <c r="S63" t="s">
        <v>2410</v>
      </c>
      <c r="T63">
        <v>2</v>
      </c>
      <c r="U63" t="s">
        <v>2432</v>
      </c>
      <c r="V63" t="s">
        <v>2433</v>
      </c>
      <c r="W63">
        <v>7</v>
      </c>
      <c r="X63" t="s">
        <v>2440</v>
      </c>
      <c r="Y63" t="s">
        <v>2441</v>
      </c>
      <c r="Z63">
        <v>2</v>
      </c>
      <c r="AA63" t="s">
        <v>73</v>
      </c>
      <c r="AB63" t="s">
        <v>73</v>
      </c>
      <c r="AC63" t="s">
        <v>1415</v>
      </c>
      <c r="AD63" t="s">
        <v>1416</v>
      </c>
      <c r="AE63" t="s">
        <v>1417</v>
      </c>
      <c r="AF63">
        <v>648.07464854095701</v>
      </c>
      <c r="AG63">
        <v>8.5924764890282006</v>
      </c>
      <c r="AH63">
        <v>318</v>
      </c>
      <c r="AI63">
        <v>130</v>
      </c>
      <c r="AJ63">
        <v>262.94536009949667</v>
      </c>
      <c r="AK63">
        <v>922.84764890282008</v>
      </c>
      <c r="AM63">
        <v>256.12350413929533</v>
      </c>
      <c r="AN63">
        <v>448</v>
      </c>
      <c r="AO63" t="s">
        <v>5507</v>
      </c>
      <c r="AP63" t="s">
        <v>4885</v>
      </c>
    </row>
    <row r="64" spans="1:42" x14ac:dyDescent="0.25">
      <c r="A64">
        <v>63</v>
      </c>
      <c r="B64" t="s">
        <v>1826</v>
      </c>
      <c r="C64" t="s">
        <v>1826</v>
      </c>
      <c r="D64" t="s">
        <v>1827</v>
      </c>
      <c r="E64" t="s">
        <v>218</v>
      </c>
      <c r="F64" t="s">
        <v>219</v>
      </c>
      <c r="G64" t="s">
        <v>69</v>
      </c>
      <c r="H64" t="s">
        <v>70</v>
      </c>
      <c r="I64" t="s">
        <v>1828</v>
      </c>
      <c r="J64" t="s">
        <v>408</v>
      </c>
      <c r="K64" t="s">
        <v>409</v>
      </c>
      <c r="L64">
        <v>41.596668538800003</v>
      </c>
      <c r="M64">
        <v>-4.1146977383500003</v>
      </c>
      <c r="O64" t="s">
        <v>73</v>
      </c>
      <c r="P64" t="s">
        <v>73</v>
      </c>
      <c r="Q64">
        <v>11</v>
      </c>
      <c r="R64" t="s">
        <v>2409</v>
      </c>
      <c r="S64" t="s">
        <v>2410</v>
      </c>
      <c r="T64">
        <v>2</v>
      </c>
      <c r="U64" t="s">
        <v>2432</v>
      </c>
      <c r="V64" t="s">
        <v>2433</v>
      </c>
      <c r="W64">
        <v>7</v>
      </c>
      <c r="X64" t="s">
        <v>2437</v>
      </c>
      <c r="Y64" t="s">
        <v>2438</v>
      </c>
      <c r="Z64">
        <v>1</v>
      </c>
      <c r="AA64" t="s">
        <v>73</v>
      </c>
      <c r="AB64" t="s">
        <v>73</v>
      </c>
      <c r="AE64" t="s">
        <v>2704</v>
      </c>
      <c r="AF64">
        <v>647.52028504706936</v>
      </c>
      <c r="AG64">
        <v>6.4427480916031001</v>
      </c>
      <c r="AH64">
        <v>130</v>
      </c>
      <c r="AI64">
        <v>42</v>
      </c>
      <c r="AJ64">
        <v>402.64764496323806</v>
      </c>
      <c r="AK64">
        <v>670.27480916031004</v>
      </c>
      <c r="AM64">
        <v>507.70670294853323</v>
      </c>
      <c r="AN64">
        <v>224</v>
      </c>
      <c r="AO64" t="s">
        <v>5508</v>
      </c>
      <c r="AP64" t="s">
        <v>1827</v>
      </c>
    </row>
    <row r="65" spans="1:42" x14ac:dyDescent="0.25">
      <c r="A65">
        <v>64</v>
      </c>
      <c r="B65" t="s">
        <v>766</v>
      </c>
      <c r="C65" t="s">
        <v>766</v>
      </c>
      <c r="D65" t="s">
        <v>767</v>
      </c>
      <c r="E65" t="s">
        <v>67</v>
      </c>
      <c r="F65" t="s">
        <v>68</v>
      </c>
      <c r="G65" t="s">
        <v>69</v>
      </c>
      <c r="H65" t="s">
        <v>70</v>
      </c>
      <c r="I65" t="s">
        <v>768</v>
      </c>
      <c r="J65" t="s">
        <v>769</v>
      </c>
      <c r="K65" t="s">
        <v>770</v>
      </c>
      <c r="L65" t="s">
        <v>4322</v>
      </c>
      <c r="M65" t="s">
        <v>4323</v>
      </c>
      <c r="N65" t="s">
        <v>4321</v>
      </c>
      <c r="O65" t="s">
        <v>771</v>
      </c>
      <c r="P65" t="s">
        <v>771</v>
      </c>
      <c r="Q65">
        <v>13</v>
      </c>
      <c r="R65" t="s">
        <v>2417</v>
      </c>
      <c r="S65" t="s">
        <v>2418</v>
      </c>
      <c r="T65">
        <v>4</v>
      </c>
      <c r="U65" t="s">
        <v>3137</v>
      </c>
      <c r="V65" t="s">
        <v>3136</v>
      </c>
      <c r="W65">
        <v>5</v>
      </c>
      <c r="X65" t="s">
        <v>2437</v>
      </c>
      <c r="Y65" t="s">
        <v>2438</v>
      </c>
      <c r="Z65">
        <v>1</v>
      </c>
      <c r="AA65" t="s">
        <v>73</v>
      </c>
      <c r="AB65" t="s">
        <v>73</v>
      </c>
      <c r="AF65">
        <v>646.3782056429294</v>
      </c>
      <c r="AG65">
        <v>6.4745762711864003</v>
      </c>
      <c r="AH65">
        <v>58</v>
      </c>
      <c r="AI65">
        <v>41</v>
      </c>
      <c r="AJ65">
        <v>407.61043564845482</v>
      </c>
      <c r="AK65">
        <v>659.05762711864008</v>
      </c>
      <c r="AM65">
        <v>542.65460990783674</v>
      </c>
      <c r="AN65">
        <v>112</v>
      </c>
      <c r="AO65" t="s">
        <v>5509</v>
      </c>
      <c r="AP65" t="s">
        <v>767</v>
      </c>
    </row>
    <row r="66" spans="1:42" x14ac:dyDescent="0.25">
      <c r="A66">
        <v>65</v>
      </c>
      <c r="B66" t="s">
        <v>1774</v>
      </c>
      <c r="C66" t="s">
        <v>1774</v>
      </c>
      <c r="D66" t="s">
        <v>2660</v>
      </c>
      <c r="E66" t="s">
        <v>1775</v>
      </c>
      <c r="F66" t="s">
        <v>1775</v>
      </c>
      <c r="G66" t="s">
        <v>1776</v>
      </c>
      <c r="H66" t="s">
        <v>1777</v>
      </c>
      <c r="Q66">
        <v>15</v>
      </c>
      <c r="R66" t="s">
        <v>2414</v>
      </c>
      <c r="S66" t="s">
        <v>2415</v>
      </c>
      <c r="T66">
        <v>3</v>
      </c>
      <c r="U66" t="s">
        <v>3137</v>
      </c>
      <c r="V66" t="s">
        <v>3136</v>
      </c>
      <c r="W66">
        <v>5</v>
      </c>
      <c r="X66" t="s">
        <v>2437</v>
      </c>
      <c r="Y66" t="s">
        <v>2438</v>
      </c>
      <c r="Z66">
        <v>1</v>
      </c>
      <c r="AA66" t="s">
        <v>73</v>
      </c>
      <c r="AB66" t="s">
        <v>73</v>
      </c>
      <c r="AC66" t="s">
        <v>5078</v>
      </c>
      <c r="AD66" t="s">
        <v>5078</v>
      </c>
      <c r="AF66">
        <v>643.00451378605942</v>
      </c>
      <c r="AG66">
        <v>8.2962962962962994</v>
      </c>
      <c r="AH66">
        <v>26</v>
      </c>
      <c r="AI66">
        <v>95</v>
      </c>
      <c r="AJ66">
        <v>306.21077663471607</v>
      </c>
      <c r="AK66">
        <v>834.82962962962995</v>
      </c>
      <c r="AM66">
        <v>316.69508728860251</v>
      </c>
      <c r="AN66">
        <v>448</v>
      </c>
      <c r="AO66" t="s">
        <v>5510</v>
      </c>
      <c r="AP66" t="s">
        <v>2660</v>
      </c>
    </row>
    <row r="67" spans="1:42" x14ac:dyDescent="0.25">
      <c r="A67">
        <v>66</v>
      </c>
      <c r="B67" t="s">
        <v>705</v>
      </c>
      <c r="C67" t="s">
        <v>705</v>
      </c>
      <c r="D67" t="s">
        <v>706</v>
      </c>
      <c r="E67" t="s">
        <v>595</v>
      </c>
      <c r="F67" t="s">
        <v>596</v>
      </c>
      <c r="G67" t="s">
        <v>3167</v>
      </c>
      <c r="H67" t="s">
        <v>3166</v>
      </c>
      <c r="I67" t="s">
        <v>874</v>
      </c>
      <c r="J67" t="s">
        <v>707</v>
      </c>
      <c r="K67" t="s">
        <v>708</v>
      </c>
      <c r="L67" t="s">
        <v>4340</v>
      </c>
      <c r="M67" t="s">
        <v>4341</v>
      </c>
      <c r="N67" t="s">
        <v>4339</v>
      </c>
      <c r="O67" t="s">
        <v>166</v>
      </c>
      <c r="P67" t="s">
        <v>167</v>
      </c>
      <c r="Q67">
        <v>13</v>
      </c>
      <c r="R67" t="s">
        <v>2414</v>
      </c>
      <c r="S67" t="s">
        <v>2415</v>
      </c>
      <c r="T67">
        <v>3</v>
      </c>
      <c r="U67" t="s">
        <v>3137</v>
      </c>
      <c r="V67" t="s">
        <v>3136</v>
      </c>
      <c r="W67">
        <v>5</v>
      </c>
      <c r="X67" t="s">
        <v>2443</v>
      </c>
      <c r="Y67" t="s">
        <v>2444</v>
      </c>
      <c r="Z67">
        <v>3</v>
      </c>
      <c r="AA67" t="s">
        <v>73</v>
      </c>
      <c r="AB67" t="s">
        <v>73</v>
      </c>
      <c r="AE67" t="s">
        <v>709</v>
      </c>
      <c r="AF67">
        <v>642.55090712074525</v>
      </c>
      <c r="AG67">
        <v>7.5302013422818996</v>
      </c>
      <c r="AH67">
        <v>148</v>
      </c>
      <c r="AI67">
        <v>82</v>
      </c>
      <c r="AJ67">
        <v>334.71204445183355</v>
      </c>
      <c r="AK67">
        <v>782.62013422818995</v>
      </c>
      <c r="AM67">
        <v>412.59686223256693</v>
      </c>
      <c r="AN67">
        <v>224</v>
      </c>
      <c r="AO67" t="s">
        <v>5511</v>
      </c>
      <c r="AP67" t="s">
        <v>706</v>
      </c>
    </row>
    <row r="68" spans="1:42" x14ac:dyDescent="0.25">
      <c r="A68">
        <v>67</v>
      </c>
      <c r="B68" t="s">
        <v>1208</v>
      </c>
      <c r="C68" t="s">
        <v>1208</v>
      </c>
      <c r="D68" t="s">
        <v>5512</v>
      </c>
      <c r="E68" t="s">
        <v>218</v>
      </c>
      <c r="F68" t="s">
        <v>219</v>
      </c>
      <c r="G68" t="s">
        <v>69</v>
      </c>
      <c r="H68" t="s">
        <v>70</v>
      </c>
      <c r="I68" t="s">
        <v>1209</v>
      </c>
      <c r="J68" t="s">
        <v>408</v>
      </c>
      <c r="K68" t="s">
        <v>409</v>
      </c>
      <c r="L68" t="s">
        <v>4372</v>
      </c>
      <c r="M68" t="s">
        <v>4373</v>
      </c>
      <c r="O68" t="s">
        <v>1210</v>
      </c>
      <c r="P68" t="s">
        <v>1211</v>
      </c>
      <c r="Q68">
        <v>15</v>
      </c>
      <c r="R68" t="s">
        <v>2406</v>
      </c>
      <c r="S68" t="s">
        <v>2407</v>
      </c>
      <c r="T68">
        <v>1</v>
      </c>
      <c r="U68" t="s">
        <v>2430</v>
      </c>
      <c r="V68" t="s">
        <v>2431</v>
      </c>
      <c r="W68">
        <v>6</v>
      </c>
      <c r="X68" t="s">
        <v>2437</v>
      </c>
      <c r="Y68" t="s">
        <v>2438</v>
      </c>
      <c r="Z68">
        <v>1</v>
      </c>
      <c r="AA68" t="s">
        <v>73</v>
      </c>
      <c r="AB68" t="s">
        <v>73</v>
      </c>
      <c r="AF68">
        <v>638.83711638019599</v>
      </c>
      <c r="AG68">
        <v>7.2162162162161998</v>
      </c>
      <c r="AH68">
        <v>110</v>
      </c>
      <c r="AI68">
        <v>66</v>
      </c>
      <c r="AJ68">
        <v>352.25145063265103</v>
      </c>
      <c r="AK68">
        <v>743.62162162161997</v>
      </c>
      <c r="AM68">
        <v>437.15203088571138</v>
      </c>
      <c r="AN68">
        <v>224</v>
      </c>
      <c r="AO68" t="s">
        <v>5513</v>
      </c>
      <c r="AP68" t="s">
        <v>5512</v>
      </c>
    </row>
    <row r="69" spans="1:42" x14ac:dyDescent="0.25">
      <c r="A69">
        <v>68</v>
      </c>
      <c r="B69" t="s">
        <v>1147</v>
      </c>
      <c r="C69" t="s">
        <v>1147</v>
      </c>
      <c r="D69" t="s">
        <v>1148</v>
      </c>
      <c r="E69" t="s">
        <v>67</v>
      </c>
      <c r="F69" t="s">
        <v>68</v>
      </c>
      <c r="G69" t="s">
        <v>3845</v>
      </c>
      <c r="H69" t="s">
        <v>3844</v>
      </c>
      <c r="I69" t="s">
        <v>1149</v>
      </c>
      <c r="J69" t="s">
        <v>796</v>
      </c>
      <c r="K69" t="s">
        <v>797</v>
      </c>
      <c r="L69" t="s">
        <v>4316</v>
      </c>
      <c r="M69" t="s">
        <v>4317</v>
      </c>
      <c r="N69" t="s">
        <v>4315</v>
      </c>
      <c r="Q69">
        <v>13</v>
      </c>
      <c r="R69" t="s">
        <v>2406</v>
      </c>
      <c r="S69" t="s">
        <v>2407</v>
      </c>
      <c r="T69">
        <v>1</v>
      </c>
      <c r="U69" t="s">
        <v>2430</v>
      </c>
      <c r="V69" t="s">
        <v>2431</v>
      </c>
      <c r="W69">
        <v>6</v>
      </c>
      <c r="X69" t="s">
        <v>2437</v>
      </c>
      <c r="Y69" t="s">
        <v>2438</v>
      </c>
      <c r="Z69">
        <v>1</v>
      </c>
      <c r="AA69" t="s">
        <v>73</v>
      </c>
      <c r="AB69" t="s">
        <v>73</v>
      </c>
      <c r="AE69" t="s">
        <v>2699</v>
      </c>
      <c r="AF69">
        <v>637.64967336953009</v>
      </c>
      <c r="AG69">
        <v>7.4715447154471999</v>
      </c>
      <c r="AH69">
        <v>122</v>
      </c>
      <c r="AI69">
        <v>81</v>
      </c>
      <c r="AJ69">
        <v>335.41381955241121</v>
      </c>
      <c r="AK69">
        <v>771.55447154471995</v>
      </c>
      <c r="AL69">
        <v>2012</v>
      </c>
      <c r="AM69">
        <v>441.5793473733757</v>
      </c>
      <c r="AN69">
        <v>112</v>
      </c>
      <c r="AO69" t="s">
        <v>5514</v>
      </c>
      <c r="AP69" t="s">
        <v>1148</v>
      </c>
    </row>
    <row r="70" spans="1:42" x14ac:dyDescent="0.25">
      <c r="A70">
        <v>69</v>
      </c>
      <c r="B70" t="s">
        <v>2310</v>
      </c>
      <c r="C70" t="s">
        <v>2310</v>
      </c>
      <c r="D70" t="s">
        <v>2311</v>
      </c>
      <c r="E70" t="s">
        <v>199</v>
      </c>
      <c r="F70" t="s">
        <v>200</v>
      </c>
      <c r="I70" t="s">
        <v>446</v>
      </c>
      <c r="J70" t="s">
        <v>447</v>
      </c>
      <c r="K70" t="s">
        <v>448</v>
      </c>
      <c r="L70">
        <v>48.842708848999997</v>
      </c>
      <c r="M70">
        <v>2.4354929059599999</v>
      </c>
      <c r="N70" t="s">
        <v>4246</v>
      </c>
      <c r="O70" t="s">
        <v>2312</v>
      </c>
      <c r="P70" t="s">
        <v>2313</v>
      </c>
      <c r="Q70">
        <v>12</v>
      </c>
      <c r="R70" t="s">
        <v>2420</v>
      </c>
      <c r="S70" t="s">
        <v>2421</v>
      </c>
      <c r="T70">
        <v>5</v>
      </c>
      <c r="U70" t="s">
        <v>2430</v>
      </c>
      <c r="V70" t="s">
        <v>2431</v>
      </c>
      <c r="W70">
        <v>6</v>
      </c>
      <c r="X70" t="s">
        <v>2440</v>
      </c>
      <c r="Y70" t="s">
        <v>2441</v>
      </c>
      <c r="Z70">
        <v>2</v>
      </c>
      <c r="AA70" t="s">
        <v>2314</v>
      </c>
      <c r="AB70" t="s">
        <v>2315</v>
      </c>
      <c r="AE70" t="s">
        <v>2316</v>
      </c>
      <c r="AF70">
        <v>635.3617609727886</v>
      </c>
      <c r="AG70">
        <v>6.5364238410595998</v>
      </c>
      <c r="AH70">
        <v>150</v>
      </c>
      <c r="AI70">
        <v>50</v>
      </c>
      <c r="AJ70">
        <v>381.7117432442318</v>
      </c>
      <c r="AK70">
        <v>683.64238410595999</v>
      </c>
      <c r="AL70">
        <v>2004</v>
      </c>
      <c r="AM70">
        <v>534.39644054192445</v>
      </c>
      <c r="AN70">
        <v>0</v>
      </c>
      <c r="AO70" t="s">
        <v>5515</v>
      </c>
      <c r="AP70" t="s">
        <v>2311</v>
      </c>
    </row>
    <row r="71" spans="1:42" x14ac:dyDescent="0.25">
      <c r="A71">
        <v>70</v>
      </c>
      <c r="B71" t="s">
        <v>1373</v>
      </c>
      <c r="C71" t="s">
        <v>1373</v>
      </c>
      <c r="D71" t="s">
        <v>2483</v>
      </c>
      <c r="E71" t="s">
        <v>183</v>
      </c>
      <c r="F71" t="s">
        <v>184</v>
      </c>
      <c r="G71" t="s">
        <v>158</v>
      </c>
      <c r="H71" t="s">
        <v>159</v>
      </c>
      <c r="I71" t="s">
        <v>1374</v>
      </c>
      <c r="J71" t="s">
        <v>1511</v>
      </c>
      <c r="K71" t="s">
        <v>3020</v>
      </c>
      <c r="L71">
        <v>46.755000000000003</v>
      </c>
      <c r="M71">
        <v>14.453611</v>
      </c>
      <c r="N71" t="s">
        <v>4206</v>
      </c>
      <c r="O71" t="s">
        <v>2567</v>
      </c>
      <c r="P71" t="s">
        <v>2568</v>
      </c>
      <c r="Q71">
        <v>13</v>
      </c>
      <c r="R71" t="s">
        <v>2406</v>
      </c>
      <c r="S71" t="s">
        <v>2407</v>
      </c>
      <c r="T71">
        <v>1</v>
      </c>
      <c r="U71" t="s">
        <v>3137</v>
      </c>
      <c r="V71" t="s">
        <v>3136</v>
      </c>
      <c r="W71">
        <v>5</v>
      </c>
      <c r="X71" t="s">
        <v>2437</v>
      </c>
      <c r="Y71" t="s">
        <v>2438</v>
      </c>
      <c r="Z71">
        <v>1</v>
      </c>
      <c r="AC71" t="s">
        <v>1375</v>
      </c>
      <c r="AD71" t="s">
        <v>1375</v>
      </c>
      <c r="AE71" t="s">
        <v>1376</v>
      </c>
      <c r="AF71">
        <v>634.80333525548167</v>
      </c>
      <c r="AG71">
        <v>7.1307692307692001</v>
      </c>
      <c r="AH71">
        <v>129</v>
      </c>
      <c r="AI71">
        <v>69</v>
      </c>
      <c r="AJ71">
        <v>350.40541524113524</v>
      </c>
      <c r="AK71">
        <v>738.87692307691998</v>
      </c>
      <c r="AM71">
        <v>490.56758133758933</v>
      </c>
      <c r="AN71">
        <v>0</v>
      </c>
      <c r="AO71" t="s">
        <v>5516</v>
      </c>
      <c r="AP71" t="s">
        <v>2483</v>
      </c>
    </row>
    <row r="72" spans="1:42" x14ac:dyDescent="0.25">
      <c r="A72">
        <v>71</v>
      </c>
      <c r="B72" t="s">
        <v>819</v>
      </c>
      <c r="C72" t="s">
        <v>819</v>
      </c>
      <c r="D72" t="s">
        <v>820</v>
      </c>
      <c r="E72" t="s">
        <v>199</v>
      </c>
      <c r="F72" t="s">
        <v>200</v>
      </c>
      <c r="I72" t="s">
        <v>821</v>
      </c>
      <c r="J72" t="s">
        <v>411</v>
      </c>
      <c r="K72" t="s">
        <v>412</v>
      </c>
      <c r="L72" t="s">
        <v>4394</v>
      </c>
      <c r="M72" t="s">
        <v>4395</v>
      </c>
      <c r="N72" t="s">
        <v>4393</v>
      </c>
      <c r="O72" t="s">
        <v>822</v>
      </c>
      <c r="P72" t="s">
        <v>823</v>
      </c>
      <c r="Q72">
        <v>12</v>
      </c>
      <c r="R72" t="s">
        <v>2409</v>
      </c>
      <c r="S72" t="s">
        <v>2410</v>
      </c>
      <c r="T72">
        <v>2</v>
      </c>
      <c r="U72" t="s">
        <v>2430</v>
      </c>
      <c r="V72" t="s">
        <v>2431</v>
      </c>
      <c r="W72">
        <v>6</v>
      </c>
      <c r="X72" t="s">
        <v>2443</v>
      </c>
      <c r="Y72" t="s">
        <v>2444</v>
      </c>
      <c r="Z72">
        <v>3</v>
      </c>
      <c r="AA72" t="s">
        <v>824</v>
      </c>
      <c r="AB72" t="s">
        <v>824</v>
      </c>
      <c r="AC72" t="s">
        <v>825</v>
      </c>
      <c r="AD72" t="s">
        <v>825</v>
      </c>
      <c r="AE72" t="s">
        <v>826</v>
      </c>
      <c r="AF72">
        <v>633.77705103192602</v>
      </c>
      <c r="AG72">
        <v>6.3679245283019004</v>
      </c>
      <c r="AH72">
        <v>105</v>
      </c>
      <c r="AI72">
        <v>47</v>
      </c>
      <c r="AJ72">
        <v>394.31202735203436</v>
      </c>
      <c r="AK72">
        <v>657.79245283019009</v>
      </c>
      <c r="AL72">
        <v>2005</v>
      </c>
      <c r="AM72">
        <v>552.03683829284807</v>
      </c>
      <c r="AN72">
        <v>0</v>
      </c>
      <c r="AO72" t="s">
        <v>5517</v>
      </c>
      <c r="AP72" t="s">
        <v>820</v>
      </c>
    </row>
    <row r="73" spans="1:42" x14ac:dyDescent="0.25">
      <c r="A73">
        <v>72</v>
      </c>
      <c r="B73" t="s">
        <v>2010</v>
      </c>
      <c r="C73" t="s">
        <v>2010</v>
      </c>
      <c r="D73" t="s">
        <v>4360</v>
      </c>
      <c r="E73" t="s">
        <v>213</v>
      </c>
      <c r="F73" t="s">
        <v>214</v>
      </c>
      <c r="G73" t="s">
        <v>75</v>
      </c>
      <c r="H73" t="s">
        <v>76</v>
      </c>
      <c r="I73" t="s">
        <v>2011</v>
      </c>
      <c r="L73" t="s">
        <v>4361</v>
      </c>
      <c r="M73" t="s">
        <v>4362</v>
      </c>
      <c r="Q73">
        <v>10</v>
      </c>
      <c r="R73" t="s">
        <v>2409</v>
      </c>
      <c r="S73" t="s">
        <v>2410</v>
      </c>
      <c r="T73">
        <v>2</v>
      </c>
      <c r="U73" t="s">
        <v>2432</v>
      </c>
      <c r="V73" t="s">
        <v>2433</v>
      </c>
      <c r="W73">
        <v>7</v>
      </c>
      <c r="X73" t="s">
        <v>2446</v>
      </c>
      <c r="Y73" t="s">
        <v>2447</v>
      </c>
      <c r="Z73">
        <v>4</v>
      </c>
      <c r="AA73" t="s">
        <v>3149</v>
      </c>
      <c r="AB73" t="s">
        <v>3150</v>
      </c>
      <c r="AC73" t="s">
        <v>3148</v>
      </c>
      <c r="AD73" t="s">
        <v>4009</v>
      </c>
      <c r="AE73" t="s">
        <v>3151</v>
      </c>
      <c r="AF73">
        <v>630.95081465556723</v>
      </c>
      <c r="AG73">
        <v>6.2556390977443996</v>
      </c>
      <c r="AH73">
        <v>132</v>
      </c>
      <c r="AI73">
        <v>46</v>
      </c>
      <c r="AJ73">
        <v>394.40984418705256</v>
      </c>
      <c r="AK73">
        <v>651.96390977443991</v>
      </c>
      <c r="AM73">
        <v>496.17378186187352</v>
      </c>
      <c r="AN73">
        <v>224</v>
      </c>
      <c r="AO73" t="s">
        <v>5518</v>
      </c>
      <c r="AP73" t="s">
        <v>4360</v>
      </c>
    </row>
    <row r="74" spans="1:42" x14ac:dyDescent="0.25">
      <c r="A74">
        <v>73</v>
      </c>
      <c r="B74" t="s">
        <v>338</v>
      </c>
      <c r="C74" t="s">
        <v>338</v>
      </c>
      <c r="D74" t="s">
        <v>1993</v>
      </c>
      <c r="E74" t="s">
        <v>137</v>
      </c>
      <c r="F74" t="s">
        <v>138</v>
      </c>
      <c r="G74" t="s">
        <v>139</v>
      </c>
      <c r="H74" t="s">
        <v>140</v>
      </c>
      <c r="I74" t="s">
        <v>1994</v>
      </c>
      <c r="J74" t="s">
        <v>689</v>
      </c>
      <c r="K74" t="s">
        <v>690</v>
      </c>
      <c r="L74" t="s">
        <v>4391</v>
      </c>
      <c r="M74" t="s">
        <v>4392</v>
      </c>
      <c r="Q74">
        <v>11</v>
      </c>
      <c r="R74" t="s">
        <v>2406</v>
      </c>
      <c r="S74" t="s">
        <v>2407</v>
      </c>
      <c r="T74">
        <v>1</v>
      </c>
      <c r="U74" t="s">
        <v>2430</v>
      </c>
      <c r="V74" t="s">
        <v>2431</v>
      </c>
      <c r="W74">
        <v>6</v>
      </c>
      <c r="X74" t="s">
        <v>2440</v>
      </c>
      <c r="Y74" t="s">
        <v>2441</v>
      </c>
      <c r="Z74">
        <v>2</v>
      </c>
      <c r="AA74" t="s">
        <v>73</v>
      </c>
      <c r="AB74" t="s">
        <v>73</v>
      </c>
      <c r="AF74">
        <v>629.53347391947909</v>
      </c>
      <c r="AG74">
        <v>5.6129032258064999</v>
      </c>
      <c r="AH74">
        <v>61</v>
      </c>
      <c r="AI74">
        <v>35</v>
      </c>
      <c r="AJ74">
        <v>436.43145847683775</v>
      </c>
      <c r="AK74">
        <v>573.49032258065006</v>
      </c>
      <c r="AM74">
        <v>611.00404186757282</v>
      </c>
      <c r="AN74">
        <v>0</v>
      </c>
      <c r="AO74" t="s">
        <v>5519</v>
      </c>
      <c r="AP74" t="s">
        <v>1993</v>
      </c>
    </row>
    <row r="75" spans="1:42" x14ac:dyDescent="0.25">
      <c r="A75">
        <v>74</v>
      </c>
      <c r="B75" t="s">
        <v>1237</v>
      </c>
      <c r="C75" t="s">
        <v>1237</v>
      </c>
      <c r="D75" t="s">
        <v>1238</v>
      </c>
      <c r="E75" t="s">
        <v>199</v>
      </c>
      <c r="F75" t="s">
        <v>200</v>
      </c>
      <c r="J75" t="s">
        <v>360</v>
      </c>
      <c r="K75" t="s">
        <v>361</v>
      </c>
      <c r="L75" t="s">
        <v>4334</v>
      </c>
      <c r="M75" t="s">
        <v>4335</v>
      </c>
      <c r="N75" t="s">
        <v>4333</v>
      </c>
      <c r="O75" t="s">
        <v>822</v>
      </c>
      <c r="P75" t="s">
        <v>823</v>
      </c>
      <c r="Q75">
        <v>12</v>
      </c>
      <c r="R75" t="s">
        <v>2420</v>
      </c>
      <c r="S75" t="s">
        <v>2421</v>
      </c>
      <c r="T75">
        <v>5</v>
      </c>
      <c r="U75" t="s">
        <v>2426</v>
      </c>
      <c r="V75" t="s">
        <v>2427</v>
      </c>
      <c r="W75">
        <v>2</v>
      </c>
      <c r="X75" t="s">
        <v>2443</v>
      </c>
      <c r="Y75" t="s">
        <v>2444</v>
      </c>
      <c r="Z75">
        <v>3</v>
      </c>
      <c r="AA75" t="s">
        <v>73</v>
      </c>
      <c r="AB75" t="s">
        <v>73</v>
      </c>
      <c r="AC75" t="s">
        <v>1239</v>
      </c>
      <c r="AD75" t="s">
        <v>1239</v>
      </c>
      <c r="AE75" t="s">
        <v>1240</v>
      </c>
      <c r="AF75">
        <v>625.15165854026134</v>
      </c>
      <c r="AG75">
        <v>6.7312500000000002</v>
      </c>
      <c r="AH75">
        <v>159</v>
      </c>
      <c r="AI75">
        <v>62</v>
      </c>
      <c r="AJ75">
        <v>358.54350948917926</v>
      </c>
      <c r="AK75">
        <v>704.92499999999995</v>
      </c>
      <c r="AL75">
        <v>2005</v>
      </c>
      <c r="AM75">
        <v>501.9609132848509</v>
      </c>
      <c r="AN75">
        <v>0</v>
      </c>
      <c r="AO75" t="s">
        <v>5520</v>
      </c>
      <c r="AP75" t="s">
        <v>1238</v>
      </c>
    </row>
    <row r="76" spans="1:42" x14ac:dyDescent="0.25">
      <c r="A76">
        <v>75</v>
      </c>
      <c r="B76" t="s">
        <v>2014</v>
      </c>
      <c r="C76" t="s">
        <v>3657</v>
      </c>
      <c r="D76" t="s">
        <v>3656</v>
      </c>
      <c r="E76" t="s">
        <v>666</v>
      </c>
      <c r="F76" t="s">
        <v>667</v>
      </c>
      <c r="G76" t="s">
        <v>60</v>
      </c>
      <c r="H76" t="s">
        <v>61</v>
      </c>
      <c r="I76" t="s">
        <v>3657</v>
      </c>
      <c r="J76" t="s">
        <v>3619</v>
      </c>
      <c r="K76" t="s">
        <v>3616</v>
      </c>
      <c r="L76" t="s">
        <v>4387</v>
      </c>
      <c r="M76" t="s">
        <v>4445</v>
      </c>
      <c r="Q76">
        <v>15</v>
      </c>
      <c r="R76" t="s">
        <v>2420</v>
      </c>
      <c r="S76" t="s">
        <v>2421</v>
      </c>
      <c r="T76">
        <v>5</v>
      </c>
      <c r="U76" t="s">
        <v>2430</v>
      </c>
      <c r="V76" t="s">
        <v>2431</v>
      </c>
      <c r="W76">
        <v>6</v>
      </c>
      <c r="X76" t="s">
        <v>2437</v>
      </c>
      <c r="Y76" t="s">
        <v>2438</v>
      </c>
      <c r="Z76">
        <v>1</v>
      </c>
      <c r="AA76" t="s">
        <v>73</v>
      </c>
      <c r="AB76" t="s">
        <v>73</v>
      </c>
      <c r="AE76" t="s">
        <v>2016</v>
      </c>
      <c r="AF76">
        <v>623.35839023874337</v>
      </c>
      <c r="AG76">
        <v>7.2430555555555998</v>
      </c>
      <c r="AH76">
        <v>143</v>
      </c>
      <c r="AI76">
        <v>84</v>
      </c>
      <c r="AJ76">
        <v>329.89512495662586</v>
      </c>
      <c r="AK76">
        <v>752.90555555556</v>
      </c>
      <c r="AM76">
        <v>377.85317493927619</v>
      </c>
      <c r="AN76">
        <v>336</v>
      </c>
      <c r="AO76" t="s">
        <v>5521</v>
      </c>
      <c r="AP76" t="s">
        <v>3656</v>
      </c>
    </row>
    <row r="77" spans="1:42" x14ac:dyDescent="0.25">
      <c r="A77">
        <v>76</v>
      </c>
      <c r="B77" t="s">
        <v>207</v>
      </c>
      <c r="C77" t="s">
        <v>207</v>
      </c>
      <c r="D77" t="s">
        <v>208</v>
      </c>
      <c r="E77" t="s">
        <v>209</v>
      </c>
      <c r="F77" t="s">
        <v>210</v>
      </c>
      <c r="G77" t="s">
        <v>151</v>
      </c>
      <c r="H77" t="s">
        <v>152</v>
      </c>
      <c r="I77" t="s">
        <v>211</v>
      </c>
      <c r="L77" t="s">
        <v>5032</v>
      </c>
      <c r="M77" t="s">
        <v>5033</v>
      </c>
      <c r="R77" t="s">
        <v>73</v>
      </c>
      <c r="S77" t="s">
        <v>73</v>
      </c>
      <c r="U77" t="s">
        <v>73</v>
      </c>
      <c r="V77" t="s">
        <v>73</v>
      </c>
      <c r="X77" t="s">
        <v>2440</v>
      </c>
      <c r="Y77" t="s">
        <v>2441</v>
      </c>
      <c r="Z77">
        <v>2</v>
      </c>
      <c r="AA77" t="s">
        <v>73</v>
      </c>
      <c r="AB77" t="s">
        <v>73</v>
      </c>
      <c r="AF77">
        <v>620.3231712053614</v>
      </c>
      <c r="AG77">
        <v>6.6739130434782998</v>
      </c>
      <c r="AH77">
        <v>45</v>
      </c>
      <c r="AI77">
        <v>56</v>
      </c>
      <c r="AJ77">
        <v>369.03057670160706</v>
      </c>
      <c r="AK77">
        <v>676.39130434782999</v>
      </c>
      <c r="AM77">
        <v>404.64280738224994</v>
      </c>
      <c r="AN77">
        <v>448</v>
      </c>
      <c r="AO77" t="s">
        <v>5522</v>
      </c>
      <c r="AP77" t="s">
        <v>208</v>
      </c>
    </row>
    <row r="78" spans="1:42" x14ac:dyDescent="0.25">
      <c r="A78">
        <v>77</v>
      </c>
      <c r="B78" t="s">
        <v>1983</v>
      </c>
      <c r="C78" t="s">
        <v>1983</v>
      </c>
      <c r="D78" t="s">
        <v>4242</v>
      </c>
      <c r="E78" t="s">
        <v>67</v>
      </c>
      <c r="F78" t="s">
        <v>68</v>
      </c>
      <c r="G78" t="s">
        <v>3843</v>
      </c>
      <c r="H78" t="s">
        <v>3844</v>
      </c>
      <c r="I78" t="s">
        <v>1984</v>
      </c>
      <c r="J78" t="s">
        <v>580</v>
      </c>
      <c r="K78" t="s">
        <v>581</v>
      </c>
      <c r="L78">
        <v>46.517343658000001</v>
      </c>
      <c r="M78">
        <v>11.358949880100001</v>
      </c>
      <c r="N78" t="s">
        <v>4243</v>
      </c>
      <c r="O78" t="s">
        <v>2628</v>
      </c>
      <c r="P78" t="s">
        <v>2629</v>
      </c>
      <c r="Q78">
        <v>13</v>
      </c>
      <c r="R78" t="s">
        <v>2409</v>
      </c>
      <c r="S78" t="s">
        <v>2410</v>
      </c>
      <c r="T78">
        <v>2</v>
      </c>
      <c r="U78" t="s">
        <v>2432</v>
      </c>
      <c r="V78" t="s">
        <v>2433</v>
      </c>
      <c r="W78">
        <v>7</v>
      </c>
      <c r="X78" t="s">
        <v>2440</v>
      </c>
      <c r="Y78" t="s">
        <v>2441</v>
      </c>
      <c r="Z78">
        <v>2</v>
      </c>
      <c r="AA78" t="s">
        <v>73</v>
      </c>
      <c r="AB78" t="s">
        <v>73</v>
      </c>
      <c r="AE78" t="s">
        <v>1985</v>
      </c>
      <c r="AF78">
        <v>619.1968220866022</v>
      </c>
      <c r="AG78">
        <v>7</v>
      </c>
      <c r="AH78">
        <v>76</v>
      </c>
      <c r="AI78">
        <v>75</v>
      </c>
      <c r="AJ78">
        <v>346.21869120733578</v>
      </c>
      <c r="AK78">
        <v>715.2</v>
      </c>
      <c r="AL78">
        <v>2007</v>
      </c>
      <c r="AM78">
        <v>484.70616769027009</v>
      </c>
      <c r="AN78">
        <v>0</v>
      </c>
      <c r="AO78" t="s">
        <v>5523</v>
      </c>
      <c r="AP78" t="s">
        <v>4242</v>
      </c>
    </row>
    <row r="79" spans="1:42" x14ac:dyDescent="0.25">
      <c r="A79">
        <v>78</v>
      </c>
      <c r="B79" t="s">
        <v>856</v>
      </c>
      <c r="C79" t="s">
        <v>856</v>
      </c>
      <c r="D79" t="s">
        <v>4349</v>
      </c>
      <c r="E79" t="s">
        <v>137</v>
      </c>
      <c r="F79" t="s">
        <v>138</v>
      </c>
      <c r="G79" t="s">
        <v>139</v>
      </c>
      <c r="H79" t="s">
        <v>140</v>
      </c>
      <c r="I79" t="s">
        <v>857</v>
      </c>
      <c r="J79" t="s">
        <v>689</v>
      </c>
      <c r="K79" t="s">
        <v>690</v>
      </c>
      <c r="L79" t="s">
        <v>4347</v>
      </c>
      <c r="M79" t="s">
        <v>4348</v>
      </c>
      <c r="Q79">
        <v>11</v>
      </c>
      <c r="R79" t="s">
        <v>2409</v>
      </c>
      <c r="S79" t="s">
        <v>2410</v>
      </c>
      <c r="T79">
        <v>2</v>
      </c>
      <c r="U79" t="s">
        <v>3137</v>
      </c>
      <c r="V79" t="s">
        <v>3136</v>
      </c>
      <c r="W79">
        <v>5</v>
      </c>
      <c r="X79" t="s">
        <v>2437</v>
      </c>
      <c r="Y79" t="s">
        <v>2438</v>
      </c>
      <c r="Z79">
        <v>1</v>
      </c>
      <c r="AA79" t="s">
        <v>73</v>
      </c>
      <c r="AB79" t="s">
        <v>73</v>
      </c>
      <c r="AE79" t="s">
        <v>3144</v>
      </c>
      <c r="AF79">
        <v>617.71686483507278</v>
      </c>
      <c r="AG79">
        <v>7.3513513513513997</v>
      </c>
      <c r="AH79">
        <v>110</v>
      </c>
      <c r="AI79">
        <v>91</v>
      </c>
      <c r="AJ79">
        <v>321.27699696389203</v>
      </c>
      <c r="AK79">
        <v>757.13513513513999</v>
      </c>
      <c r="AM79">
        <v>449.78779574944883</v>
      </c>
      <c r="AN79">
        <v>0</v>
      </c>
      <c r="AO79" t="s">
        <v>5524</v>
      </c>
      <c r="AP79" t="s">
        <v>4349</v>
      </c>
    </row>
    <row r="80" spans="1:42" x14ac:dyDescent="0.25">
      <c r="A80">
        <v>79</v>
      </c>
      <c r="B80" t="s">
        <v>1488</v>
      </c>
      <c r="C80" t="s">
        <v>1488</v>
      </c>
      <c r="D80" t="s">
        <v>2514</v>
      </c>
      <c r="E80" t="s">
        <v>1478</v>
      </c>
      <c r="F80" t="s">
        <v>1479</v>
      </c>
      <c r="G80" t="s">
        <v>632</v>
      </c>
      <c r="H80" t="s">
        <v>633</v>
      </c>
      <c r="I80" t="s">
        <v>1489</v>
      </c>
      <c r="Q80">
        <v>15</v>
      </c>
      <c r="R80" t="s">
        <v>2420</v>
      </c>
      <c r="S80" t="s">
        <v>2421</v>
      </c>
      <c r="T80">
        <v>5</v>
      </c>
      <c r="U80" t="s">
        <v>3137</v>
      </c>
      <c r="V80" t="s">
        <v>3136</v>
      </c>
      <c r="W80">
        <v>5</v>
      </c>
      <c r="X80" t="s">
        <v>2440</v>
      </c>
      <c r="Y80" t="s">
        <v>2441</v>
      </c>
      <c r="Z80">
        <v>2</v>
      </c>
      <c r="AA80" t="s">
        <v>73</v>
      </c>
      <c r="AB80" t="s">
        <v>73</v>
      </c>
      <c r="AC80" t="s">
        <v>3156</v>
      </c>
      <c r="AD80" t="s">
        <v>3157</v>
      </c>
      <c r="AE80" t="s">
        <v>5328</v>
      </c>
      <c r="AF80">
        <v>616.77992900949414</v>
      </c>
      <c r="AG80">
        <v>7.6857142857143002</v>
      </c>
      <c r="AH80">
        <v>34</v>
      </c>
      <c r="AI80">
        <v>94</v>
      </c>
      <c r="AJ80">
        <v>310.10468302642124</v>
      </c>
      <c r="AK80">
        <v>775.37142857142999</v>
      </c>
      <c r="AM80">
        <v>322.14655623698968</v>
      </c>
      <c r="AN80">
        <v>448</v>
      </c>
      <c r="AO80" t="s">
        <v>5525</v>
      </c>
      <c r="AP80" t="s">
        <v>2514</v>
      </c>
    </row>
    <row r="81" spans="1:42" x14ac:dyDescent="0.25">
      <c r="A81">
        <v>80</v>
      </c>
      <c r="B81" t="s">
        <v>1279</v>
      </c>
      <c r="C81" t="s">
        <v>1279</v>
      </c>
      <c r="D81" t="s">
        <v>1280</v>
      </c>
      <c r="E81" t="s">
        <v>300</v>
      </c>
      <c r="F81" t="s">
        <v>301</v>
      </c>
      <c r="G81" t="s">
        <v>151</v>
      </c>
      <c r="H81" t="s">
        <v>152</v>
      </c>
      <c r="I81" t="s">
        <v>3256</v>
      </c>
      <c r="J81" t="s">
        <v>3254</v>
      </c>
      <c r="K81" t="s">
        <v>3255</v>
      </c>
      <c r="O81" t="s">
        <v>3152</v>
      </c>
      <c r="P81" t="s">
        <v>3152</v>
      </c>
      <c r="Q81">
        <v>14</v>
      </c>
      <c r="R81" t="s">
        <v>2417</v>
      </c>
      <c r="S81" t="s">
        <v>2418</v>
      </c>
      <c r="T81">
        <v>4</v>
      </c>
      <c r="U81" t="s">
        <v>3137</v>
      </c>
      <c r="V81" t="s">
        <v>3136</v>
      </c>
      <c r="W81">
        <v>5</v>
      </c>
      <c r="X81" t="s">
        <v>2440</v>
      </c>
      <c r="Y81" t="s">
        <v>2441</v>
      </c>
      <c r="Z81">
        <v>2</v>
      </c>
      <c r="AC81" t="s">
        <v>3154</v>
      </c>
      <c r="AD81" t="s">
        <v>3153</v>
      </c>
      <c r="AE81" t="s">
        <v>3155</v>
      </c>
      <c r="AF81">
        <v>614.9416471337272</v>
      </c>
      <c r="AG81">
        <v>8.0129870129870007</v>
      </c>
      <c r="AH81">
        <v>76</v>
      </c>
      <c r="AI81">
        <v>110</v>
      </c>
      <c r="AJ81">
        <v>285.21366276041903</v>
      </c>
      <c r="AK81">
        <v>816.4987012987001</v>
      </c>
      <c r="AM81">
        <v>287.29912786458664</v>
      </c>
      <c r="AN81">
        <v>448</v>
      </c>
      <c r="AO81" t="s">
        <v>5526</v>
      </c>
      <c r="AP81" t="s">
        <v>1280</v>
      </c>
    </row>
    <row r="82" spans="1:42" x14ac:dyDescent="0.25">
      <c r="A82">
        <v>81</v>
      </c>
      <c r="B82" t="s">
        <v>1012</v>
      </c>
      <c r="C82" t="s">
        <v>1012</v>
      </c>
      <c r="D82" t="s">
        <v>1013</v>
      </c>
      <c r="E82" t="s">
        <v>3169</v>
      </c>
      <c r="F82" t="s">
        <v>379</v>
      </c>
      <c r="G82" t="s">
        <v>162</v>
      </c>
      <c r="H82" t="s">
        <v>163</v>
      </c>
      <c r="I82" t="s">
        <v>1014</v>
      </c>
      <c r="J82" t="s">
        <v>1014</v>
      </c>
      <c r="K82" t="s">
        <v>1012</v>
      </c>
      <c r="Q82">
        <v>13</v>
      </c>
      <c r="R82" t="s">
        <v>2420</v>
      </c>
      <c r="S82" t="s">
        <v>2421</v>
      </c>
      <c r="T82">
        <v>5</v>
      </c>
      <c r="U82" t="s">
        <v>3137</v>
      </c>
      <c r="V82" t="s">
        <v>3136</v>
      </c>
      <c r="W82">
        <v>5</v>
      </c>
      <c r="X82" t="s">
        <v>2446</v>
      </c>
      <c r="Y82" t="s">
        <v>2447</v>
      </c>
      <c r="Z82">
        <v>4</v>
      </c>
      <c r="AA82" t="s">
        <v>73</v>
      </c>
      <c r="AB82" t="s">
        <v>73</v>
      </c>
      <c r="AF82">
        <v>614.51513259668332</v>
      </c>
      <c r="AG82">
        <v>6.9705882352941</v>
      </c>
      <c r="AH82">
        <v>33</v>
      </c>
      <c r="AI82">
        <v>70</v>
      </c>
      <c r="AJ82">
        <v>347.42857870219819</v>
      </c>
      <c r="AK82">
        <v>703.65882352941003</v>
      </c>
      <c r="AM82">
        <v>380.40001018307743</v>
      </c>
      <c r="AN82">
        <v>424</v>
      </c>
      <c r="AO82" t="s">
        <v>5527</v>
      </c>
      <c r="AP82" t="s">
        <v>1013</v>
      </c>
    </row>
    <row r="83" spans="1:42" x14ac:dyDescent="0.25">
      <c r="A83">
        <v>82</v>
      </c>
      <c r="B83" t="s">
        <v>2765</v>
      </c>
      <c r="C83" t="s">
        <v>2765</v>
      </c>
      <c r="D83" t="s">
        <v>2718</v>
      </c>
      <c r="E83" t="s">
        <v>954</v>
      </c>
      <c r="F83" t="s">
        <v>955</v>
      </c>
      <c r="G83" t="s">
        <v>632</v>
      </c>
      <c r="H83" t="s">
        <v>633</v>
      </c>
      <c r="I83" t="s">
        <v>2719</v>
      </c>
      <c r="J83" t="s">
        <v>2720</v>
      </c>
      <c r="K83" t="s">
        <v>2231</v>
      </c>
      <c r="O83" t="s">
        <v>2721</v>
      </c>
      <c r="P83" t="s">
        <v>2711</v>
      </c>
      <c r="Q83">
        <v>10</v>
      </c>
      <c r="R83" t="s">
        <v>2406</v>
      </c>
      <c r="S83" t="s">
        <v>2407</v>
      </c>
      <c r="T83">
        <v>1</v>
      </c>
      <c r="U83" t="s">
        <v>2430</v>
      </c>
      <c r="V83" t="s">
        <v>2431</v>
      </c>
      <c r="W83">
        <v>6</v>
      </c>
      <c r="X83" t="s">
        <v>2440</v>
      </c>
      <c r="Y83" t="s">
        <v>2441</v>
      </c>
      <c r="Z83">
        <v>2</v>
      </c>
      <c r="AA83" t="s">
        <v>73</v>
      </c>
      <c r="AB83" t="s">
        <v>73</v>
      </c>
      <c r="AC83" t="s">
        <v>2722</v>
      </c>
      <c r="AD83" t="s">
        <v>2722</v>
      </c>
      <c r="AE83" t="s">
        <v>2232</v>
      </c>
      <c r="AF83">
        <v>611.53634601213207</v>
      </c>
      <c r="AG83">
        <v>8.6423076923076998</v>
      </c>
      <c r="AH83">
        <v>259</v>
      </c>
      <c r="AI83">
        <v>170</v>
      </c>
      <c r="AJ83">
        <v>226.13440155194115</v>
      </c>
      <c r="AK83">
        <v>916.03076923076992</v>
      </c>
      <c r="AM83">
        <v>204.5881621727176</v>
      </c>
      <c r="AN83">
        <v>448</v>
      </c>
      <c r="AO83" t="s">
        <v>5528</v>
      </c>
      <c r="AP83" t="s">
        <v>2718</v>
      </c>
    </row>
    <row r="84" spans="1:42" x14ac:dyDescent="0.25">
      <c r="A84">
        <v>83</v>
      </c>
      <c r="B84" t="s">
        <v>1609</v>
      </c>
      <c r="C84" t="s">
        <v>1609</v>
      </c>
      <c r="D84" t="s">
        <v>3142</v>
      </c>
      <c r="E84" t="s">
        <v>218</v>
      </c>
      <c r="F84" t="s">
        <v>219</v>
      </c>
      <c r="G84" t="s">
        <v>69</v>
      </c>
      <c r="H84" t="s">
        <v>70</v>
      </c>
      <c r="I84" t="s">
        <v>679</v>
      </c>
      <c r="J84" t="s">
        <v>679</v>
      </c>
      <c r="K84" t="s">
        <v>680</v>
      </c>
      <c r="L84" t="s">
        <v>4381</v>
      </c>
      <c r="M84" t="s">
        <v>4382</v>
      </c>
      <c r="N84" t="s">
        <v>4380</v>
      </c>
      <c r="O84" t="s">
        <v>2578</v>
      </c>
      <c r="P84" t="s">
        <v>2578</v>
      </c>
      <c r="Q84">
        <v>14</v>
      </c>
      <c r="R84" t="s">
        <v>2406</v>
      </c>
      <c r="S84" t="s">
        <v>2407</v>
      </c>
      <c r="T84">
        <v>1</v>
      </c>
      <c r="U84" t="s">
        <v>3137</v>
      </c>
      <c r="V84" t="s">
        <v>3136</v>
      </c>
      <c r="W84">
        <v>5</v>
      </c>
      <c r="X84" t="s">
        <v>2437</v>
      </c>
      <c r="Y84" t="s">
        <v>2438</v>
      </c>
      <c r="Z84">
        <v>1</v>
      </c>
      <c r="AA84" t="s">
        <v>73</v>
      </c>
      <c r="AB84" t="s">
        <v>73</v>
      </c>
      <c r="AE84" t="s">
        <v>3141</v>
      </c>
      <c r="AF84">
        <v>606.37689377917479</v>
      </c>
      <c r="AG84">
        <v>8.0536912751678003</v>
      </c>
      <c r="AH84">
        <v>148</v>
      </c>
      <c r="AI84">
        <v>124</v>
      </c>
      <c r="AJ84">
        <v>265.43592224531636</v>
      </c>
      <c r="AK84">
        <v>834.96912751678008</v>
      </c>
      <c r="AM84">
        <v>315.61029114344291</v>
      </c>
      <c r="AN84">
        <v>224</v>
      </c>
      <c r="AO84" t="s">
        <v>5529</v>
      </c>
      <c r="AP84" t="s">
        <v>3142</v>
      </c>
    </row>
    <row r="85" spans="1:42" x14ac:dyDescent="0.25">
      <c r="A85">
        <v>84</v>
      </c>
      <c r="B85" t="s">
        <v>489</v>
      </c>
      <c r="C85" t="s">
        <v>489</v>
      </c>
      <c r="D85" t="s">
        <v>490</v>
      </c>
      <c r="E85" t="s">
        <v>218</v>
      </c>
      <c r="F85" t="s">
        <v>219</v>
      </c>
      <c r="G85" t="s">
        <v>69</v>
      </c>
      <c r="H85" t="s">
        <v>70</v>
      </c>
      <c r="I85" t="s">
        <v>491</v>
      </c>
      <c r="J85" t="s">
        <v>492</v>
      </c>
      <c r="K85" t="s">
        <v>493</v>
      </c>
      <c r="L85" t="s">
        <v>4429</v>
      </c>
      <c r="M85" t="s">
        <v>4430</v>
      </c>
      <c r="N85" t="s">
        <v>4428</v>
      </c>
      <c r="O85" t="s">
        <v>3160</v>
      </c>
      <c r="P85" t="s">
        <v>3161</v>
      </c>
      <c r="Q85">
        <v>14</v>
      </c>
      <c r="R85" t="s">
        <v>2406</v>
      </c>
      <c r="S85" t="s">
        <v>2407</v>
      </c>
      <c r="T85">
        <v>1</v>
      </c>
      <c r="U85" t="s">
        <v>2434</v>
      </c>
      <c r="V85" t="s">
        <v>2435</v>
      </c>
      <c r="W85">
        <v>8</v>
      </c>
      <c r="X85" t="s">
        <v>2437</v>
      </c>
      <c r="Y85" t="s">
        <v>2438</v>
      </c>
      <c r="Z85">
        <v>1</v>
      </c>
      <c r="AF85">
        <v>606.08948736935679</v>
      </c>
      <c r="AG85">
        <v>8.3739130434783</v>
      </c>
      <c r="AH85">
        <v>114</v>
      </c>
      <c r="AI85">
        <v>140</v>
      </c>
      <c r="AJ85">
        <v>251.10426132826865</v>
      </c>
      <c r="AK85">
        <v>860.19130434782994</v>
      </c>
      <c r="AM85">
        <v>295.54596585957609</v>
      </c>
      <c r="AN85">
        <v>224</v>
      </c>
      <c r="AO85" t="s">
        <v>5530</v>
      </c>
      <c r="AP85" t="s">
        <v>490</v>
      </c>
    </row>
    <row r="86" spans="1:42" x14ac:dyDescent="0.25">
      <c r="A86">
        <v>85</v>
      </c>
      <c r="B86" t="s">
        <v>1070</v>
      </c>
      <c r="C86" t="s">
        <v>1070</v>
      </c>
      <c r="D86" t="s">
        <v>1071</v>
      </c>
      <c r="E86" t="s">
        <v>149</v>
      </c>
      <c r="F86" t="s">
        <v>150</v>
      </c>
      <c r="G86" t="s">
        <v>151</v>
      </c>
      <c r="H86" t="s">
        <v>152</v>
      </c>
      <c r="I86" t="s">
        <v>1072</v>
      </c>
      <c r="J86" t="s">
        <v>1073</v>
      </c>
      <c r="K86" t="s">
        <v>1074</v>
      </c>
      <c r="R86" t="s">
        <v>2414</v>
      </c>
      <c r="S86" t="s">
        <v>2415</v>
      </c>
      <c r="T86">
        <v>3</v>
      </c>
      <c r="U86" t="s">
        <v>3137</v>
      </c>
      <c r="V86" t="s">
        <v>3136</v>
      </c>
      <c r="W86">
        <v>5</v>
      </c>
      <c r="X86" t="s">
        <v>2437</v>
      </c>
      <c r="Y86" t="s">
        <v>2438</v>
      </c>
      <c r="Z86">
        <v>1</v>
      </c>
      <c r="AA86" t="s">
        <v>73</v>
      </c>
      <c r="AB86" t="s">
        <v>73</v>
      </c>
      <c r="AE86" t="s">
        <v>1075</v>
      </c>
      <c r="AF86">
        <v>602.84221986148805</v>
      </c>
      <c r="AG86">
        <v>8.3181818181818006</v>
      </c>
      <c r="AH86">
        <v>65</v>
      </c>
      <c r="AI86">
        <v>136</v>
      </c>
      <c r="AJ86">
        <v>256.03680994710896</v>
      </c>
      <c r="AK86">
        <v>844.81818181818005</v>
      </c>
      <c r="AL86">
        <v>2006</v>
      </c>
      <c r="AM86">
        <v>246.45153392595248</v>
      </c>
      <c r="AN86">
        <v>448</v>
      </c>
      <c r="AO86" t="s">
        <v>5531</v>
      </c>
      <c r="AP86" t="s">
        <v>1071</v>
      </c>
    </row>
    <row r="87" spans="1:42" x14ac:dyDescent="0.25">
      <c r="A87">
        <v>86</v>
      </c>
      <c r="B87" t="s">
        <v>1835</v>
      </c>
      <c r="C87" t="s">
        <v>4140</v>
      </c>
      <c r="D87" t="s">
        <v>5532</v>
      </c>
      <c r="E87" t="s">
        <v>471</v>
      </c>
      <c r="F87" t="s">
        <v>472</v>
      </c>
      <c r="G87" t="s">
        <v>93</v>
      </c>
      <c r="H87" t="s">
        <v>94</v>
      </c>
      <c r="I87" t="s">
        <v>3173</v>
      </c>
      <c r="J87" t="s">
        <v>3247</v>
      </c>
      <c r="K87" t="s">
        <v>3172</v>
      </c>
      <c r="Q87">
        <v>13</v>
      </c>
      <c r="R87" t="s">
        <v>2406</v>
      </c>
      <c r="S87" t="s">
        <v>2407</v>
      </c>
      <c r="T87">
        <v>1</v>
      </c>
      <c r="U87" t="s">
        <v>2430</v>
      </c>
      <c r="V87" t="s">
        <v>2431</v>
      </c>
      <c r="W87">
        <v>6</v>
      </c>
      <c r="X87" t="s">
        <v>2437</v>
      </c>
      <c r="Y87" t="s">
        <v>2438</v>
      </c>
      <c r="Z87">
        <v>1</v>
      </c>
      <c r="AA87" t="s">
        <v>73</v>
      </c>
      <c r="AB87" t="s">
        <v>73</v>
      </c>
      <c r="AE87" t="s">
        <v>3147</v>
      </c>
      <c r="AF87">
        <v>601.47372624905324</v>
      </c>
      <c r="AG87">
        <v>8.3362831858406992</v>
      </c>
      <c r="AH87">
        <v>112</v>
      </c>
      <c r="AI87">
        <v>145</v>
      </c>
      <c r="AJ87">
        <v>248.2884077300204</v>
      </c>
      <c r="AK87">
        <v>856.02831858406989</v>
      </c>
      <c r="AL87">
        <v>2005</v>
      </c>
      <c r="AM87">
        <v>319.60377082202854</v>
      </c>
      <c r="AN87">
        <v>112</v>
      </c>
      <c r="AO87" t="s">
        <v>5533</v>
      </c>
      <c r="AP87" t="s">
        <v>5532</v>
      </c>
    </row>
    <row r="88" spans="1:42" x14ac:dyDescent="0.25">
      <c r="A88">
        <v>87</v>
      </c>
      <c r="B88" t="s">
        <v>2147</v>
      </c>
      <c r="C88" t="s">
        <v>2147</v>
      </c>
      <c r="D88" t="s">
        <v>3639</v>
      </c>
      <c r="E88" t="s">
        <v>666</v>
      </c>
      <c r="F88" t="s">
        <v>667</v>
      </c>
      <c r="G88" t="s">
        <v>60</v>
      </c>
      <c r="H88" t="s">
        <v>61</v>
      </c>
      <c r="I88" t="s">
        <v>2148</v>
      </c>
      <c r="J88" t="s">
        <v>3625</v>
      </c>
      <c r="K88" t="s">
        <v>3626</v>
      </c>
      <c r="L88" t="s">
        <v>4426</v>
      </c>
      <c r="M88" t="s">
        <v>4427</v>
      </c>
      <c r="N88" t="s">
        <v>4425</v>
      </c>
      <c r="Q88">
        <v>13</v>
      </c>
      <c r="R88" t="s">
        <v>2409</v>
      </c>
      <c r="S88" t="s">
        <v>2410</v>
      </c>
      <c r="T88">
        <v>2</v>
      </c>
      <c r="U88" t="s">
        <v>3137</v>
      </c>
      <c r="V88" t="s">
        <v>3136</v>
      </c>
      <c r="W88">
        <v>5</v>
      </c>
      <c r="X88" t="s">
        <v>2443</v>
      </c>
      <c r="Y88" t="s">
        <v>2444</v>
      </c>
      <c r="Z88">
        <v>3</v>
      </c>
      <c r="AA88" t="s">
        <v>73</v>
      </c>
      <c r="AB88" t="s">
        <v>73</v>
      </c>
      <c r="AE88" t="s">
        <v>3642</v>
      </c>
      <c r="AF88">
        <v>601.20414173639961</v>
      </c>
      <c r="AG88">
        <v>7.7422680412371001</v>
      </c>
      <c r="AH88">
        <v>96</v>
      </c>
      <c r="AI88">
        <v>111</v>
      </c>
      <c r="AJ88">
        <v>282.76748852727178</v>
      </c>
      <c r="AK88">
        <v>793.4268041237101</v>
      </c>
      <c r="AM88">
        <v>311.87448393818045</v>
      </c>
      <c r="AN88">
        <v>336</v>
      </c>
      <c r="AO88" t="s">
        <v>5534</v>
      </c>
      <c r="AP88" t="s">
        <v>3639</v>
      </c>
    </row>
    <row r="89" spans="1:42" x14ac:dyDescent="0.25">
      <c r="A89">
        <v>88</v>
      </c>
      <c r="B89" t="s">
        <v>182</v>
      </c>
      <c r="C89" t="s">
        <v>182</v>
      </c>
      <c r="D89" t="s">
        <v>3869</v>
      </c>
      <c r="E89" t="s">
        <v>183</v>
      </c>
      <c r="F89" t="s">
        <v>184</v>
      </c>
      <c r="G89" t="s">
        <v>158</v>
      </c>
      <c r="H89" t="s">
        <v>159</v>
      </c>
      <c r="J89" t="s">
        <v>185</v>
      </c>
      <c r="K89" t="s">
        <v>3021</v>
      </c>
      <c r="L89" t="s">
        <v>4343</v>
      </c>
      <c r="M89" t="s">
        <v>4344</v>
      </c>
      <c r="N89" t="s">
        <v>4342</v>
      </c>
      <c r="O89" t="s">
        <v>186</v>
      </c>
      <c r="P89" t="s">
        <v>187</v>
      </c>
      <c r="R89" t="s">
        <v>2406</v>
      </c>
      <c r="S89" t="s">
        <v>2407</v>
      </c>
      <c r="T89">
        <v>1</v>
      </c>
      <c r="U89" t="s">
        <v>2432</v>
      </c>
      <c r="V89" t="s">
        <v>2433</v>
      </c>
      <c r="W89">
        <v>7</v>
      </c>
      <c r="X89" t="s">
        <v>2443</v>
      </c>
      <c r="Y89" t="s">
        <v>2444</v>
      </c>
      <c r="Z89">
        <v>3</v>
      </c>
      <c r="AA89" t="s">
        <v>73</v>
      </c>
      <c r="AB89" t="s">
        <v>73</v>
      </c>
      <c r="AF89">
        <v>600.73884396319772</v>
      </c>
      <c r="AG89">
        <v>6.2916666666666998</v>
      </c>
      <c r="AH89">
        <v>71</v>
      </c>
      <c r="AI89">
        <v>60</v>
      </c>
      <c r="AJ89">
        <v>365.61723403318086</v>
      </c>
      <c r="AK89">
        <v>643.36666666666997</v>
      </c>
      <c r="AM89">
        <v>511.86412764645314</v>
      </c>
      <c r="AN89">
        <v>0</v>
      </c>
      <c r="AO89" t="s">
        <v>5535</v>
      </c>
      <c r="AP89" t="s">
        <v>3869</v>
      </c>
    </row>
    <row r="90" spans="1:42" x14ac:dyDescent="0.25">
      <c r="A90">
        <v>89</v>
      </c>
      <c r="B90" t="s">
        <v>3382</v>
      </c>
      <c r="C90" t="s">
        <v>3382</v>
      </c>
      <c r="D90" t="s">
        <v>3481</v>
      </c>
      <c r="E90" t="s">
        <v>630</v>
      </c>
      <c r="F90" t="s">
        <v>631</v>
      </c>
      <c r="G90" t="s">
        <v>60</v>
      </c>
      <c r="H90" t="s">
        <v>61</v>
      </c>
      <c r="J90" t="s">
        <v>3383</v>
      </c>
      <c r="Q90">
        <v>14</v>
      </c>
      <c r="R90" t="s">
        <v>2409</v>
      </c>
      <c r="S90" t="s">
        <v>2410</v>
      </c>
      <c r="T90">
        <v>2</v>
      </c>
      <c r="U90" t="s">
        <v>73</v>
      </c>
      <c r="V90" t="s">
        <v>73</v>
      </c>
      <c r="X90" t="s">
        <v>73</v>
      </c>
      <c r="Y90" t="s">
        <v>73</v>
      </c>
      <c r="AA90" t="s">
        <v>73</v>
      </c>
      <c r="AB90" t="s">
        <v>73</v>
      </c>
      <c r="AF90">
        <v>600.35779261526204</v>
      </c>
      <c r="AG90">
        <v>8.2307692307691998</v>
      </c>
      <c r="AH90">
        <v>12</v>
      </c>
      <c r="AI90">
        <v>127</v>
      </c>
      <c r="AJ90">
        <v>264.02147897422441</v>
      </c>
      <c r="AK90">
        <v>825.47692307692</v>
      </c>
      <c r="AM90">
        <v>257.63007056391416</v>
      </c>
      <c r="AN90">
        <v>448</v>
      </c>
      <c r="AO90" t="s">
        <v>5536</v>
      </c>
      <c r="AP90" t="s">
        <v>3481</v>
      </c>
    </row>
    <row r="91" spans="1:42" x14ac:dyDescent="0.25">
      <c r="A91">
        <v>90</v>
      </c>
      <c r="B91" t="s">
        <v>962</v>
      </c>
      <c r="C91" t="s">
        <v>962</v>
      </c>
      <c r="D91" t="s">
        <v>3650</v>
      </c>
      <c r="E91" t="s">
        <v>666</v>
      </c>
      <c r="F91" t="s">
        <v>667</v>
      </c>
      <c r="G91" t="s">
        <v>60</v>
      </c>
      <c r="H91" t="s">
        <v>61</v>
      </c>
      <c r="I91" t="s">
        <v>3964</v>
      </c>
      <c r="J91" t="s">
        <v>3619</v>
      </c>
      <c r="K91" t="s">
        <v>3616</v>
      </c>
      <c r="L91" t="s">
        <v>4398</v>
      </c>
      <c r="M91" t="s">
        <v>4399</v>
      </c>
      <c r="R91" t="s">
        <v>2406</v>
      </c>
      <c r="S91" t="s">
        <v>2407</v>
      </c>
      <c r="T91">
        <v>1</v>
      </c>
      <c r="U91" t="s">
        <v>3137</v>
      </c>
      <c r="V91" t="s">
        <v>3136</v>
      </c>
      <c r="W91">
        <v>5</v>
      </c>
      <c r="X91" t="s">
        <v>2443</v>
      </c>
      <c r="Y91" t="s">
        <v>2444</v>
      </c>
      <c r="Z91">
        <v>3</v>
      </c>
      <c r="AA91" t="s">
        <v>73</v>
      </c>
      <c r="AB91" t="s">
        <v>73</v>
      </c>
      <c r="AE91" t="s">
        <v>963</v>
      </c>
      <c r="AF91">
        <v>599.9592832361966</v>
      </c>
      <c r="AG91">
        <v>7.5978260869565002</v>
      </c>
      <c r="AH91">
        <v>91</v>
      </c>
      <c r="AI91">
        <v>107</v>
      </c>
      <c r="AJ91">
        <v>289.96442098707945</v>
      </c>
      <c r="AK91">
        <v>777.98260869565001</v>
      </c>
      <c r="AM91">
        <v>321.95018938191117</v>
      </c>
      <c r="AN91">
        <v>336</v>
      </c>
      <c r="AO91" t="s">
        <v>5537</v>
      </c>
      <c r="AP91" t="s">
        <v>3650</v>
      </c>
    </row>
    <row r="92" spans="1:42" x14ac:dyDescent="0.25">
      <c r="A92">
        <v>91</v>
      </c>
      <c r="B92" t="s">
        <v>2377</v>
      </c>
      <c r="C92" t="s">
        <v>4075</v>
      </c>
      <c r="D92" t="s">
        <v>3809</v>
      </c>
      <c r="E92" t="s">
        <v>137</v>
      </c>
      <c r="F92" t="s">
        <v>138</v>
      </c>
      <c r="G92" t="s">
        <v>139</v>
      </c>
      <c r="H92" t="s">
        <v>140</v>
      </c>
      <c r="J92" t="s">
        <v>689</v>
      </c>
      <c r="K92" t="s">
        <v>690</v>
      </c>
      <c r="L92" t="s">
        <v>4666</v>
      </c>
      <c r="M92" t="s">
        <v>4667</v>
      </c>
      <c r="R92" t="s">
        <v>73</v>
      </c>
      <c r="S92" t="s">
        <v>73</v>
      </c>
      <c r="U92" t="s">
        <v>73</v>
      </c>
      <c r="V92" t="s">
        <v>73</v>
      </c>
      <c r="X92" t="s">
        <v>2446</v>
      </c>
      <c r="Y92" t="s">
        <v>2447</v>
      </c>
      <c r="Z92">
        <v>4</v>
      </c>
      <c r="AA92" t="s">
        <v>73</v>
      </c>
      <c r="AB92" t="s">
        <v>73</v>
      </c>
      <c r="AE92" t="s">
        <v>2692</v>
      </c>
      <c r="AF92">
        <v>599.01093654898546</v>
      </c>
      <c r="AG92">
        <v>7.0416666666666998</v>
      </c>
      <c r="AH92">
        <v>23</v>
      </c>
      <c r="AI92">
        <v>85</v>
      </c>
      <c r="AJ92">
        <v>327.36400357294497</v>
      </c>
      <c r="AK92">
        <v>708.76666666666995</v>
      </c>
      <c r="AM92">
        <v>458.30960500212291</v>
      </c>
      <c r="AN92">
        <v>0</v>
      </c>
      <c r="AO92" t="s">
        <v>5538</v>
      </c>
      <c r="AP92" t="s">
        <v>3809</v>
      </c>
    </row>
    <row r="93" spans="1:42" x14ac:dyDescent="0.25">
      <c r="A93">
        <v>92</v>
      </c>
      <c r="B93" t="s">
        <v>1554</v>
      </c>
      <c r="C93" t="s">
        <v>1554</v>
      </c>
      <c r="D93" t="s">
        <v>2539</v>
      </c>
      <c r="E93" t="s">
        <v>218</v>
      </c>
      <c r="F93" t="s">
        <v>219</v>
      </c>
      <c r="G93" t="s">
        <v>69</v>
      </c>
      <c r="H93" t="s">
        <v>70</v>
      </c>
      <c r="I93" t="s">
        <v>1555</v>
      </c>
      <c r="J93" t="s">
        <v>233</v>
      </c>
      <c r="K93" t="s">
        <v>234</v>
      </c>
      <c r="L93" t="s">
        <v>4375</v>
      </c>
      <c r="M93" t="s">
        <v>4376</v>
      </c>
      <c r="N93" t="s">
        <v>4374</v>
      </c>
      <c r="Q93">
        <v>11</v>
      </c>
      <c r="R93" t="s">
        <v>2406</v>
      </c>
      <c r="S93" t="s">
        <v>2407</v>
      </c>
      <c r="T93">
        <v>1</v>
      </c>
      <c r="U93" t="s">
        <v>2430</v>
      </c>
      <c r="V93" t="s">
        <v>2431</v>
      </c>
      <c r="W93">
        <v>6</v>
      </c>
      <c r="X93" t="s">
        <v>2437</v>
      </c>
      <c r="Y93" t="s">
        <v>2438</v>
      </c>
      <c r="Z93">
        <v>1</v>
      </c>
      <c r="AA93" t="s">
        <v>73</v>
      </c>
      <c r="AB93" t="s">
        <v>73</v>
      </c>
      <c r="AE93" t="s">
        <v>1556</v>
      </c>
      <c r="AF93">
        <v>593.17132276727853</v>
      </c>
      <c r="AG93">
        <v>8.2295081967212997</v>
      </c>
      <c r="AH93">
        <v>121</v>
      </c>
      <c r="AI93">
        <v>149</v>
      </c>
      <c r="AJ93">
        <v>243.99545881245936</v>
      </c>
      <c r="AK93">
        <v>847.15081967213007</v>
      </c>
      <c r="AM93">
        <v>285.5936423374431</v>
      </c>
      <c r="AN93">
        <v>224</v>
      </c>
      <c r="AO93" t="s">
        <v>5539</v>
      </c>
      <c r="AP93" t="s">
        <v>2539</v>
      </c>
    </row>
    <row r="94" spans="1:42" x14ac:dyDescent="0.25">
      <c r="A94">
        <v>93</v>
      </c>
      <c r="B94" t="s">
        <v>3421</v>
      </c>
      <c r="C94" t="s">
        <v>3421</v>
      </c>
      <c r="D94" t="s">
        <v>3424</v>
      </c>
      <c r="E94" t="s">
        <v>954</v>
      </c>
      <c r="F94" t="s">
        <v>955</v>
      </c>
      <c r="G94" t="s">
        <v>632</v>
      </c>
      <c r="H94" t="s">
        <v>633</v>
      </c>
      <c r="J94" t="s">
        <v>3422</v>
      </c>
      <c r="K94" t="s">
        <v>3423</v>
      </c>
      <c r="R94" t="s">
        <v>73</v>
      </c>
      <c r="S94" t="s">
        <v>73</v>
      </c>
      <c r="U94" t="s">
        <v>73</v>
      </c>
      <c r="V94" t="s">
        <v>73</v>
      </c>
      <c r="X94" t="s">
        <v>73</v>
      </c>
      <c r="Y94" t="s">
        <v>73</v>
      </c>
      <c r="AA94" t="s">
        <v>73</v>
      </c>
      <c r="AB94" t="s">
        <v>73</v>
      </c>
      <c r="AF94">
        <v>592.54152170158784</v>
      </c>
      <c r="AG94">
        <v>8.5</v>
      </c>
      <c r="AH94">
        <v>31</v>
      </c>
      <c r="AI94">
        <v>156</v>
      </c>
      <c r="AJ94">
        <v>238.26835744620871</v>
      </c>
      <c r="AK94">
        <v>856.2</v>
      </c>
      <c r="AM94">
        <v>221.5757004246922</v>
      </c>
      <c r="AN94">
        <v>448</v>
      </c>
      <c r="AO94" t="s">
        <v>5540</v>
      </c>
      <c r="AP94" t="s">
        <v>3424</v>
      </c>
    </row>
    <row r="95" spans="1:42" x14ac:dyDescent="0.25">
      <c r="A95">
        <v>94</v>
      </c>
      <c r="B95" t="s">
        <v>1314</v>
      </c>
      <c r="C95" t="s">
        <v>1314</v>
      </c>
      <c r="D95" t="s">
        <v>1315</v>
      </c>
      <c r="E95" t="s">
        <v>149</v>
      </c>
      <c r="F95" t="s">
        <v>150</v>
      </c>
      <c r="G95" t="s">
        <v>151</v>
      </c>
      <c r="H95" t="s">
        <v>152</v>
      </c>
      <c r="I95" t="s">
        <v>1316</v>
      </c>
      <c r="J95" t="s">
        <v>1317</v>
      </c>
      <c r="K95" t="s">
        <v>1318</v>
      </c>
      <c r="O95" t="s">
        <v>2553</v>
      </c>
      <c r="P95" t="s">
        <v>2554</v>
      </c>
      <c r="Q95">
        <v>12</v>
      </c>
      <c r="R95" t="s">
        <v>2409</v>
      </c>
      <c r="S95" t="s">
        <v>2410</v>
      </c>
      <c r="T95">
        <v>2</v>
      </c>
      <c r="U95" t="s">
        <v>3137</v>
      </c>
      <c r="V95" t="s">
        <v>3136</v>
      </c>
      <c r="W95">
        <v>5</v>
      </c>
      <c r="X95" t="s">
        <v>2446</v>
      </c>
      <c r="Y95" t="s">
        <v>2447</v>
      </c>
      <c r="Z95">
        <v>4</v>
      </c>
      <c r="AA95" t="s">
        <v>73</v>
      </c>
      <c r="AB95" t="s">
        <v>73</v>
      </c>
      <c r="AE95" t="s">
        <v>1319</v>
      </c>
      <c r="AF95">
        <v>592.51685587905502</v>
      </c>
      <c r="AG95">
        <v>6.9666666666666996</v>
      </c>
      <c r="AH95">
        <v>29</v>
      </c>
      <c r="AI95">
        <v>89</v>
      </c>
      <c r="AJ95">
        <v>323.64835838413342</v>
      </c>
      <c r="AK95">
        <v>702.46666666666988</v>
      </c>
      <c r="AM95">
        <v>341.10770173778678</v>
      </c>
      <c r="AN95">
        <v>448</v>
      </c>
      <c r="AO95" t="s">
        <v>5541</v>
      </c>
      <c r="AP95" t="s">
        <v>1315</v>
      </c>
    </row>
    <row r="96" spans="1:42" x14ac:dyDescent="0.25">
      <c r="A96">
        <v>95</v>
      </c>
      <c r="B96" t="s">
        <v>2926</v>
      </c>
      <c r="C96" t="s">
        <v>4116</v>
      </c>
      <c r="D96" t="s">
        <v>198</v>
      </c>
      <c r="E96" t="s">
        <v>199</v>
      </c>
      <c r="F96" t="s">
        <v>200</v>
      </c>
      <c r="I96" t="s">
        <v>201</v>
      </c>
      <c r="J96" t="s">
        <v>202</v>
      </c>
      <c r="K96" t="s">
        <v>203</v>
      </c>
      <c r="L96" t="s">
        <v>4366</v>
      </c>
      <c r="M96">
        <v>4.1897390000000003</v>
      </c>
      <c r="O96" t="s">
        <v>204</v>
      </c>
      <c r="P96" t="s">
        <v>205</v>
      </c>
      <c r="Q96">
        <v>13</v>
      </c>
      <c r="R96" t="s">
        <v>2420</v>
      </c>
      <c r="S96" t="s">
        <v>2421</v>
      </c>
      <c r="T96">
        <v>5</v>
      </c>
      <c r="U96" t="s">
        <v>2434</v>
      </c>
      <c r="V96" t="s">
        <v>2435</v>
      </c>
      <c r="W96">
        <v>8</v>
      </c>
      <c r="X96" t="s">
        <v>2437</v>
      </c>
      <c r="Y96" t="s">
        <v>2438</v>
      </c>
      <c r="Z96">
        <v>1</v>
      </c>
      <c r="AC96" t="s">
        <v>206</v>
      </c>
      <c r="AD96" t="s">
        <v>206</v>
      </c>
      <c r="AE96" t="s">
        <v>3143</v>
      </c>
      <c r="AF96">
        <v>592.22744711656333</v>
      </c>
      <c r="AG96">
        <v>6.3039215686274996</v>
      </c>
      <c r="AH96">
        <v>101</v>
      </c>
      <c r="AI96">
        <v>67</v>
      </c>
      <c r="AJ96">
        <v>352.14596520576487</v>
      </c>
      <c r="AK96">
        <v>650.59215686275002</v>
      </c>
      <c r="AL96">
        <v>2011</v>
      </c>
      <c r="AM96">
        <v>493.00435128807078</v>
      </c>
      <c r="AN96">
        <v>0</v>
      </c>
      <c r="AO96" t="s">
        <v>5542</v>
      </c>
      <c r="AP96" t="s">
        <v>198</v>
      </c>
    </row>
    <row r="97" spans="1:42" x14ac:dyDescent="0.25">
      <c r="A97">
        <v>96</v>
      </c>
      <c r="B97" t="s">
        <v>365</v>
      </c>
      <c r="C97" t="s">
        <v>365</v>
      </c>
      <c r="D97" t="s">
        <v>366</v>
      </c>
      <c r="E97" t="s">
        <v>282</v>
      </c>
      <c r="F97" t="s">
        <v>283</v>
      </c>
      <c r="G97" t="s">
        <v>3167</v>
      </c>
      <c r="H97" t="s">
        <v>3166</v>
      </c>
      <c r="I97" t="s">
        <v>367</v>
      </c>
      <c r="J97" t="s">
        <v>368</v>
      </c>
      <c r="K97" t="s">
        <v>369</v>
      </c>
      <c r="O97" t="s">
        <v>370</v>
      </c>
      <c r="P97" t="s">
        <v>371</v>
      </c>
      <c r="Q97">
        <v>12</v>
      </c>
      <c r="R97" t="s">
        <v>2406</v>
      </c>
      <c r="S97" t="s">
        <v>2407</v>
      </c>
      <c r="T97">
        <v>1</v>
      </c>
      <c r="U97" t="s">
        <v>2426</v>
      </c>
      <c r="V97" t="s">
        <v>2427</v>
      </c>
      <c r="W97">
        <v>2</v>
      </c>
      <c r="X97" t="s">
        <v>2437</v>
      </c>
      <c r="Y97" t="s">
        <v>2438</v>
      </c>
      <c r="Z97">
        <v>1</v>
      </c>
      <c r="AA97" t="s">
        <v>73</v>
      </c>
      <c r="AB97" t="s">
        <v>73</v>
      </c>
      <c r="AE97" t="s">
        <v>372</v>
      </c>
      <c r="AF97">
        <v>590.06170420604212</v>
      </c>
      <c r="AG97">
        <v>8.4434782608696004</v>
      </c>
      <c r="AH97">
        <v>114</v>
      </c>
      <c r="AI97">
        <v>166</v>
      </c>
      <c r="AJ97">
        <v>229.43087906951342</v>
      </c>
      <c r="AK97">
        <v>867.14782608695998</v>
      </c>
      <c r="AL97">
        <v>2009</v>
      </c>
      <c r="AM97">
        <v>265.20323069731876</v>
      </c>
      <c r="AN97">
        <v>224</v>
      </c>
      <c r="AO97" t="s">
        <v>5543</v>
      </c>
      <c r="AP97" t="s">
        <v>366</v>
      </c>
    </row>
    <row r="98" spans="1:42" x14ac:dyDescent="0.25">
      <c r="A98">
        <v>97</v>
      </c>
      <c r="B98" t="s">
        <v>1619</v>
      </c>
      <c r="C98" t="s">
        <v>1619</v>
      </c>
      <c r="D98" t="s">
        <v>2780</v>
      </c>
      <c r="E98" t="s">
        <v>91</v>
      </c>
      <c r="F98" t="s">
        <v>92</v>
      </c>
      <c r="G98" t="s">
        <v>3515</v>
      </c>
      <c r="H98" t="s">
        <v>3516</v>
      </c>
      <c r="I98" t="s">
        <v>2781</v>
      </c>
      <c r="J98" t="s">
        <v>3069</v>
      </c>
      <c r="K98" t="s">
        <v>3063</v>
      </c>
      <c r="L98" t="s">
        <v>4357</v>
      </c>
      <c r="M98">
        <v>18.921719</v>
      </c>
      <c r="N98" t="s">
        <v>4356</v>
      </c>
      <c r="O98" t="s">
        <v>63</v>
      </c>
      <c r="P98" t="s">
        <v>63</v>
      </c>
      <c r="Q98">
        <v>13</v>
      </c>
      <c r="R98" t="s">
        <v>2420</v>
      </c>
      <c r="S98" t="s">
        <v>2421</v>
      </c>
      <c r="T98">
        <v>5</v>
      </c>
      <c r="U98" t="s">
        <v>2430</v>
      </c>
      <c r="V98" t="s">
        <v>2431</v>
      </c>
      <c r="W98">
        <v>6</v>
      </c>
      <c r="X98" t="s">
        <v>2437</v>
      </c>
      <c r="Y98" t="s">
        <v>2438</v>
      </c>
      <c r="Z98">
        <v>1</v>
      </c>
      <c r="AA98" t="s">
        <v>73</v>
      </c>
      <c r="AB98" t="s">
        <v>73</v>
      </c>
      <c r="AC98" t="s">
        <v>2782</v>
      </c>
      <c r="AD98" t="s">
        <v>2782</v>
      </c>
      <c r="AE98" t="s">
        <v>2707</v>
      </c>
      <c r="AF98">
        <v>587.65963657045336</v>
      </c>
      <c r="AG98">
        <v>8.0562500000000004</v>
      </c>
      <c r="AH98">
        <v>159</v>
      </c>
      <c r="AI98">
        <v>150</v>
      </c>
      <c r="AJ98">
        <v>243.27459618939261</v>
      </c>
      <c r="AK98">
        <v>837.42499999999995</v>
      </c>
      <c r="AL98">
        <v>2010</v>
      </c>
      <c r="AM98">
        <v>326.58443466514962</v>
      </c>
      <c r="AN98">
        <v>56</v>
      </c>
      <c r="AO98" t="s">
        <v>5544</v>
      </c>
      <c r="AP98" t="s">
        <v>2780</v>
      </c>
    </row>
    <row r="99" spans="1:42" x14ac:dyDescent="0.25">
      <c r="A99">
        <v>98</v>
      </c>
      <c r="B99" t="s">
        <v>505</v>
      </c>
      <c r="C99" t="s">
        <v>505</v>
      </c>
      <c r="D99" t="s">
        <v>506</v>
      </c>
      <c r="E99" t="s">
        <v>209</v>
      </c>
      <c r="F99" t="s">
        <v>210</v>
      </c>
      <c r="G99" t="s">
        <v>151</v>
      </c>
      <c r="H99" t="s">
        <v>152</v>
      </c>
      <c r="I99" t="s">
        <v>507</v>
      </c>
      <c r="O99" t="s">
        <v>508</v>
      </c>
      <c r="P99" t="s">
        <v>508</v>
      </c>
      <c r="Q99">
        <v>11</v>
      </c>
      <c r="R99" t="s">
        <v>2417</v>
      </c>
      <c r="S99" t="s">
        <v>2418</v>
      </c>
      <c r="T99">
        <v>4</v>
      </c>
      <c r="U99" t="s">
        <v>2432</v>
      </c>
      <c r="V99" t="s">
        <v>2433</v>
      </c>
      <c r="W99">
        <v>7</v>
      </c>
      <c r="X99" t="s">
        <v>2440</v>
      </c>
      <c r="Y99" t="s">
        <v>2441</v>
      </c>
      <c r="Z99">
        <v>2</v>
      </c>
      <c r="AA99" t="s">
        <v>3124</v>
      </c>
      <c r="AB99" t="s">
        <v>3124</v>
      </c>
      <c r="AF99">
        <v>587.32142455509461</v>
      </c>
      <c r="AG99">
        <v>7.4242424242423999</v>
      </c>
      <c r="AH99">
        <v>32</v>
      </c>
      <c r="AI99">
        <v>105</v>
      </c>
      <c r="AJ99">
        <v>292.12144815886074</v>
      </c>
      <c r="AK99">
        <v>748.82424242423997</v>
      </c>
      <c r="AM99">
        <v>296.970027422405</v>
      </c>
      <c r="AN99">
        <v>448</v>
      </c>
      <c r="AO99" t="s">
        <v>5545</v>
      </c>
      <c r="AP99" t="s">
        <v>506</v>
      </c>
    </row>
    <row r="100" spans="1:42" x14ac:dyDescent="0.25">
      <c r="A100">
        <v>99</v>
      </c>
      <c r="B100" t="s">
        <v>268</v>
      </c>
      <c r="C100" t="s">
        <v>4138</v>
      </c>
      <c r="D100" t="s">
        <v>269</v>
      </c>
      <c r="E100" t="s">
        <v>218</v>
      </c>
      <c r="F100" t="s">
        <v>219</v>
      </c>
      <c r="G100" t="s">
        <v>69</v>
      </c>
      <c r="H100" t="s">
        <v>70</v>
      </c>
      <c r="I100" t="s">
        <v>270</v>
      </c>
      <c r="J100" t="s">
        <v>241</v>
      </c>
      <c r="K100" t="s">
        <v>242</v>
      </c>
      <c r="L100" t="s">
        <v>4418</v>
      </c>
      <c r="M100" t="s">
        <v>4419</v>
      </c>
      <c r="N100" t="s">
        <v>4417</v>
      </c>
      <c r="O100" t="s">
        <v>271</v>
      </c>
      <c r="P100" t="s">
        <v>272</v>
      </c>
      <c r="R100" t="s">
        <v>2409</v>
      </c>
      <c r="S100" t="s">
        <v>2410</v>
      </c>
      <c r="T100">
        <v>2</v>
      </c>
      <c r="U100" t="s">
        <v>2434</v>
      </c>
      <c r="V100" t="s">
        <v>2435</v>
      </c>
      <c r="W100">
        <v>8</v>
      </c>
      <c r="X100" t="s">
        <v>2440</v>
      </c>
      <c r="Y100" t="s">
        <v>2441</v>
      </c>
      <c r="Z100">
        <v>2</v>
      </c>
      <c r="AA100" t="s">
        <v>273</v>
      </c>
      <c r="AB100" t="s">
        <v>273</v>
      </c>
      <c r="AE100" t="s">
        <v>274</v>
      </c>
      <c r="AF100">
        <v>586.56894658074953</v>
      </c>
      <c r="AG100">
        <v>8.2142857142856993</v>
      </c>
      <c r="AH100">
        <v>55</v>
      </c>
      <c r="AI100">
        <v>148</v>
      </c>
      <c r="AJ100">
        <v>244.83851207384956</v>
      </c>
      <c r="AK100">
        <v>832.42857142856997</v>
      </c>
      <c r="AM100">
        <v>286.77391690338936</v>
      </c>
      <c r="AN100">
        <v>224</v>
      </c>
      <c r="AO100" t="s">
        <v>5546</v>
      </c>
      <c r="AP100" t="s">
        <v>269</v>
      </c>
    </row>
    <row r="101" spans="1:42" x14ac:dyDescent="0.25">
      <c r="A101">
        <v>100</v>
      </c>
      <c r="B101" t="s">
        <v>1705</v>
      </c>
      <c r="C101" t="s">
        <v>1706</v>
      </c>
      <c r="D101" t="s">
        <v>1706</v>
      </c>
      <c r="E101" t="s">
        <v>137</v>
      </c>
      <c r="F101" t="s">
        <v>138</v>
      </c>
      <c r="G101" t="s">
        <v>139</v>
      </c>
      <c r="H101" t="s">
        <v>140</v>
      </c>
      <c r="I101" t="s">
        <v>1706</v>
      </c>
      <c r="J101" t="s">
        <v>651</v>
      </c>
      <c r="K101" t="s">
        <v>652</v>
      </c>
      <c r="L101" t="s">
        <v>4739</v>
      </c>
      <c r="M101" t="s">
        <v>4740</v>
      </c>
      <c r="Q101">
        <v>12</v>
      </c>
      <c r="R101" t="s">
        <v>2406</v>
      </c>
      <c r="S101" t="s">
        <v>2407</v>
      </c>
      <c r="T101">
        <v>1</v>
      </c>
      <c r="U101" t="s">
        <v>2430</v>
      </c>
      <c r="V101" t="s">
        <v>2431</v>
      </c>
      <c r="W101">
        <v>6</v>
      </c>
      <c r="X101" t="s">
        <v>2443</v>
      </c>
      <c r="Y101" t="s">
        <v>2444</v>
      </c>
      <c r="Z101">
        <v>3</v>
      </c>
      <c r="AA101" t="s">
        <v>73</v>
      </c>
      <c r="AB101" t="s">
        <v>73</v>
      </c>
      <c r="AF101">
        <v>585.74134209744398</v>
      </c>
      <c r="AG101">
        <v>6.7083333333333002</v>
      </c>
      <c r="AH101">
        <v>71</v>
      </c>
      <c r="AI101">
        <v>87</v>
      </c>
      <c r="AJ101">
        <v>325.80519492308775</v>
      </c>
      <c r="AK101">
        <v>685.03333333333012</v>
      </c>
      <c r="AM101">
        <v>456.12727289232282</v>
      </c>
      <c r="AN101">
        <v>0</v>
      </c>
      <c r="AO101" t="s">
        <v>5547</v>
      </c>
      <c r="AP101" t="s">
        <v>1706</v>
      </c>
    </row>
    <row r="102" spans="1:42" x14ac:dyDescent="0.25">
      <c r="A102">
        <v>101</v>
      </c>
      <c r="B102" t="s">
        <v>1068</v>
      </c>
      <c r="C102" t="s">
        <v>4139</v>
      </c>
      <c r="D102" t="s">
        <v>3176</v>
      </c>
      <c r="E102" t="s">
        <v>471</v>
      </c>
      <c r="F102" t="s">
        <v>472</v>
      </c>
      <c r="G102" t="s">
        <v>93</v>
      </c>
      <c r="H102" t="s">
        <v>94</v>
      </c>
      <c r="I102" t="s">
        <v>3177</v>
      </c>
      <c r="J102" t="s">
        <v>3239</v>
      </c>
      <c r="K102" t="s">
        <v>3178</v>
      </c>
      <c r="L102">
        <v>50.081040000000002</v>
      </c>
      <c r="M102">
        <v>12.366132</v>
      </c>
      <c r="N102" t="s">
        <v>4217</v>
      </c>
      <c r="O102" t="s">
        <v>3188</v>
      </c>
      <c r="P102" t="s">
        <v>3189</v>
      </c>
      <c r="Q102">
        <v>12</v>
      </c>
      <c r="R102" t="s">
        <v>2406</v>
      </c>
      <c r="S102" t="s">
        <v>2407</v>
      </c>
      <c r="T102">
        <v>1</v>
      </c>
      <c r="U102" t="s">
        <v>2432</v>
      </c>
      <c r="V102" t="s">
        <v>2433</v>
      </c>
      <c r="W102">
        <v>7</v>
      </c>
      <c r="X102" t="s">
        <v>2446</v>
      </c>
      <c r="Y102" t="s">
        <v>2447</v>
      </c>
      <c r="Z102">
        <v>4</v>
      </c>
      <c r="AF102">
        <v>585.03403383536681</v>
      </c>
      <c r="AG102">
        <v>6.5454545454544997</v>
      </c>
      <c r="AH102">
        <v>21</v>
      </c>
      <c r="AI102">
        <v>78</v>
      </c>
      <c r="AJ102">
        <v>339.62367395849088</v>
      </c>
      <c r="AK102">
        <v>658.74545454545</v>
      </c>
      <c r="AM102">
        <v>447.47314354188723</v>
      </c>
      <c r="AN102">
        <v>112</v>
      </c>
      <c r="AO102" t="s">
        <v>5548</v>
      </c>
      <c r="AP102" t="s">
        <v>3176</v>
      </c>
    </row>
    <row r="103" spans="1:42" x14ac:dyDescent="0.25">
      <c r="A103">
        <v>102</v>
      </c>
      <c r="B103" t="s">
        <v>681</v>
      </c>
      <c r="C103" t="s">
        <v>681</v>
      </c>
      <c r="D103" t="s">
        <v>682</v>
      </c>
      <c r="E103" t="s">
        <v>3169</v>
      </c>
      <c r="F103" t="s">
        <v>379</v>
      </c>
      <c r="G103" t="s">
        <v>162</v>
      </c>
      <c r="H103" t="s">
        <v>163</v>
      </c>
      <c r="J103" t="s">
        <v>683</v>
      </c>
      <c r="K103" t="s">
        <v>684</v>
      </c>
      <c r="L103" t="s">
        <v>5024</v>
      </c>
      <c r="M103" t="s">
        <v>5025</v>
      </c>
      <c r="Q103">
        <v>15</v>
      </c>
      <c r="R103" t="s">
        <v>2417</v>
      </c>
      <c r="S103" t="s">
        <v>2418</v>
      </c>
      <c r="T103">
        <v>4</v>
      </c>
      <c r="U103" t="s">
        <v>3139</v>
      </c>
      <c r="V103" t="s">
        <v>3140</v>
      </c>
      <c r="W103">
        <v>4</v>
      </c>
      <c r="X103" t="s">
        <v>2437</v>
      </c>
      <c r="Y103" t="s">
        <v>2438</v>
      </c>
      <c r="Z103">
        <v>1</v>
      </c>
      <c r="AA103" t="s">
        <v>73</v>
      </c>
      <c r="AB103" t="s">
        <v>73</v>
      </c>
      <c r="AF103">
        <v>584.28281411613864</v>
      </c>
      <c r="AG103">
        <v>6.7843137254902004</v>
      </c>
      <c r="AH103">
        <v>50</v>
      </c>
      <c r="AI103">
        <v>90</v>
      </c>
      <c r="AJ103">
        <v>322.29680871292067</v>
      </c>
      <c r="AK103">
        <v>688.43137254902001</v>
      </c>
      <c r="AM103">
        <v>345.21553219808891</v>
      </c>
      <c r="AN103">
        <v>424</v>
      </c>
      <c r="AO103" t="s">
        <v>5549</v>
      </c>
      <c r="AP103" t="s">
        <v>682</v>
      </c>
    </row>
    <row r="104" spans="1:42" x14ac:dyDescent="0.25">
      <c r="A104">
        <v>103</v>
      </c>
      <c r="B104" t="s">
        <v>2903</v>
      </c>
      <c r="C104" t="s">
        <v>4114</v>
      </c>
      <c r="D104" t="s">
        <v>320</v>
      </c>
      <c r="E104" t="s">
        <v>318</v>
      </c>
      <c r="F104" t="s">
        <v>319</v>
      </c>
      <c r="G104" t="s">
        <v>75</v>
      </c>
      <c r="H104" t="s">
        <v>76</v>
      </c>
      <c r="I104" t="s">
        <v>321</v>
      </c>
      <c r="L104" t="s">
        <v>4385</v>
      </c>
      <c r="M104" t="s">
        <v>4386</v>
      </c>
      <c r="O104" t="s">
        <v>322</v>
      </c>
      <c r="P104" t="s">
        <v>322</v>
      </c>
      <c r="Q104">
        <v>12</v>
      </c>
      <c r="R104" t="s">
        <v>73</v>
      </c>
      <c r="S104" t="s">
        <v>73</v>
      </c>
      <c r="U104" t="s">
        <v>73</v>
      </c>
      <c r="V104" t="s">
        <v>73</v>
      </c>
      <c r="X104" t="s">
        <v>2446</v>
      </c>
      <c r="Y104" t="s">
        <v>2447</v>
      </c>
      <c r="Z104">
        <v>4</v>
      </c>
      <c r="AC104" t="s">
        <v>323</v>
      </c>
      <c r="AD104" t="s">
        <v>323</v>
      </c>
      <c r="AF104">
        <v>584.18560956653073</v>
      </c>
      <c r="AG104">
        <v>8.1428571428570997</v>
      </c>
      <c r="AH104">
        <v>6</v>
      </c>
      <c r="AI104">
        <v>139</v>
      </c>
      <c r="AJ104">
        <v>251.60305824852858</v>
      </c>
      <c r="AK104">
        <v>815.48571428571006</v>
      </c>
      <c r="AM104">
        <v>268.24428154793998</v>
      </c>
      <c r="AN104">
        <v>336</v>
      </c>
      <c r="AO104" t="s">
        <v>5550</v>
      </c>
      <c r="AP104" t="s">
        <v>320</v>
      </c>
    </row>
    <row r="105" spans="1:42" x14ac:dyDescent="0.25">
      <c r="A105">
        <v>104</v>
      </c>
      <c r="B105" t="s">
        <v>1452</v>
      </c>
      <c r="C105" t="s">
        <v>1452</v>
      </c>
      <c r="D105" t="s">
        <v>2506</v>
      </c>
      <c r="E105" t="s">
        <v>282</v>
      </c>
      <c r="F105" t="s">
        <v>283</v>
      </c>
      <c r="G105" t="s">
        <v>3167</v>
      </c>
      <c r="H105" t="s">
        <v>3166</v>
      </c>
      <c r="I105" t="s">
        <v>653</v>
      </c>
      <c r="J105" t="s">
        <v>523</v>
      </c>
      <c r="K105" t="s">
        <v>524</v>
      </c>
      <c r="L105" t="s">
        <v>4420</v>
      </c>
      <c r="M105" t="s">
        <v>4421</v>
      </c>
      <c r="N105" t="s">
        <v>4422</v>
      </c>
      <c r="O105" t="s">
        <v>1453</v>
      </c>
      <c r="P105" t="s">
        <v>1453</v>
      </c>
      <c r="Q105">
        <v>12</v>
      </c>
      <c r="R105" t="s">
        <v>2417</v>
      </c>
      <c r="S105" t="s">
        <v>2418</v>
      </c>
      <c r="T105">
        <v>4</v>
      </c>
      <c r="U105" t="s">
        <v>2430</v>
      </c>
      <c r="V105" t="s">
        <v>2431</v>
      </c>
      <c r="W105">
        <v>6</v>
      </c>
      <c r="X105" t="s">
        <v>2443</v>
      </c>
      <c r="Y105" t="s">
        <v>2444</v>
      </c>
      <c r="Z105">
        <v>3</v>
      </c>
      <c r="AA105" t="s">
        <v>73</v>
      </c>
      <c r="AB105" t="s">
        <v>73</v>
      </c>
      <c r="AF105">
        <v>583.67134167953327</v>
      </c>
      <c r="AG105">
        <v>6.3679245283019004</v>
      </c>
      <c r="AH105">
        <v>105</v>
      </c>
      <c r="AI105">
        <v>79</v>
      </c>
      <c r="AJ105">
        <v>338.63901696048697</v>
      </c>
      <c r="AK105">
        <v>657.79245283019009</v>
      </c>
      <c r="AL105">
        <v>2009</v>
      </c>
      <c r="AM105">
        <v>418.09462374468171</v>
      </c>
      <c r="AN105">
        <v>224</v>
      </c>
      <c r="AO105" t="s">
        <v>5551</v>
      </c>
      <c r="AP105" t="s">
        <v>2506</v>
      </c>
    </row>
    <row r="106" spans="1:42" x14ac:dyDescent="0.25">
      <c r="A106">
        <v>105</v>
      </c>
      <c r="B106" t="s">
        <v>2769</v>
      </c>
      <c r="C106" t="s">
        <v>2769</v>
      </c>
      <c r="D106" t="s">
        <v>2775</v>
      </c>
      <c r="E106" t="s">
        <v>91</v>
      </c>
      <c r="F106" t="s">
        <v>92</v>
      </c>
      <c r="G106" t="s">
        <v>632</v>
      </c>
      <c r="H106" t="s">
        <v>633</v>
      </c>
      <c r="I106" t="s">
        <v>2776</v>
      </c>
      <c r="J106" t="s">
        <v>3070</v>
      </c>
      <c r="K106" t="s">
        <v>3071</v>
      </c>
      <c r="L106" t="s">
        <v>4522</v>
      </c>
      <c r="M106" t="s">
        <v>4523</v>
      </c>
      <c r="O106" t="s">
        <v>2778</v>
      </c>
      <c r="P106" t="s">
        <v>2777</v>
      </c>
      <c r="Q106">
        <v>13</v>
      </c>
      <c r="R106" t="s">
        <v>2406</v>
      </c>
      <c r="S106" t="s">
        <v>2407</v>
      </c>
      <c r="T106">
        <v>1</v>
      </c>
      <c r="U106" t="s">
        <v>2430</v>
      </c>
      <c r="V106" t="s">
        <v>2431</v>
      </c>
      <c r="W106">
        <v>6</v>
      </c>
      <c r="X106" t="s">
        <v>2437</v>
      </c>
      <c r="Y106" t="s">
        <v>2438</v>
      </c>
      <c r="Z106">
        <v>1</v>
      </c>
      <c r="AA106" t="s">
        <v>73</v>
      </c>
      <c r="AB106" t="s">
        <v>73</v>
      </c>
      <c r="AC106" t="s">
        <v>2779</v>
      </c>
      <c r="AD106" t="s">
        <v>2779</v>
      </c>
      <c r="AF106">
        <v>582.72939337233049</v>
      </c>
      <c r="AG106">
        <v>8.0384615384614992</v>
      </c>
      <c r="AH106">
        <v>51</v>
      </c>
      <c r="AI106">
        <v>141</v>
      </c>
      <c r="AJ106">
        <v>250.7847960547283</v>
      </c>
      <c r="AK106">
        <v>814.04615384614999</v>
      </c>
      <c r="AM106">
        <v>295.09871447661959</v>
      </c>
      <c r="AN106">
        <v>224</v>
      </c>
      <c r="AO106" t="s">
        <v>5552</v>
      </c>
      <c r="AP106" t="s">
        <v>2775</v>
      </c>
    </row>
    <row r="107" spans="1:42" x14ac:dyDescent="0.25">
      <c r="A107">
        <v>106</v>
      </c>
      <c r="B107" t="s">
        <v>275</v>
      </c>
      <c r="C107" t="s">
        <v>275</v>
      </c>
      <c r="D107" t="s">
        <v>276</v>
      </c>
      <c r="E107" t="s">
        <v>229</v>
      </c>
      <c r="F107" t="s">
        <v>229</v>
      </c>
      <c r="G107" t="s">
        <v>69</v>
      </c>
      <c r="H107" t="s">
        <v>70</v>
      </c>
      <c r="O107" t="s">
        <v>277</v>
      </c>
      <c r="P107" t="s">
        <v>278</v>
      </c>
      <c r="Q107">
        <v>12</v>
      </c>
      <c r="R107" t="s">
        <v>2409</v>
      </c>
      <c r="S107" t="s">
        <v>2410</v>
      </c>
      <c r="T107">
        <v>2</v>
      </c>
      <c r="U107" t="s">
        <v>2430</v>
      </c>
      <c r="V107" t="s">
        <v>2431</v>
      </c>
      <c r="W107">
        <v>6</v>
      </c>
      <c r="X107" t="s">
        <v>2443</v>
      </c>
      <c r="Y107" t="s">
        <v>2444</v>
      </c>
      <c r="Z107">
        <v>3</v>
      </c>
      <c r="AA107" t="s">
        <v>73</v>
      </c>
      <c r="AB107" t="s">
        <v>73</v>
      </c>
      <c r="AC107" t="s">
        <v>279</v>
      </c>
      <c r="AF107">
        <v>582.28736105150153</v>
      </c>
      <c r="AG107">
        <v>8.4257425742574004</v>
      </c>
      <c r="AH107">
        <v>100</v>
      </c>
      <c r="AI107">
        <v>177</v>
      </c>
      <c r="AJ107">
        <v>223.33359148736838</v>
      </c>
      <c r="AK107">
        <v>862.57425742574003</v>
      </c>
      <c r="AM107">
        <v>200.66702808231574</v>
      </c>
      <c r="AN107">
        <v>448</v>
      </c>
      <c r="AO107" t="s">
        <v>5553</v>
      </c>
      <c r="AP107" t="s">
        <v>276</v>
      </c>
    </row>
    <row r="108" spans="1:42" x14ac:dyDescent="0.25">
      <c r="A108">
        <v>107</v>
      </c>
      <c r="B108" t="s">
        <v>609</v>
      </c>
      <c r="C108" t="s">
        <v>609</v>
      </c>
      <c r="D108" t="s">
        <v>610</v>
      </c>
      <c r="E108" t="s">
        <v>351</v>
      </c>
      <c r="F108" t="s">
        <v>352</v>
      </c>
      <c r="G108" t="s">
        <v>257</v>
      </c>
      <c r="H108" t="s">
        <v>258</v>
      </c>
      <c r="I108" t="s">
        <v>611</v>
      </c>
      <c r="J108" t="s">
        <v>459</v>
      </c>
      <c r="K108" t="s">
        <v>612</v>
      </c>
      <c r="L108">
        <v>49.792486675900001</v>
      </c>
      <c r="M108">
        <v>5.0649630118399998</v>
      </c>
      <c r="N108" t="s">
        <v>4250</v>
      </c>
      <c r="O108" t="s">
        <v>613</v>
      </c>
      <c r="P108" t="s">
        <v>614</v>
      </c>
      <c r="Q108">
        <v>11</v>
      </c>
      <c r="R108" t="s">
        <v>2409</v>
      </c>
      <c r="S108" t="s">
        <v>2410</v>
      </c>
      <c r="T108">
        <v>2</v>
      </c>
      <c r="U108" t="s">
        <v>2432</v>
      </c>
      <c r="V108" t="s">
        <v>2433</v>
      </c>
      <c r="W108">
        <v>7</v>
      </c>
      <c r="X108" t="s">
        <v>2443</v>
      </c>
      <c r="Y108" t="s">
        <v>2444</v>
      </c>
      <c r="Z108">
        <v>3</v>
      </c>
      <c r="AA108" t="s">
        <v>615</v>
      </c>
      <c r="AB108" t="s">
        <v>615</v>
      </c>
      <c r="AF108">
        <v>579.8054119436531</v>
      </c>
      <c r="AG108">
        <v>8.0206896551724007</v>
      </c>
      <c r="AH108">
        <v>144</v>
      </c>
      <c r="AI108">
        <v>157</v>
      </c>
      <c r="AJ108">
        <v>238.18992131670339</v>
      </c>
      <c r="AK108">
        <v>830.86896551723999</v>
      </c>
      <c r="AL108">
        <v>2002</v>
      </c>
      <c r="AM108">
        <v>333.46588984338473</v>
      </c>
      <c r="AN108">
        <v>0</v>
      </c>
      <c r="AO108" t="s">
        <v>5554</v>
      </c>
      <c r="AP108" t="s">
        <v>610</v>
      </c>
    </row>
    <row r="109" spans="1:42" x14ac:dyDescent="0.25">
      <c r="A109">
        <v>108</v>
      </c>
      <c r="B109" t="s">
        <v>2164</v>
      </c>
      <c r="C109" t="s">
        <v>2164</v>
      </c>
      <c r="D109" t="s">
        <v>4439</v>
      </c>
      <c r="E109" t="s">
        <v>199</v>
      </c>
      <c r="F109" t="s">
        <v>200</v>
      </c>
      <c r="I109" t="s">
        <v>2165</v>
      </c>
      <c r="J109" t="s">
        <v>403</v>
      </c>
      <c r="K109" t="s">
        <v>404</v>
      </c>
      <c r="L109" t="s">
        <v>4441</v>
      </c>
      <c r="M109" t="s">
        <v>4442</v>
      </c>
      <c r="N109" t="s">
        <v>4440</v>
      </c>
      <c r="O109" t="s">
        <v>2649</v>
      </c>
      <c r="P109" t="s">
        <v>2650</v>
      </c>
      <c r="Q109">
        <v>15</v>
      </c>
      <c r="R109" t="s">
        <v>2417</v>
      </c>
      <c r="S109" t="s">
        <v>2418</v>
      </c>
      <c r="T109">
        <v>4</v>
      </c>
      <c r="U109" t="s">
        <v>2430</v>
      </c>
      <c r="V109" t="s">
        <v>2431</v>
      </c>
      <c r="W109">
        <v>6</v>
      </c>
      <c r="X109" t="s">
        <v>2437</v>
      </c>
      <c r="Y109" t="s">
        <v>2438</v>
      </c>
      <c r="Z109">
        <v>1</v>
      </c>
      <c r="AA109" t="s">
        <v>73</v>
      </c>
      <c r="AB109" t="s">
        <v>73</v>
      </c>
      <c r="AF109">
        <v>576.74362433662736</v>
      </c>
      <c r="AG109">
        <v>7.40625</v>
      </c>
      <c r="AH109">
        <v>95</v>
      </c>
      <c r="AI109">
        <v>115</v>
      </c>
      <c r="AJ109">
        <v>274.36791592958588</v>
      </c>
      <c r="AK109">
        <v>759.625</v>
      </c>
      <c r="AL109">
        <v>2011</v>
      </c>
      <c r="AM109">
        <v>384.11508230142022</v>
      </c>
      <c r="AN109">
        <v>0</v>
      </c>
      <c r="AO109" t="s">
        <v>5555</v>
      </c>
      <c r="AP109" t="s">
        <v>4439</v>
      </c>
    </row>
    <row r="110" spans="1:42" x14ac:dyDescent="0.25">
      <c r="A110">
        <v>109</v>
      </c>
      <c r="B110" t="s">
        <v>665</v>
      </c>
      <c r="C110" t="s">
        <v>665</v>
      </c>
      <c r="D110" t="s">
        <v>3970</v>
      </c>
      <c r="E110" t="s">
        <v>666</v>
      </c>
      <c r="F110" t="s">
        <v>667</v>
      </c>
      <c r="G110" t="s">
        <v>60</v>
      </c>
      <c r="H110" t="s">
        <v>61</v>
      </c>
      <c r="I110" t="s">
        <v>668</v>
      </c>
      <c r="J110" t="s">
        <v>3620</v>
      </c>
      <c r="K110" t="s">
        <v>3624</v>
      </c>
      <c r="L110" t="s">
        <v>4486</v>
      </c>
      <c r="M110" t="s">
        <v>4487</v>
      </c>
      <c r="R110" t="s">
        <v>73</v>
      </c>
      <c r="S110" t="s">
        <v>73</v>
      </c>
      <c r="U110" t="s">
        <v>73</v>
      </c>
      <c r="V110" t="s">
        <v>73</v>
      </c>
      <c r="X110" t="s">
        <v>2440</v>
      </c>
      <c r="Y110" t="s">
        <v>2441</v>
      </c>
      <c r="Z110">
        <v>2</v>
      </c>
      <c r="AF110">
        <v>576.59440474243991</v>
      </c>
      <c r="AG110">
        <v>8.1739130434783007</v>
      </c>
      <c r="AH110">
        <v>22</v>
      </c>
      <c r="AI110">
        <v>154</v>
      </c>
      <c r="AJ110">
        <v>239.66528063169426</v>
      </c>
      <c r="AK110">
        <v>821.79130434783008</v>
      </c>
      <c r="AM110">
        <v>251.53139288437194</v>
      </c>
      <c r="AN110">
        <v>336</v>
      </c>
      <c r="AO110" t="s">
        <v>5556</v>
      </c>
      <c r="AP110" t="s">
        <v>3970</v>
      </c>
    </row>
    <row r="111" spans="1:42" x14ac:dyDescent="0.25">
      <c r="A111">
        <v>110</v>
      </c>
      <c r="B111" t="s">
        <v>2062</v>
      </c>
      <c r="C111" t="s">
        <v>2062</v>
      </c>
      <c r="D111" t="s">
        <v>3813</v>
      </c>
      <c r="E111" t="s">
        <v>218</v>
      </c>
      <c r="F111" t="s">
        <v>219</v>
      </c>
      <c r="G111" t="s">
        <v>69</v>
      </c>
      <c r="H111" t="s">
        <v>70</v>
      </c>
      <c r="I111" t="s">
        <v>753</v>
      </c>
      <c r="J111" t="s">
        <v>241</v>
      </c>
      <c r="K111" t="s">
        <v>242</v>
      </c>
      <c r="L111" t="s">
        <v>4274</v>
      </c>
      <c r="M111" t="s">
        <v>4275</v>
      </c>
      <c r="R111" t="s">
        <v>73</v>
      </c>
      <c r="S111" t="s">
        <v>73</v>
      </c>
      <c r="U111" t="s">
        <v>73</v>
      </c>
      <c r="V111" t="s">
        <v>73</v>
      </c>
      <c r="X111" t="s">
        <v>2440</v>
      </c>
      <c r="Y111" t="s">
        <v>2441</v>
      </c>
      <c r="Z111">
        <v>2</v>
      </c>
      <c r="AA111" t="s">
        <v>73</v>
      </c>
      <c r="AB111" t="s">
        <v>73</v>
      </c>
      <c r="AF111">
        <v>574.57574717809973</v>
      </c>
      <c r="AG111">
        <v>7.9298245614034997</v>
      </c>
      <c r="AH111">
        <v>56</v>
      </c>
      <c r="AI111">
        <v>146</v>
      </c>
      <c r="AJ111">
        <v>247.20502123102742</v>
      </c>
      <c r="AK111">
        <v>804.18245614035004</v>
      </c>
      <c r="AM111">
        <v>290.08702972343838</v>
      </c>
      <c r="AN111">
        <v>224</v>
      </c>
      <c r="AO111" t="s">
        <v>5557</v>
      </c>
      <c r="AP111" t="s">
        <v>3813</v>
      </c>
    </row>
    <row r="112" spans="1:42" x14ac:dyDescent="0.25">
      <c r="A112">
        <v>111</v>
      </c>
      <c r="B112" t="s">
        <v>381</v>
      </c>
      <c r="C112" t="s">
        <v>381</v>
      </c>
      <c r="D112" t="s">
        <v>3811</v>
      </c>
      <c r="E112" t="s">
        <v>3169</v>
      </c>
      <c r="F112" t="s">
        <v>379</v>
      </c>
      <c r="G112" t="s">
        <v>162</v>
      </c>
      <c r="H112" t="s">
        <v>163</v>
      </c>
      <c r="J112" t="s">
        <v>380</v>
      </c>
      <c r="K112" t="s">
        <v>381</v>
      </c>
      <c r="O112" t="s">
        <v>1548</v>
      </c>
      <c r="P112" t="s">
        <v>1549</v>
      </c>
      <c r="Q112">
        <v>13</v>
      </c>
      <c r="R112" t="s">
        <v>2420</v>
      </c>
      <c r="S112" t="s">
        <v>2421</v>
      </c>
      <c r="T112">
        <v>5</v>
      </c>
      <c r="U112" t="s">
        <v>73</v>
      </c>
      <c r="V112" t="s">
        <v>73</v>
      </c>
      <c r="X112" t="s">
        <v>2437</v>
      </c>
      <c r="Y112" t="s">
        <v>2438</v>
      </c>
      <c r="Z112">
        <v>1</v>
      </c>
      <c r="AA112" t="s">
        <v>73</v>
      </c>
      <c r="AB112" t="s">
        <v>73</v>
      </c>
      <c r="AF112">
        <v>571.9619057066684</v>
      </c>
      <c r="AG112">
        <v>8.3626373626374004</v>
      </c>
      <c r="AH112">
        <v>90</v>
      </c>
      <c r="AI112">
        <v>185</v>
      </c>
      <c r="AJ112">
        <v>216.47781952755372</v>
      </c>
      <c r="AK112">
        <v>854.26373626374004</v>
      </c>
      <c r="AM112">
        <v>197.06894733857519</v>
      </c>
      <c r="AN112">
        <v>424</v>
      </c>
      <c r="AO112" t="s">
        <v>5558</v>
      </c>
      <c r="AP112" t="s">
        <v>3811</v>
      </c>
    </row>
    <row r="113" spans="1:42" x14ac:dyDescent="0.25">
      <c r="A113">
        <v>112</v>
      </c>
      <c r="B113" t="s">
        <v>863</v>
      </c>
      <c r="C113" t="s">
        <v>863</v>
      </c>
      <c r="D113" t="s">
        <v>864</v>
      </c>
      <c r="E113" t="s">
        <v>137</v>
      </c>
      <c r="F113" t="s">
        <v>138</v>
      </c>
      <c r="G113" t="s">
        <v>139</v>
      </c>
      <c r="H113" t="s">
        <v>140</v>
      </c>
      <c r="I113" t="s">
        <v>865</v>
      </c>
      <c r="J113" t="s">
        <v>426</v>
      </c>
      <c r="K113" t="s">
        <v>427</v>
      </c>
      <c r="L113" t="s">
        <v>4670</v>
      </c>
      <c r="M113" t="s">
        <v>4671</v>
      </c>
      <c r="R113" t="s">
        <v>2409</v>
      </c>
      <c r="S113" t="s">
        <v>2410</v>
      </c>
      <c r="T113">
        <v>2</v>
      </c>
      <c r="U113" t="s">
        <v>2432</v>
      </c>
      <c r="V113" t="s">
        <v>2433</v>
      </c>
      <c r="W113">
        <v>7</v>
      </c>
      <c r="X113" t="s">
        <v>2437</v>
      </c>
      <c r="Y113" t="s">
        <v>2438</v>
      </c>
      <c r="Z113">
        <v>1</v>
      </c>
      <c r="AF113">
        <v>570.70820596781107</v>
      </c>
      <c r="AG113">
        <v>8.4479166666666998</v>
      </c>
      <c r="AH113">
        <v>191</v>
      </c>
      <c r="AI113">
        <v>215</v>
      </c>
      <c r="AJ113">
        <v>199.12485848275116</v>
      </c>
      <c r="AK113">
        <v>882.99166666666997</v>
      </c>
      <c r="AL113">
        <v>2004</v>
      </c>
      <c r="AM113">
        <v>278.77480187585161</v>
      </c>
      <c r="AN113">
        <v>0</v>
      </c>
      <c r="AO113" t="s">
        <v>5559</v>
      </c>
      <c r="AP113" t="s">
        <v>864</v>
      </c>
    </row>
    <row r="114" spans="1:42" x14ac:dyDescent="0.25">
      <c r="A114">
        <v>113</v>
      </c>
      <c r="B114" t="s">
        <v>2210</v>
      </c>
      <c r="C114" t="s">
        <v>2210</v>
      </c>
      <c r="D114" t="s">
        <v>2211</v>
      </c>
      <c r="E114" t="s">
        <v>300</v>
      </c>
      <c r="F114" t="s">
        <v>301</v>
      </c>
      <c r="G114" t="s">
        <v>151</v>
      </c>
      <c r="H114" t="s">
        <v>152</v>
      </c>
      <c r="I114" t="s">
        <v>3267</v>
      </c>
      <c r="J114" t="s">
        <v>3251</v>
      </c>
      <c r="K114" t="s">
        <v>3253</v>
      </c>
      <c r="Q114">
        <v>12</v>
      </c>
      <c r="R114" t="s">
        <v>2414</v>
      </c>
      <c r="S114" t="s">
        <v>2415</v>
      </c>
      <c r="T114">
        <v>3</v>
      </c>
      <c r="U114" t="s">
        <v>3137</v>
      </c>
      <c r="V114" t="s">
        <v>3136</v>
      </c>
      <c r="W114">
        <v>5</v>
      </c>
      <c r="X114" t="s">
        <v>2440</v>
      </c>
      <c r="Y114" t="s">
        <v>2441</v>
      </c>
      <c r="Z114">
        <v>2</v>
      </c>
      <c r="AA114" t="s">
        <v>73</v>
      </c>
      <c r="AB114" t="s">
        <v>73</v>
      </c>
      <c r="AF114">
        <v>569.58786064916467</v>
      </c>
      <c r="AG114">
        <v>7.2142857142857002</v>
      </c>
      <c r="AH114">
        <v>13</v>
      </c>
      <c r="AI114">
        <v>109</v>
      </c>
      <c r="AJ114">
        <v>286.19286103875527</v>
      </c>
      <c r="AK114">
        <v>724.02857142856999</v>
      </c>
      <c r="AM114">
        <v>288.67000545425736</v>
      </c>
      <c r="AN114">
        <v>448</v>
      </c>
      <c r="AO114" t="s">
        <v>5560</v>
      </c>
      <c r="AP114" t="s">
        <v>2211</v>
      </c>
    </row>
    <row r="115" spans="1:42" x14ac:dyDescent="0.25">
      <c r="A115">
        <v>114</v>
      </c>
      <c r="B115" t="s">
        <v>1303</v>
      </c>
      <c r="C115" t="s">
        <v>1303</v>
      </c>
      <c r="D115" t="s">
        <v>1304</v>
      </c>
      <c r="E115" t="s">
        <v>255</v>
      </c>
      <c r="F115" t="s">
        <v>256</v>
      </c>
      <c r="G115" t="s">
        <v>257</v>
      </c>
      <c r="H115" t="s">
        <v>258</v>
      </c>
      <c r="I115" t="s">
        <v>1305</v>
      </c>
      <c r="J115" t="s">
        <v>1306</v>
      </c>
      <c r="K115" t="s">
        <v>1307</v>
      </c>
      <c r="L115">
        <v>52.121430555555598</v>
      </c>
      <c r="M115">
        <v>4.9863472222222196</v>
      </c>
      <c r="N115" t="s">
        <v>4230</v>
      </c>
      <c r="O115" t="s">
        <v>2551</v>
      </c>
      <c r="P115" t="s">
        <v>2552</v>
      </c>
      <c r="Q115">
        <v>12</v>
      </c>
      <c r="R115" t="s">
        <v>2414</v>
      </c>
      <c r="S115" t="s">
        <v>2415</v>
      </c>
      <c r="T115">
        <v>3</v>
      </c>
      <c r="U115" t="s">
        <v>3137</v>
      </c>
      <c r="V115" t="s">
        <v>3136</v>
      </c>
      <c r="W115">
        <v>5</v>
      </c>
      <c r="X115" t="s">
        <v>2440</v>
      </c>
      <c r="Y115" t="s">
        <v>2441</v>
      </c>
      <c r="Z115">
        <v>2</v>
      </c>
      <c r="AA115" t="s">
        <v>73</v>
      </c>
      <c r="AB115" t="s">
        <v>73</v>
      </c>
      <c r="AC115" t="s">
        <v>1308</v>
      </c>
      <c r="AD115" t="s">
        <v>1308</v>
      </c>
      <c r="AE115" t="s">
        <v>1309</v>
      </c>
      <c r="AF115">
        <v>567.15079361725952</v>
      </c>
      <c r="AG115">
        <v>8.0369799691834007</v>
      </c>
      <c r="AH115">
        <v>648</v>
      </c>
      <c r="AI115">
        <v>303</v>
      </c>
      <c r="AJ115">
        <v>167.22421684232165</v>
      </c>
      <c r="AK115">
        <v>933.29799691834012</v>
      </c>
      <c r="AL115">
        <v>2000</v>
      </c>
      <c r="AM115">
        <v>234.11390357925029</v>
      </c>
      <c r="AN115">
        <v>0</v>
      </c>
      <c r="AO115" t="s">
        <v>5561</v>
      </c>
      <c r="AP115" t="s">
        <v>1304</v>
      </c>
    </row>
    <row r="116" spans="1:42" x14ac:dyDescent="0.25">
      <c r="A116">
        <v>115</v>
      </c>
      <c r="B116" t="s">
        <v>2166</v>
      </c>
      <c r="C116" t="s">
        <v>2166</v>
      </c>
      <c r="D116" t="s">
        <v>3875</v>
      </c>
      <c r="E116" t="s">
        <v>5312</v>
      </c>
      <c r="F116" t="s">
        <v>157</v>
      </c>
      <c r="G116" t="s">
        <v>158</v>
      </c>
      <c r="H116" t="s">
        <v>159</v>
      </c>
      <c r="I116" t="s">
        <v>3911</v>
      </c>
      <c r="J116" t="s">
        <v>3085</v>
      </c>
      <c r="K116" t="s">
        <v>3086</v>
      </c>
      <c r="L116">
        <v>46.778888799999997</v>
      </c>
      <c r="M116">
        <v>10.2616666</v>
      </c>
      <c r="N116" t="s">
        <v>4248</v>
      </c>
      <c r="Q116">
        <v>11</v>
      </c>
      <c r="R116" t="s">
        <v>2409</v>
      </c>
      <c r="S116" t="s">
        <v>2410</v>
      </c>
      <c r="T116">
        <v>2</v>
      </c>
      <c r="U116" t="s">
        <v>2432</v>
      </c>
      <c r="V116" t="s">
        <v>2433</v>
      </c>
      <c r="W116">
        <v>7</v>
      </c>
      <c r="X116" t="s">
        <v>2437</v>
      </c>
      <c r="Y116" t="s">
        <v>2438</v>
      </c>
      <c r="Z116">
        <v>1</v>
      </c>
      <c r="AA116" t="s">
        <v>73</v>
      </c>
      <c r="AB116" t="s">
        <v>73</v>
      </c>
      <c r="AC116" t="s">
        <v>2167</v>
      </c>
      <c r="AD116" t="s">
        <v>2167</v>
      </c>
      <c r="AE116" t="s">
        <v>2701</v>
      </c>
      <c r="AF116">
        <v>566.70018078618875</v>
      </c>
      <c r="AG116">
        <v>7.2755102040816002</v>
      </c>
      <c r="AH116">
        <v>97</v>
      </c>
      <c r="AI116">
        <v>120</v>
      </c>
      <c r="AJ116">
        <v>270.24963398012085</v>
      </c>
      <c r="AK116">
        <v>746.95102040816005</v>
      </c>
      <c r="AM116">
        <v>378.34948757216915</v>
      </c>
      <c r="AN116">
        <v>0</v>
      </c>
      <c r="AO116" t="s">
        <v>5562</v>
      </c>
      <c r="AP116" t="s">
        <v>3875</v>
      </c>
    </row>
    <row r="117" spans="1:42" x14ac:dyDescent="0.25">
      <c r="A117">
        <v>116</v>
      </c>
      <c r="B117" t="s">
        <v>2879</v>
      </c>
      <c r="C117" t="s">
        <v>4141</v>
      </c>
      <c r="D117" t="s">
        <v>2880</v>
      </c>
      <c r="E117" t="s">
        <v>1775</v>
      </c>
      <c r="F117" t="s">
        <v>1775</v>
      </c>
      <c r="G117" t="s">
        <v>1776</v>
      </c>
      <c r="H117" t="s">
        <v>1777</v>
      </c>
      <c r="I117" t="s">
        <v>2257</v>
      </c>
      <c r="Q117">
        <v>12</v>
      </c>
      <c r="R117" t="s">
        <v>2414</v>
      </c>
      <c r="S117" t="s">
        <v>2415</v>
      </c>
      <c r="T117">
        <v>3</v>
      </c>
      <c r="U117" t="s">
        <v>3139</v>
      </c>
      <c r="V117" t="s">
        <v>3140</v>
      </c>
      <c r="W117">
        <v>4</v>
      </c>
      <c r="X117" t="s">
        <v>2437</v>
      </c>
      <c r="Y117" t="s">
        <v>2438</v>
      </c>
      <c r="Z117">
        <v>1</v>
      </c>
      <c r="AA117" t="s">
        <v>73</v>
      </c>
      <c r="AB117" t="s">
        <v>73</v>
      </c>
      <c r="AE117" t="s">
        <v>2258</v>
      </c>
      <c r="AF117">
        <v>566.45867248583954</v>
      </c>
      <c r="AG117">
        <v>6.0769230769230997</v>
      </c>
      <c r="AH117">
        <v>12</v>
      </c>
      <c r="AI117">
        <v>76</v>
      </c>
      <c r="AJ117">
        <v>346.01390959964948</v>
      </c>
      <c r="AK117">
        <v>610.09230769230999</v>
      </c>
      <c r="AM117">
        <v>372.41947343950926</v>
      </c>
      <c r="AN117">
        <v>448</v>
      </c>
      <c r="AO117" t="s">
        <v>5563</v>
      </c>
      <c r="AP117" t="s">
        <v>2880</v>
      </c>
    </row>
    <row r="118" spans="1:42" x14ac:dyDescent="0.25">
      <c r="A118">
        <v>117</v>
      </c>
      <c r="B118" t="s">
        <v>1357</v>
      </c>
      <c r="C118" t="s">
        <v>1357</v>
      </c>
      <c r="D118" t="s">
        <v>2475</v>
      </c>
      <c r="E118" t="s">
        <v>282</v>
      </c>
      <c r="F118" t="s">
        <v>283</v>
      </c>
      <c r="G118" t="s">
        <v>3167</v>
      </c>
      <c r="H118" t="s">
        <v>3166</v>
      </c>
      <c r="I118" t="s">
        <v>1139</v>
      </c>
      <c r="J118" t="s">
        <v>368</v>
      </c>
      <c r="K118" t="s">
        <v>369</v>
      </c>
      <c r="R118" t="s">
        <v>2414</v>
      </c>
      <c r="S118" t="s">
        <v>2415</v>
      </c>
      <c r="T118">
        <v>3</v>
      </c>
      <c r="U118" t="s">
        <v>3137</v>
      </c>
      <c r="V118" t="s">
        <v>3136</v>
      </c>
      <c r="W118">
        <v>5</v>
      </c>
      <c r="X118" t="s">
        <v>2440</v>
      </c>
      <c r="Y118" t="s">
        <v>2441</v>
      </c>
      <c r="Z118">
        <v>2</v>
      </c>
      <c r="AA118" t="s">
        <v>73</v>
      </c>
      <c r="AB118" t="s">
        <v>73</v>
      </c>
      <c r="AF118">
        <v>566.33941155554805</v>
      </c>
      <c r="AG118">
        <v>8.4836065573769996</v>
      </c>
      <c r="AH118">
        <v>243</v>
      </c>
      <c r="AI118">
        <v>251</v>
      </c>
      <c r="AJ118">
        <v>186.5100929852201</v>
      </c>
      <c r="AK118">
        <v>896.96065573769999</v>
      </c>
      <c r="AL118">
        <v>2009</v>
      </c>
      <c r="AM118">
        <v>205.11413017930812</v>
      </c>
      <c r="AN118">
        <v>224</v>
      </c>
      <c r="AO118" t="s">
        <v>5564</v>
      </c>
      <c r="AP118" t="s">
        <v>2475</v>
      </c>
    </row>
    <row r="119" spans="1:42" x14ac:dyDescent="0.25">
      <c r="A119">
        <v>118</v>
      </c>
      <c r="B119" t="s">
        <v>2131</v>
      </c>
      <c r="C119" t="s">
        <v>2131</v>
      </c>
      <c r="D119" t="s">
        <v>2132</v>
      </c>
      <c r="E119" t="s">
        <v>595</v>
      </c>
      <c r="F119" t="s">
        <v>596</v>
      </c>
      <c r="G119" t="s">
        <v>3167</v>
      </c>
      <c r="H119" t="s">
        <v>3166</v>
      </c>
      <c r="I119" t="s">
        <v>2133</v>
      </c>
      <c r="J119" t="s">
        <v>607</v>
      </c>
      <c r="K119" t="s">
        <v>608</v>
      </c>
      <c r="L119" t="s">
        <v>5030</v>
      </c>
      <c r="M119" t="s">
        <v>5031</v>
      </c>
      <c r="Q119">
        <v>15</v>
      </c>
      <c r="R119" t="s">
        <v>2409</v>
      </c>
      <c r="S119" t="s">
        <v>2410</v>
      </c>
      <c r="T119">
        <v>2</v>
      </c>
      <c r="U119" t="s">
        <v>3137</v>
      </c>
      <c r="V119" t="s">
        <v>3136</v>
      </c>
      <c r="W119">
        <v>5</v>
      </c>
      <c r="X119" t="s">
        <v>2437</v>
      </c>
      <c r="Y119" t="s">
        <v>2438</v>
      </c>
      <c r="Z119">
        <v>1</v>
      </c>
      <c r="AA119" t="s">
        <v>2134</v>
      </c>
      <c r="AB119" t="s">
        <v>2134</v>
      </c>
      <c r="AC119" t="s">
        <v>2135</v>
      </c>
      <c r="AD119" t="s">
        <v>2135</v>
      </c>
      <c r="AE119" t="s">
        <v>2136</v>
      </c>
      <c r="AF119">
        <v>565.54128889663775</v>
      </c>
      <c r="AG119">
        <v>7.8941176470587999</v>
      </c>
      <c r="AH119">
        <v>84</v>
      </c>
      <c r="AI119">
        <v>159</v>
      </c>
      <c r="AJ119">
        <v>236.03934060410867</v>
      </c>
      <c r="AK119">
        <v>806.21176470588</v>
      </c>
      <c r="AM119">
        <v>274.4550768457521</v>
      </c>
      <c r="AN119">
        <v>224</v>
      </c>
      <c r="AO119" t="s">
        <v>5565</v>
      </c>
      <c r="AP119" t="s">
        <v>2132</v>
      </c>
    </row>
    <row r="120" spans="1:42" x14ac:dyDescent="0.25">
      <c r="A120">
        <v>119</v>
      </c>
      <c r="B120" t="s">
        <v>1739</v>
      </c>
      <c r="C120" t="s">
        <v>4064</v>
      </c>
      <c r="D120" t="s">
        <v>3710</v>
      </c>
      <c r="E120" t="s">
        <v>255</v>
      </c>
      <c r="F120" t="s">
        <v>256</v>
      </c>
      <c r="G120" t="s">
        <v>257</v>
      </c>
      <c r="H120" t="s">
        <v>258</v>
      </c>
      <c r="I120" t="s">
        <v>1740</v>
      </c>
      <c r="J120" t="s">
        <v>315</v>
      </c>
      <c r="K120" t="s">
        <v>316</v>
      </c>
      <c r="L120">
        <v>51.8477777777778</v>
      </c>
      <c r="M120">
        <v>5.87083333333333</v>
      </c>
      <c r="O120" t="s">
        <v>2596</v>
      </c>
      <c r="P120" t="s">
        <v>2597</v>
      </c>
      <c r="Q120">
        <v>12</v>
      </c>
      <c r="R120" t="s">
        <v>2406</v>
      </c>
      <c r="S120" t="s">
        <v>2407</v>
      </c>
      <c r="T120">
        <v>1</v>
      </c>
      <c r="U120" t="s">
        <v>2430</v>
      </c>
      <c r="V120" t="s">
        <v>2431</v>
      </c>
      <c r="W120">
        <v>6</v>
      </c>
      <c r="X120" t="s">
        <v>2449</v>
      </c>
      <c r="Y120" t="s">
        <v>2450</v>
      </c>
      <c r="Z120">
        <v>5</v>
      </c>
      <c r="AC120" t="s">
        <v>1741</v>
      </c>
      <c r="AD120" t="s">
        <v>1741</v>
      </c>
      <c r="AE120" t="s">
        <v>2696</v>
      </c>
      <c r="AF120">
        <v>564.67957548412437</v>
      </c>
      <c r="AG120">
        <v>6.6363636363636003</v>
      </c>
      <c r="AH120">
        <v>87</v>
      </c>
      <c r="AI120">
        <v>97</v>
      </c>
      <c r="AJ120">
        <v>304.62377073993821</v>
      </c>
      <c r="AK120">
        <v>681.03636363635997</v>
      </c>
      <c r="AL120">
        <v>2005</v>
      </c>
      <c r="AM120">
        <v>426.47327903591349</v>
      </c>
      <c r="AN120">
        <v>0</v>
      </c>
      <c r="AO120" t="s">
        <v>5566</v>
      </c>
      <c r="AP120" t="s">
        <v>3710</v>
      </c>
    </row>
    <row r="121" spans="1:42" x14ac:dyDescent="0.25">
      <c r="A121">
        <v>120</v>
      </c>
      <c r="B121" t="s">
        <v>1341</v>
      </c>
      <c r="C121" t="s">
        <v>1341</v>
      </c>
      <c r="D121" t="s">
        <v>3870</v>
      </c>
      <c r="E121" t="s">
        <v>137</v>
      </c>
      <c r="F121" t="s">
        <v>138</v>
      </c>
      <c r="G121" t="s">
        <v>139</v>
      </c>
      <c r="H121" t="s">
        <v>140</v>
      </c>
      <c r="I121" t="s">
        <v>1342</v>
      </c>
      <c r="J121" t="s">
        <v>1234</v>
      </c>
      <c r="K121" t="s">
        <v>1235</v>
      </c>
      <c r="L121" t="s">
        <v>4378</v>
      </c>
      <c r="M121" t="s">
        <v>4379</v>
      </c>
      <c r="N121" t="s">
        <v>4377</v>
      </c>
      <c r="O121" t="s">
        <v>2560</v>
      </c>
      <c r="P121" t="s">
        <v>2561</v>
      </c>
      <c r="Q121">
        <v>13</v>
      </c>
      <c r="R121" t="s">
        <v>2406</v>
      </c>
      <c r="S121" t="s">
        <v>2407</v>
      </c>
      <c r="T121">
        <v>1</v>
      </c>
      <c r="U121" t="s">
        <v>3137</v>
      </c>
      <c r="V121" t="s">
        <v>3136</v>
      </c>
      <c r="W121">
        <v>5</v>
      </c>
      <c r="X121" t="s">
        <v>2443</v>
      </c>
      <c r="Y121" t="s">
        <v>2444</v>
      </c>
      <c r="Z121">
        <v>3</v>
      </c>
      <c r="AA121" t="s">
        <v>73</v>
      </c>
      <c r="AB121" t="s">
        <v>73</v>
      </c>
      <c r="AF121">
        <v>563.78027613844301</v>
      </c>
      <c r="AG121">
        <v>7.6886792452829997</v>
      </c>
      <c r="AH121">
        <v>105</v>
      </c>
      <c r="AI121">
        <v>151</v>
      </c>
      <c r="AJ121">
        <v>243.16257097143665</v>
      </c>
      <c r="AK121">
        <v>789.86792452830002</v>
      </c>
      <c r="AM121">
        <v>340.4275993600113</v>
      </c>
      <c r="AN121">
        <v>0</v>
      </c>
      <c r="AO121" t="s">
        <v>5567</v>
      </c>
      <c r="AP121" t="s">
        <v>3870</v>
      </c>
    </row>
    <row r="122" spans="1:42" x14ac:dyDescent="0.25">
      <c r="A122">
        <v>121</v>
      </c>
      <c r="B122" t="s">
        <v>431</v>
      </c>
      <c r="C122" t="s">
        <v>431</v>
      </c>
      <c r="D122" t="s">
        <v>432</v>
      </c>
      <c r="E122" t="s">
        <v>282</v>
      </c>
      <c r="F122" t="s">
        <v>283</v>
      </c>
      <c r="G122" t="s">
        <v>3167</v>
      </c>
      <c r="H122" t="s">
        <v>3166</v>
      </c>
      <c r="I122" t="s">
        <v>284</v>
      </c>
      <c r="J122" t="s">
        <v>285</v>
      </c>
      <c r="K122" t="s">
        <v>286</v>
      </c>
      <c r="L122">
        <v>55.609068999999998</v>
      </c>
      <c r="M122">
        <v>-1.710391</v>
      </c>
      <c r="N122" t="s">
        <v>4215</v>
      </c>
      <c r="O122" t="s">
        <v>433</v>
      </c>
      <c r="P122" t="s">
        <v>434</v>
      </c>
      <c r="Q122">
        <v>11</v>
      </c>
      <c r="R122" t="s">
        <v>2409</v>
      </c>
      <c r="S122" t="s">
        <v>2410</v>
      </c>
      <c r="T122">
        <v>2</v>
      </c>
      <c r="U122" t="s">
        <v>2430</v>
      </c>
      <c r="V122" t="s">
        <v>2431</v>
      </c>
      <c r="W122">
        <v>6</v>
      </c>
      <c r="X122" t="s">
        <v>2437</v>
      </c>
      <c r="Y122" t="s">
        <v>2438</v>
      </c>
      <c r="Z122">
        <v>1</v>
      </c>
      <c r="AA122" t="s">
        <v>73</v>
      </c>
      <c r="AB122" t="s">
        <v>73</v>
      </c>
      <c r="AF122">
        <v>563.09227353721781</v>
      </c>
      <c r="AG122">
        <v>8.4302325581394992</v>
      </c>
      <c r="AH122">
        <v>171</v>
      </c>
      <c r="AI122">
        <v>228</v>
      </c>
      <c r="AJ122">
        <v>193.86738403360312</v>
      </c>
      <c r="AK122">
        <v>877.22325581395</v>
      </c>
      <c r="AM122">
        <v>215.41433764704433</v>
      </c>
      <c r="AN122">
        <v>224</v>
      </c>
      <c r="AO122" t="s">
        <v>5568</v>
      </c>
      <c r="AP122" t="s">
        <v>432</v>
      </c>
    </row>
    <row r="123" spans="1:42" x14ac:dyDescent="0.25">
      <c r="A123">
        <v>122</v>
      </c>
      <c r="B123" t="s">
        <v>122</v>
      </c>
      <c r="C123" t="s">
        <v>122</v>
      </c>
      <c r="D123" t="s">
        <v>3105</v>
      </c>
      <c r="E123" t="s">
        <v>97</v>
      </c>
      <c r="F123" t="s">
        <v>98</v>
      </c>
      <c r="G123" t="s">
        <v>108</v>
      </c>
      <c r="H123" t="s">
        <v>109</v>
      </c>
      <c r="Q123">
        <v>15</v>
      </c>
      <c r="R123" t="s">
        <v>2417</v>
      </c>
      <c r="S123" t="s">
        <v>2418</v>
      </c>
      <c r="T123">
        <v>4</v>
      </c>
      <c r="U123" t="s">
        <v>2430</v>
      </c>
      <c r="V123" t="s">
        <v>2431</v>
      </c>
      <c r="W123">
        <v>6</v>
      </c>
      <c r="X123" t="s">
        <v>2440</v>
      </c>
      <c r="Y123" t="s">
        <v>2441</v>
      </c>
      <c r="Z123">
        <v>2</v>
      </c>
      <c r="AF123">
        <v>560.64522128647081</v>
      </c>
      <c r="AG123">
        <v>8.6732456140350997</v>
      </c>
      <c r="AH123">
        <v>455</v>
      </c>
      <c r="AI123">
        <v>381</v>
      </c>
      <c r="AJ123">
        <v>146.0921562052398</v>
      </c>
      <c r="AK123">
        <v>958.32456140350996</v>
      </c>
      <c r="AM123">
        <v>148.52901868733571</v>
      </c>
      <c r="AN123">
        <v>224</v>
      </c>
      <c r="AO123" t="s">
        <v>5569</v>
      </c>
      <c r="AP123" t="s">
        <v>3105</v>
      </c>
    </row>
    <row r="124" spans="1:42" x14ac:dyDescent="0.25">
      <c r="A124">
        <v>123</v>
      </c>
      <c r="B124" t="s">
        <v>664</v>
      </c>
      <c r="C124" t="s">
        <v>664</v>
      </c>
      <c r="D124" t="s">
        <v>3837</v>
      </c>
      <c r="E124" t="s">
        <v>67</v>
      </c>
      <c r="F124" t="s">
        <v>68</v>
      </c>
      <c r="G124" t="s">
        <v>3843</v>
      </c>
      <c r="H124" t="s">
        <v>3844</v>
      </c>
      <c r="I124" t="s">
        <v>2195</v>
      </c>
      <c r="J124" t="s">
        <v>580</v>
      </c>
      <c r="K124" t="s">
        <v>581</v>
      </c>
      <c r="L124">
        <v>46.694063046899998</v>
      </c>
      <c r="M124">
        <v>11.144781847300001</v>
      </c>
      <c r="R124" t="s">
        <v>2406</v>
      </c>
      <c r="S124" t="s">
        <v>2407</v>
      </c>
      <c r="T124">
        <v>1</v>
      </c>
      <c r="U124" t="s">
        <v>2432</v>
      </c>
      <c r="V124" t="s">
        <v>2433</v>
      </c>
      <c r="W124">
        <v>7</v>
      </c>
      <c r="X124" t="s">
        <v>2437</v>
      </c>
      <c r="Y124" t="s">
        <v>2438</v>
      </c>
      <c r="Z124">
        <v>1</v>
      </c>
      <c r="AA124" t="s">
        <v>73</v>
      </c>
      <c r="AB124" t="s">
        <v>73</v>
      </c>
      <c r="AE124" t="s">
        <v>2702</v>
      </c>
      <c r="AF124">
        <v>559.85535820675955</v>
      </c>
      <c r="AG124">
        <v>5.5967741935484003</v>
      </c>
      <c r="AH124">
        <v>61</v>
      </c>
      <c r="AI124">
        <v>61</v>
      </c>
      <c r="AJ124">
        <v>359.90738725482163</v>
      </c>
      <c r="AK124">
        <v>571.87741935484007</v>
      </c>
      <c r="AM124">
        <v>503.87034215675021</v>
      </c>
      <c r="AN124">
        <v>0</v>
      </c>
      <c r="AO124" t="s">
        <v>5570</v>
      </c>
      <c r="AP124" t="s">
        <v>3837</v>
      </c>
    </row>
    <row r="125" spans="1:42" x14ac:dyDescent="0.25">
      <c r="A125">
        <v>124</v>
      </c>
      <c r="B125" t="s">
        <v>1860</v>
      </c>
      <c r="C125" t="s">
        <v>1860</v>
      </c>
      <c r="D125" t="s">
        <v>1861</v>
      </c>
      <c r="E125" t="s">
        <v>282</v>
      </c>
      <c r="F125" t="s">
        <v>283</v>
      </c>
      <c r="G125" t="s">
        <v>3167</v>
      </c>
      <c r="H125" t="s">
        <v>3166</v>
      </c>
      <c r="I125" t="s">
        <v>1862</v>
      </c>
      <c r="J125" t="s">
        <v>368</v>
      </c>
      <c r="K125" t="s">
        <v>369</v>
      </c>
      <c r="L125" t="s">
        <v>4410</v>
      </c>
      <c r="M125" t="s">
        <v>4411</v>
      </c>
      <c r="N125" t="s">
        <v>4409</v>
      </c>
      <c r="Q125">
        <v>12</v>
      </c>
      <c r="R125" t="s">
        <v>2417</v>
      </c>
      <c r="S125" t="s">
        <v>2418</v>
      </c>
      <c r="T125">
        <v>4</v>
      </c>
      <c r="U125" t="s">
        <v>2432</v>
      </c>
      <c r="V125" t="s">
        <v>2433</v>
      </c>
      <c r="W125">
        <v>7</v>
      </c>
      <c r="X125" t="s">
        <v>2443</v>
      </c>
      <c r="Y125" t="s">
        <v>2444</v>
      </c>
      <c r="Z125">
        <v>3</v>
      </c>
      <c r="AA125" t="s">
        <v>73</v>
      </c>
      <c r="AB125" t="s">
        <v>73</v>
      </c>
      <c r="AC125" t="s">
        <v>1863</v>
      </c>
      <c r="AD125" t="s">
        <v>1863</v>
      </c>
      <c r="AF125">
        <v>559.69224799191431</v>
      </c>
      <c r="AG125">
        <v>5.9220779220779001</v>
      </c>
      <c r="AH125">
        <v>76</v>
      </c>
      <c r="AI125">
        <v>77</v>
      </c>
      <c r="AJ125">
        <v>339.98705765335473</v>
      </c>
      <c r="AK125">
        <v>607.40779220779007</v>
      </c>
      <c r="AL125">
        <v>2009</v>
      </c>
      <c r="AM125">
        <v>419.98188071469656</v>
      </c>
      <c r="AN125">
        <v>224</v>
      </c>
      <c r="AO125" t="s">
        <v>5571</v>
      </c>
      <c r="AP125" t="s">
        <v>1861</v>
      </c>
    </row>
    <row r="126" spans="1:42" x14ac:dyDescent="0.25">
      <c r="A126">
        <v>125</v>
      </c>
      <c r="B126" t="s">
        <v>809</v>
      </c>
      <c r="C126" t="s">
        <v>809</v>
      </c>
      <c r="D126" t="s">
        <v>810</v>
      </c>
      <c r="E126" t="s">
        <v>161</v>
      </c>
      <c r="F126" t="s">
        <v>161</v>
      </c>
      <c r="G126" t="s">
        <v>3167</v>
      </c>
      <c r="H126" t="s">
        <v>3166</v>
      </c>
      <c r="J126" t="s">
        <v>811</v>
      </c>
      <c r="K126" t="s">
        <v>812</v>
      </c>
      <c r="L126" t="s">
        <v>4436</v>
      </c>
      <c r="M126" t="s">
        <v>4437</v>
      </c>
      <c r="N126" t="s">
        <v>4438</v>
      </c>
      <c r="O126" t="s">
        <v>813</v>
      </c>
      <c r="P126" t="s">
        <v>813</v>
      </c>
      <c r="Q126">
        <v>11</v>
      </c>
      <c r="R126" t="s">
        <v>2417</v>
      </c>
      <c r="S126" t="s">
        <v>2418</v>
      </c>
      <c r="T126">
        <v>4</v>
      </c>
      <c r="U126" t="s">
        <v>2432</v>
      </c>
      <c r="V126" t="s">
        <v>2433</v>
      </c>
      <c r="W126">
        <v>7</v>
      </c>
      <c r="X126" t="s">
        <v>2443</v>
      </c>
      <c r="Y126" t="s">
        <v>2444</v>
      </c>
      <c r="Z126">
        <v>3</v>
      </c>
      <c r="AC126" t="s">
        <v>814</v>
      </c>
      <c r="AD126" t="s">
        <v>814</v>
      </c>
      <c r="AF126">
        <v>559.25745292388592</v>
      </c>
      <c r="AG126">
        <v>7.4426229508197004</v>
      </c>
      <c r="AH126">
        <v>60</v>
      </c>
      <c r="AI126">
        <v>135</v>
      </c>
      <c r="AJ126">
        <v>256.80700598100105</v>
      </c>
      <c r="AK126">
        <v>756.26229508197002</v>
      </c>
      <c r="AM126">
        <v>359.52980837340147</v>
      </c>
      <c r="AN126">
        <v>0</v>
      </c>
      <c r="AO126" t="s">
        <v>5572</v>
      </c>
      <c r="AP126" t="s">
        <v>810</v>
      </c>
    </row>
    <row r="127" spans="1:42" x14ac:dyDescent="0.25">
      <c r="A127">
        <v>126</v>
      </c>
      <c r="B127" t="s">
        <v>2673</v>
      </c>
      <c r="C127" t="s">
        <v>2673</v>
      </c>
      <c r="D127" t="s">
        <v>2668</v>
      </c>
      <c r="E127" t="s">
        <v>300</v>
      </c>
      <c r="F127" t="s">
        <v>301</v>
      </c>
      <c r="G127" t="s">
        <v>151</v>
      </c>
      <c r="H127" t="s">
        <v>152</v>
      </c>
      <c r="I127" t="s">
        <v>3281</v>
      </c>
      <c r="J127" t="s">
        <v>3251</v>
      </c>
      <c r="K127" t="s">
        <v>3253</v>
      </c>
      <c r="O127" t="s">
        <v>3283</v>
      </c>
      <c r="P127" t="s">
        <v>3283</v>
      </c>
      <c r="Q127">
        <v>16</v>
      </c>
      <c r="R127" t="s">
        <v>2414</v>
      </c>
      <c r="S127" t="s">
        <v>2415</v>
      </c>
      <c r="T127">
        <v>3</v>
      </c>
      <c r="U127" t="s">
        <v>3137</v>
      </c>
      <c r="V127" t="s">
        <v>3136</v>
      </c>
      <c r="W127">
        <v>5</v>
      </c>
      <c r="X127" t="s">
        <v>2440</v>
      </c>
      <c r="Y127" t="s">
        <v>2441</v>
      </c>
      <c r="Z127">
        <v>2</v>
      </c>
      <c r="AE127" t="s">
        <v>3282</v>
      </c>
      <c r="AF127">
        <v>559.07245892337028</v>
      </c>
      <c r="AG127">
        <v>7.4615384615384999</v>
      </c>
      <c r="AH127">
        <v>12</v>
      </c>
      <c r="AI127">
        <v>132</v>
      </c>
      <c r="AJ127">
        <v>260.88392871827256</v>
      </c>
      <c r="AK127">
        <v>748.55384615384992</v>
      </c>
      <c r="AM127">
        <v>253.23750020558157</v>
      </c>
      <c r="AN127">
        <v>448</v>
      </c>
      <c r="AO127" t="s">
        <v>5573</v>
      </c>
      <c r="AP127" t="s">
        <v>2668</v>
      </c>
    </row>
    <row r="128" spans="1:42" x14ac:dyDescent="0.25">
      <c r="A128">
        <v>127</v>
      </c>
      <c r="B128" t="s">
        <v>1869</v>
      </c>
      <c r="C128" t="s">
        <v>1869</v>
      </c>
      <c r="D128" t="s">
        <v>1870</v>
      </c>
      <c r="E128" t="s">
        <v>199</v>
      </c>
      <c r="F128" t="s">
        <v>200</v>
      </c>
      <c r="I128" t="s">
        <v>1871</v>
      </c>
      <c r="J128" t="s">
        <v>447</v>
      </c>
      <c r="K128" t="s">
        <v>448</v>
      </c>
      <c r="L128" t="s">
        <v>4396</v>
      </c>
      <c r="M128" t="s">
        <v>4397</v>
      </c>
      <c r="O128" t="s">
        <v>2607</v>
      </c>
      <c r="P128" t="s">
        <v>2608</v>
      </c>
      <c r="Q128">
        <v>12</v>
      </c>
      <c r="R128" t="s">
        <v>2409</v>
      </c>
      <c r="S128" t="s">
        <v>2410</v>
      </c>
      <c r="T128">
        <v>2</v>
      </c>
      <c r="U128" t="s">
        <v>3139</v>
      </c>
      <c r="V128" t="s">
        <v>3140</v>
      </c>
      <c r="W128">
        <v>4</v>
      </c>
      <c r="X128" t="s">
        <v>2437</v>
      </c>
      <c r="Y128" t="s">
        <v>2438</v>
      </c>
      <c r="Z128">
        <v>1</v>
      </c>
      <c r="AA128" t="s">
        <v>73</v>
      </c>
      <c r="AB128" t="s">
        <v>73</v>
      </c>
      <c r="AC128" t="s">
        <v>1872</v>
      </c>
      <c r="AD128" t="s">
        <v>1872</v>
      </c>
      <c r="AE128" t="s">
        <v>1873</v>
      </c>
      <c r="AF128">
        <v>558.88614123146795</v>
      </c>
      <c r="AG128">
        <v>6.6020408163265003</v>
      </c>
      <c r="AH128">
        <v>97</v>
      </c>
      <c r="AI128">
        <v>102</v>
      </c>
      <c r="AJ128">
        <v>298.98233379460328</v>
      </c>
      <c r="AK128">
        <v>679.60408163265004</v>
      </c>
      <c r="AL128">
        <v>2005</v>
      </c>
      <c r="AM128">
        <v>418.57526731244457</v>
      </c>
      <c r="AN128">
        <v>0</v>
      </c>
      <c r="AO128" t="s">
        <v>5574</v>
      </c>
      <c r="AP128" t="s">
        <v>1870</v>
      </c>
    </row>
    <row r="129" spans="1:42" x14ac:dyDescent="0.25">
      <c r="A129">
        <v>128</v>
      </c>
      <c r="B129" t="s">
        <v>3903</v>
      </c>
      <c r="C129" t="s">
        <v>3903</v>
      </c>
      <c r="D129" t="s">
        <v>3902</v>
      </c>
      <c r="E129" t="s">
        <v>954</v>
      </c>
      <c r="F129" t="s">
        <v>955</v>
      </c>
      <c r="G129" t="s">
        <v>632</v>
      </c>
      <c r="H129" t="s">
        <v>633</v>
      </c>
      <c r="I129" t="s">
        <v>956</v>
      </c>
      <c r="Q129">
        <v>10</v>
      </c>
      <c r="R129" t="s">
        <v>2420</v>
      </c>
      <c r="S129" t="s">
        <v>2421</v>
      </c>
      <c r="T129">
        <v>5</v>
      </c>
      <c r="U129" t="s">
        <v>3137</v>
      </c>
      <c r="V129" t="s">
        <v>3136</v>
      </c>
      <c r="W129">
        <v>5</v>
      </c>
      <c r="X129" t="s">
        <v>2440</v>
      </c>
      <c r="Y129" t="s">
        <v>2441</v>
      </c>
      <c r="Z129">
        <v>2</v>
      </c>
      <c r="AA129" t="s">
        <v>73</v>
      </c>
      <c r="AB129" t="s">
        <v>73</v>
      </c>
      <c r="AF129">
        <v>557.15292072832631</v>
      </c>
      <c r="AG129">
        <v>8.4791666666666998</v>
      </c>
      <c r="AH129">
        <v>47</v>
      </c>
      <c r="AI129">
        <v>216</v>
      </c>
      <c r="AJ129">
        <v>198.32731932776809</v>
      </c>
      <c r="AK129">
        <v>857.3166666666699</v>
      </c>
      <c r="AM129">
        <v>165.6582470588753</v>
      </c>
      <c r="AN129">
        <v>448</v>
      </c>
      <c r="AO129" t="s">
        <v>5575</v>
      </c>
      <c r="AP129" t="s">
        <v>3902</v>
      </c>
    </row>
    <row r="130" spans="1:42" x14ac:dyDescent="0.25">
      <c r="A130">
        <v>129</v>
      </c>
      <c r="B130" t="s">
        <v>1925</v>
      </c>
      <c r="C130" t="s">
        <v>1925</v>
      </c>
      <c r="D130" t="s">
        <v>1926</v>
      </c>
      <c r="E130" t="s">
        <v>137</v>
      </c>
      <c r="F130" t="s">
        <v>138</v>
      </c>
      <c r="G130" t="s">
        <v>139</v>
      </c>
      <c r="H130" t="s">
        <v>140</v>
      </c>
      <c r="I130" t="s">
        <v>1451</v>
      </c>
      <c r="J130" t="s">
        <v>426</v>
      </c>
      <c r="K130" t="s">
        <v>427</v>
      </c>
      <c r="L130" t="s">
        <v>4682</v>
      </c>
      <c r="M130" t="s">
        <v>4683</v>
      </c>
      <c r="O130" t="s">
        <v>2618</v>
      </c>
      <c r="P130" t="s">
        <v>2618</v>
      </c>
      <c r="Q130">
        <v>13</v>
      </c>
      <c r="R130" t="s">
        <v>2406</v>
      </c>
      <c r="S130" t="s">
        <v>2407</v>
      </c>
      <c r="T130">
        <v>1</v>
      </c>
      <c r="U130" t="s">
        <v>73</v>
      </c>
      <c r="V130" t="s">
        <v>73</v>
      </c>
      <c r="X130" t="s">
        <v>2446</v>
      </c>
      <c r="Y130" t="s">
        <v>2447</v>
      </c>
      <c r="Z130">
        <v>4</v>
      </c>
      <c r="AA130" t="s">
        <v>73</v>
      </c>
      <c r="AB130" t="s">
        <v>73</v>
      </c>
      <c r="AF130">
        <v>554.9303743113818</v>
      </c>
      <c r="AG130">
        <v>7</v>
      </c>
      <c r="AH130">
        <v>84</v>
      </c>
      <c r="AI130">
        <v>116</v>
      </c>
      <c r="AJ130">
        <v>273.92263812375757</v>
      </c>
      <c r="AK130">
        <v>716.8</v>
      </c>
      <c r="AL130">
        <v>2004</v>
      </c>
      <c r="AM130">
        <v>383.4916933732606</v>
      </c>
      <c r="AN130">
        <v>0</v>
      </c>
      <c r="AO130" t="s">
        <v>5576</v>
      </c>
      <c r="AP130" t="s">
        <v>1926</v>
      </c>
    </row>
    <row r="131" spans="1:42" x14ac:dyDescent="0.25">
      <c r="A131">
        <v>130</v>
      </c>
      <c r="B131" t="s">
        <v>2754</v>
      </c>
      <c r="C131" t="s">
        <v>2754</v>
      </c>
      <c r="D131" t="s">
        <v>1927</v>
      </c>
      <c r="E131" t="s">
        <v>137</v>
      </c>
      <c r="F131" t="s">
        <v>138</v>
      </c>
      <c r="G131" t="s">
        <v>139</v>
      </c>
      <c r="H131" t="s">
        <v>140</v>
      </c>
      <c r="I131" t="s">
        <v>1928</v>
      </c>
      <c r="J131" t="s">
        <v>426</v>
      </c>
      <c r="K131" t="s">
        <v>427</v>
      </c>
      <c r="L131" t="s">
        <v>4692</v>
      </c>
      <c r="M131" t="s">
        <v>4693</v>
      </c>
      <c r="Q131">
        <v>13</v>
      </c>
      <c r="R131" t="s">
        <v>2409</v>
      </c>
      <c r="S131" t="s">
        <v>2410</v>
      </c>
      <c r="T131">
        <v>2</v>
      </c>
      <c r="U131" t="s">
        <v>2432</v>
      </c>
      <c r="V131" t="s">
        <v>2433</v>
      </c>
      <c r="W131">
        <v>7</v>
      </c>
      <c r="X131" t="s">
        <v>2437</v>
      </c>
      <c r="Y131" t="s">
        <v>2438</v>
      </c>
      <c r="Z131">
        <v>1</v>
      </c>
      <c r="AE131" t="s">
        <v>1929</v>
      </c>
      <c r="AF131">
        <v>554.19745951155664</v>
      </c>
      <c r="AG131">
        <v>8.3669724770642002</v>
      </c>
      <c r="AH131">
        <v>108</v>
      </c>
      <c r="AI131">
        <v>226</v>
      </c>
      <c r="AJ131">
        <v>194.49870628705185</v>
      </c>
      <c r="AK131">
        <v>858.29724770642008</v>
      </c>
      <c r="AL131">
        <v>2004</v>
      </c>
      <c r="AM131">
        <v>272.29818880187258</v>
      </c>
      <c r="AN131">
        <v>0</v>
      </c>
      <c r="AO131" t="s">
        <v>5577</v>
      </c>
      <c r="AP131" t="s">
        <v>1927</v>
      </c>
    </row>
    <row r="132" spans="1:42" x14ac:dyDescent="0.25">
      <c r="A132">
        <v>131</v>
      </c>
      <c r="B132" t="s">
        <v>1588</v>
      </c>
      <c r="C132" t="s">
        <v>1588</v>
      </c>
      <c r="D132" t="s">
        <v>1589</v>
      </c>
      <c r="E132" t="s">
        <v>282</v>
      </c>
      <c r="F132" t="s">
        <v>283</v>
      </c>
      <c r="G132" t="s">
        <v>3167</v>
      </c>
      <c r="H132" t="s">
        <v>3166</v>
      </c>
      <c r="I132" t="s">
        <v>1590</v>
      </c>
      <c r="J132" t="s">
        <v>523</v>
      </c>
      <c r="K132" t="s">
        <v>524</v>
      </c>
      <c r="O132" t="s">
        <v>2576</v>
      </c>
      <c r="P132" t="s">
        <v>2576</v>
      </c>
      <c r="Q132">
        <v>12</v>
      </c>
      <c r="R132" t="s">
        <v>2409</v>
      </c>
      <c r="S132" t="s">
        <v>2410</v>
      </c>
      <c r="T132">
        <v>2</v>
      </c>
      <c r="U132" t="s">
        <v>3137</v>
      </c>
      <c r="V132" t="s">
        <v>3136</v>
      </c>
      <c r="W132">
        <v>5</v>
      </c>
      <c r="X132" t="s">
        <v>2443</v>
      </c>
      <c r="Y132" t="s">
        <v>2444</v>
      </c>
      <c r="Z132">
        <v>3</v>
      </c>
      <c r="AA132" t="s">
        <v>73</v>
      </c>
      <c r="AB132" t="s">
        <v>73</v>
      </c>
      <c r="AE132" t="s">
        <v>1591</v>
      </c>
      <c r="AF132">
        <v>554.04628097258819</v>
      </c>
      <c r="AG132">
        <v>7.1111111111111001</v>
      </c>
      <c r="AH132">
        <v>35</v>
      </c>
      <c r="AI132">
        <v>119</v>
      </c>
      <c r="AJ132">
        <v>272.21191713003691</v>
      </c>
      <c r="AK132">
        <v>718.11111111110995</v>
      </c>
      <c r="AM132">
        <v>325.09668398205167</v>
      </c>
      <c r="AN132">
        <v>224</v>
      </c>
      <c r="AO132" t="s">
        <v>5578</v>
      </c>
      <c r="AP132" t="s">
        <v>1589</v>
      </c>
    </row>
    <row r="133" spans="1:42" x14ac:dyDescent="0.25">
      <c r="A133">
        <v>132</v>
      </c>
      <c r="B133" t="s">
        <v>935</v>
      </c>
      <c r="C133" t="s">
        <v>935</v>
      </c>
      <c r="D133" t="s">
        <v>3649</v>
      </c>
      <c r="E133" t="s">
        <v>666</v>
      </c>
      <c r="F133" t="s">
        <v>667</v>
      </c>
      <c r="G133" t="s">
        <v>60</v>
      </c>
      <c r="H133" t="s">
        <v>61</v>
      </c>
      <c r="I133" t="s">
        <v>3633</v>
      </c>
      <c r="J133" t="s">
        <v>3620</v>
      </c>
      <c r="K133" t="s">
        <v>3624</v>
      </c>
      <c r="L133" t="s">
        <v>4484</v>
      </c>
      <c r="M133" t="s">
        <v>4485</v>
      </c>
      <c r="O133" t="s">
        <v>3632</v>
      </c>
      <c r="P133" t="s">
        <v>3632</v>
      </c>
      <c r="Q133">
        <v>13</v>
      </c>
      <c r="R133" t="s">
        <v>73</v>
      </c>
      <c r="S133" t="s">
        <v>73</v>
      </c>
      <c r="U133" t="s">
        <v>73</v>
      </c>
      <c r="V133" t="s">
        <v>73</v>
      </c>
      <c r="X133" t="s">
        <v>2446</v>
      </c>
      <c r="Y133" t="s">
        <v>2447</v>
      </c>
      <c r="Z133">
        <v>4</v>
      </c>
      <c r="AA133" t="s">
        <v>73</v>
      </c>
      <c r="AB133" t="s">
        <v>73</v>
      </c>
      <c r="AE133" t="s">
        <v>936</v>
      </c>
      <c r="AF133">
        <v>553.63081304240916</v>
      </c>
      <c r="AG133">
        <v>7.3148148148147998</v>
      </c>
      <c r="AH133">
        <v>53</v>
      </c>
      <c r="AI133">
        <v>134</v>
      </c>
      <c r="AJ133">
        <v>258.43341366852127</v>
      </c>
      <c r="AK133">
        <v>742.08148148147995</v>
      </c>
      <c r="AM133">
        <v>277.80677913592979</v>
      </c>
      <c r="AN133">
        <v>336</v>
      </c>
      <c r="AO133" t="s">
        <v>5579</v>
      </c>
      <c r="AP133" t="s">
        <v>3649</v>
      </c>
    </row>
    <row r="134" spans="1:42" x14ac:dyDescent="0.25">
      <c r="A134">
        <v>133</v>
      </c>
      <c r="B134" t="s">
        <v>2329</v>
      </c>
      <c r="C134" t="s">
        <v>2329</v>
      </c>
      <c r="D134" t="s">
        <v>2330</v>
      </c>
      <c r="E134" t="s">
        <v>149</v>
      </c>
      <c r="F134" t="s">
        <v>150</v>
      </c>
      <c r="G134" t="s">
        <v>151</v>
      </c>
      <c r="H134" t="s">
        <v>152</v>
      </c>
      <c r="J134" t="s">
        <v>154</v>
      </c>
      <c r="K134" t="s">
        <v>2664</v>
      </c>
      <c r="R134" t="s">
        <v>73</v>
      </c>
      <c r="S134" t="s">
        <v>73</v>
      </c>
      <c r="U134" t="s">
        <v>73</v>
      </c>
      <c r="V134" t="s">
        <v>73</v>
      </c>
      <c r="X134" t="s">
        <v>2446</v>
      </c>
      <c r="Y134" t="s">
        <v>2447</v>
      </c>
      <c r="Z134">
        <v>4</v>
      </c>
      <c r="AA134" t="s">
        <v>73</v>
      </c>
      <c r="AB134" t="s">
        <v>73</v>
      </c>
      <c r="AE134" t="s">
        <v>2331</v>
      </c>
      <c r="AF134">
        <v>553.17227169517309</v>
      </c>
      <c r="AG134">
        <v>5.7894736842104999</v>
      </c>
      <c r="AH134">
        <v>18</v>
      </c>
      <c r="AI134">
        <v>73</v>
      </c>
      <c r="AJ134">
        <v>346.55398609405341</v>
      </c>
      <c r="AK134">
        <v>582.54736842105001</v>
      </c>
      <c r="AM134">
        <v>373.17558053167477</v>
      </c>
      <c r="AN134">
        <v>448</v>
      </c>
      <c r="AO134" t="s">
        <v>5580</v>
      </c>
      <c r="AP134" t="s">
        <v>2330</v>
      </c>
    </row>
    <row r="135" spans="1:42" x14ac:dyDescent="0.25">
      <c r="A135">
        <v>134</v>
      </c>
      <c r="B135" t="s">
        <v>2180</v>
      </c>
      <c r="C135" t="s">
        <v>2180</v>
      </c>
      <c r="D135" t="s">
        <v>3814</v>
      </c>
      <c r="E135" t="s">
        <v>1775</v>
      </c>
      <c r="F135" t="s">
        <v>1775</v>
      </c>
      <c r="G135" t="s">
        <v>1776</v>
      </c>
      <c r="H135" t="s">
        <v>1777</v>
      </c>
      <c r="I135" t="s">
        <v>3815</v>
      </c>
      <c r="R135" t="s">
        <v>73</v>
      </c>
      <c r="S135" t="s">
        <v>73</v>
      </c>
      <c r="U135" t="s">
        <v>73</v>
      </c>
      <c r="V135" t="s">
        <v>73</v>
      </c>
      <c r="X135" t="s">
        <v>2440</v>
      </c>
      <c r="Y135" t="s">
        <v>2441</v>
      </c>
      <c r="Z135">
        <v>2</v>
      </c>
      <c r="AA135" t="s">
        <v>73</v>
      </c>
      <c r="AB135" t="s">
        <v>73</v>
      </c>
      <c r="AF135">
        <v>552.1128362036543</v>
      </c>
      <c r="AG135">
        <v>7.0333333333333004</v>
      </c>
      <c r="AH135">
        <v>29</v>
      </c>
      <c r="AI135">
        <v>114</v>
      </c>
      <c r="AJ135">
        <v>275.05129948554367</v>
      </c>
      <c r="AK135">
        <v>709.13333333333003</v>
      </c>
      <c r="AM135">
        <v>273.07181927976109</v>
      </c>
      <c r="AN135">
        <v>448</v>
      </c>
      <c r="AO135" t="s">
        <v>5581</v>
      </c>
      <c r="AP135" t="s">
        <v>3814</v>
      </c>
    </row>
    <row r="136" spans="1:42" x14ac:dyDescent="0.25">
      <c r="A136">
        <v>135</v>
      </c>
      <c r="B136" t="s">
        <v>3804</v>
      </c>
      <c r="C136" t="s">
        <v>3804</v>
      </c>
      <c r="D136" t="s">
        <v>3807</v>
      </c>
      <c r="E136" t="s">
        <v>229</v>
      </c>
      <c r="F136" t="s">
        <v>229</v>
      </c>
      <c r="G136" t="s">
        <v>69</v>
      </c>
      <c r="H136" t="s">
        <v>70</v>
      </c>
      <c r="I136" t="s">
        <v>3861</v>
      </c>
      <c r="J136" t="s">
        <v>3862</v>
      </c>
      <c r="K136" t="s">
        <v>3863</v>
      </c>
      <c r="Q136">
        <v>13</v>
      </c>
      <c r="R136" t="s">
        <v>2409</v>
      </c>
      <c r="S136" t="s">
        <v>2410</v>
      </c>
      <c r="T136">
        <v>2</v>
      </c>
      <c r="U136" t="s">
        <v>2430</v>
      </c>
      <c r="V136" t="s">
        <v>2431</v>
      </c>
      <c r="W136">
        <v>6</v>
      </c>
      <c r="X136" t="s">
        <v>2443</v>
      </c>
      <c r="Y136" t="s">
        <v>2444</v>
      </c>
      <c r="Z136">
        <v>3</v>
      </c>
      <c r="AA136" t="s">
        <v>73</v>
      </c>
      <c r="AB136" t="s">
        <v>73</v>
      </c>
      <c r="AF136">
        <v>551.97522499005163</v>
      </c>
      <c r="AG136">
        <v>8.6470588235294006</v>
      </c>
      <c r="AH136">
        <v>339</v>
      </c>
      <c r="AI136">
        <v>358</v>
      </c>
      <c r="AJ136">
        <v>150.80253757064628</v>
      </c>
      <c r="AK136">
        <v>932.50588235294003</v>
      </c>
      <c r="AM136">
        <v>99.12355259890478</v>
      </c>
      <c r="AN136">
        <v>448</v>
      </c>
      <c r="AO136" t="s">
        <v>5582</v>
      </c>
      <c r="AP136" t="s">
        <v>3807</v>
      </c>
    </row>
    <row r="137" spans="1:42" x14ac:dyDescent="0.25">
      <c r="A137">
        <v>136</v>
      </c>
      <c r="B137" t="s">
        <v>1247</v>
      </c>
      <c r="C137" t="s">
        <v>1247</v>
      </c>
      <c r="D137" t="s">
        <v>1248</v>
      </c>
      <c r="E137" t="s">
        <v>300</v>
      </c>
      <c r="F137" t="s">
        <v>301</v>
      </c>
      <c r="G137" t="s">
        <v>151</v>
      </c>
      <c r="H137" t="s">
        <v>152</v>
      </c>
      <c r="I137" t="s">
        <v>3260</v>
      </c>
      <c r="J137" t="s">
        <v>3251</v>
      </c>
      <c r="K137" t="s">
        <v>3253</v>
      </c>
      <c r="L137" t="s">
        <v>4370</v>
      </c>
      <c r="M137" t="s">
        <v>4371</v>
      </c>
      <c r="N137" t="s">
        <v>4369</v>
      </c>
      <c r="O137" t="s">
        <v>3262</v>
      </c>
      <c r="P137" t="s">
        <v>5583</v>
      </c>
      <c r="Q137">
        <v>15</v>
      </c>
      <c r="R137" t="s">
        <v>2414</v>
      </c>
      <c r="S137" t="s">
        <v>2415</v>
      </c>
      <c r="T137">
        <v>3</v>
      </c>
      <c r="U137" t="s">
        <v>3139</v>
      </c>
      <c r="V137" t="s">
        <v>3140</v>
      </c>
      <c r="W137">
        <v>4</v>
      </c>
      <c r="X137" t="s">
        <v>2440</v>
      </c>
      <c r="Y137" t="s">
        <v>2441</v>
      </c>
      <c r="Z137">
        <v>2</v>
      </c>
      <c r="AA137" t="s">
        <v>73</v>
      </c>
      <c r="AB137" t="s">
        <v>73</v>
      </c>
      <c r="AC137" t="s">
        <v>3261</v>
      </c>
      <c r="AD137" t="s">
        <v>3261</v>
      </c>
      <c r="AF137">
        <v>551.64707834046089</v>
      </c>
      <c r="AG137">
        <v>4.9117647058824003</v>
      </c>
      <c r="AH137">
        <v>33</v>
      </c>
      <c r="AI137">
        <v>49</v>
      </c>
      <c r="AJ137">
        <v>391.9542700514898</v>
      </c>
      <c r="AK137">
        <v>497.77647058824004</v>
      </c>
      <c r="AM137">
        <v>436.73597807208569</v>
      </c>
      <c r="AN137">
        <v>448</v>
      </c>
      <c r="AO137" t="s">
        <v>5584</v>
      </c>
      <c r="AP137" t="s">
        <v>1248</v>
      </c>
    </row>
    <row r="138" spans="1:42" x14ac:dyDescent="0.25">
      <c r="A138">
        <v>137</v>
      </c>
      <c r="B138" t="s">
        <v>2902</v>
      </c>
      <c r="C138" t="s">
        <v>4079</v>
      </c>
      <c r="D138" t="s">
        <v>2005</v>
      </c>
      <c r="E138" t="s">
        <v>2006</v>
      </c>
      <c r="F138" t="s">
        <v>2006</v>
      </c>
      <c r="G138" t="s">
        <v>158</v>
      </c>
      <c r="H138" t="s">
        <v>159</v>
      </c>
      <c r="I138" t="s">
        <v>2006</v>
      </c>
      <c r="Q138">
        <v>15</v>
      </c>
      <c r="R138" t="s">
        <v>2406</v>
      </c>
      <c r="S138" t="s">
        <v>2407</v>
      </c>
      <c r="T138">
        <v>1</v>
      </c>
      <c r="U138" t="s">
        <v>2430</v>
      </c>
      <c r="V138" t="s">
        <v>2431</v>
      </c>
      <c r="W138">
        <v>6</v>
      </c>
      <c r="X138" t="s">
        <v>2437</v>
      </c>
      <c r="Y138" t="s">
        <v>2438</v>
      </c>
      <c r="Z138">
        <v>1</v>
      </c>
      <c r="AA138" t="s">
        <v>73</v>
      </c>
      <c r="AB138" t="s">
        <v>73</v>
      </c>
      <c r="AF138">
        <v>551.58898553123936</v>
      </c>
      <c r="AG138">
        <v>8.3103448275861993</v>
      </c>
      <c r="AH138">
        <v>28</v>
      </c>
      <c r="AI138">
        <v>205</v>
      </c>
      <c r="AJ138">
        <v>203.6352712799216</v>
      </c>
      <c r="AK138">
        <v>836.63448275861992</v>
      </c>
      <c r="AM138">
        <v>173.0893797918902</v>
      </c>
      <c r="AN138">
        <v>448</v>
      </c>
      <c r="AO138" t="s">
        <v>5585</v>
      </c>
      <c r="AP138" t="s">
        <v>2005</v>
      </c>
    </row>
    <row r="139" spans="1:42" x14ac:dyDescent="0.25">
      <c r="A139">
        <v>138</v>
      </c>
      <c r="B139" t="s">
        <v>3925</v>
      </c>
      <c r="C139" t="s">
        <v>3925</v>
      </c>
      <c r="D139" t="s">
        <v>3924</v>
      </c>
      <c r="E139" t="s">
        <v>3643</v>
      </c>
      <c r="F139" t="s">
        <v>786</v>
      </c>
      <c r="G139" t="s">
        <v>60</v>
      </c>
      <c r="H139" t="s">
        <v>61</v>
      </c>
      <c r="J139" t="s">
        <v>3369</v>
      </c>
      <c r="K139" t="s">
        <v>4011</v>
      </c>
      <c r="Q139">
        <v>15</v>
      </c>
      <c r="R139" t="s">
        <v>2417</v>
      </c>
      <c r="S139" t="s">
        <v>2418</v>
      </c>
      <c r="T139">
        <v>4</v>
      </c>
      <c r="U139" t="s">
        <v>2432</v>
      </c>
      <c r="V139" t="s">
        <v>2433</v>
      </c>
      <c r="W139">
        <v>7</v>
      </c>
      <c r="X139" t="s">
        <v>2443</v>
      </c>
      <c r="Y139" t="s">
        <v>2444</v>
      </c>
      <c r="Z139">
        <v>3</v>
      </c>
      <c r="AA139" t="s">
        <v>73</v>
      </c>
      <c r="AB139" t="s">
        <v>73</v>
      </c>
      <c r="AF139">
        <v>548.79201149854475</v>
      </c>
      <c r="AG139">
        <v>7.9333333333332998</v>
      </c>
      <c r="AH139">
        <v>14</v>
      </c>
      <c r="AI139">
        <v>178</v>
      </c>
      <c r="AJ139">
        <v>223.02816092431095</v>
      </c>
      <c r="AK139">
        <v>796.13333333332992</v>
      </c>
      <c r="AM139">
        <v>200.23942529403527</v>
      </c>
      <c r="AN139">
        <v>448</v>
      </c>
      <c r="AO139" t="s">
        <v>5586</v>
      </c>
      <c r="AP139" t="s">
        <v>3924</v>
      </c>
    </row>
    <row r="140" spans="1:42" x14ac:dyDescent="0.25">
      <c r="A140">
        <v>139</v>
      </c>
      <c r="B140" t="s">
        <v>1614</v>
      </c>
      <c r="C140" t="s">
        <v>1614</v>
      </c>
      <c r="D140" t="s">
        <v>2542</v>
      </c>
      <c r="E140" t="s">
        <v>213</v>
      </c>
      <c r="F140" t="s">
        <v>214</v>
      </c>
      <c r="G140" t="s">
        <v>75</v>
      </c>
      <c r="H140" t="s">
        <v>76</v>
      </c>
      <c r="I140" t="s">
        <v>1615</v>
      </c>
      <c r="L140" t="s">
        <v>4407</v>
      </c>
      <c r="M140" t="s">
        <v>4408</v>
      </c>
      <c r="Q140">
        <v>12</v>
      </c>
      <c r="R140" t="s">
        <v>2409</v>
      </c>
      <c r="S140" t="s">
        <v>2410</v>
      </c>
      <c r="T140">
        <v>2</v>
      </c>
      <c r="U140" t="s">
        <v>2430</v>
      </c>
      <c r="V140" t="s">
        <v>2431</v>
      </c>
      <c r="W140">
        <v>6</v>
      </c>
      <c r="X140" t="s">
        <v>2446</v>
      </c>
      <c r="Y140" t="s">
        <v>2447</v>
      </c>
      <c r="Z140">
        <v>4</v>
      </c>
      <c r="AA140" t="s">
        <v>73</v>
      </c>
      <c r="AB140" t="s">
        <v>73</v>
      </c>
      <c r="AF140">
        <v>546.56982170712672</v>
      </c>
      <c r="AG140">
        <v>6.4935064935064997</v>
      </c>
      <c r="AH140">
        <v>76</v>
      </c>
      <c r="AI140">
        <v>104</v>
      </c>
      <c r="AJ140">
        <v>293.66055225755753</v>
      </c>
      <c r="AK140">
        <v>664.55064935065002</v>
      </c>
      <c r="AM140">
        <v>355.1247731605805</v>
      </c>
      <c r="AN140">
        <v>224</v>
      </c>
      <c r="AO140" t="s">
        <v>5587</v>
      </c>
      <c r="AP140" t="s">
        <v>2542</v>
      </c>
    </row>
    <row r="141" spans="1:42" x14ac:dyDescent="0.25">
      <c r="A141">
        <v>140</v>
      </c>
      <c r="B141" t="s">
        <v>686</v>
      </c>
      <c r="C141" t="s">
        <v>686</v>
      </c>
      <c r="D141" t="s">
        <v>687</v>
      </c>
      <c r="E141" t="s">
        <v>137</v>
      </c>
      <c r="F141" t="s">
        <v>138</v>
      </c>
      <c r="G141" t="s">
        <v>139</v>
      </c>
      <c r="H141" t="s">
        <v>140</v>
      </c>
      <c r="I141" t="s">
        <v>688</v>
      </c>
      <c r="J141" t="s">
        <v>689</v>
      </c>
      <c r="K141" t="s">
        <v>690</v>
      </c>
      <c r="L141" t="s">
        <v>4656</v>
      </c>
      <c r="M141" t="s">
        <v>4657</v>
      </c>
      <c r="Q141">
        <v>13</v>
      </c>
      <c r="R141" t="s">
        <v>2420</v>
      </c>
      <c r="S141" t="s">
        <v>2421</v>
      </c>
      <c r="T141">
        <v>5</v>
      </c>
      <c r="U141" t="s">
        <v>2432</v>
      </c>
      <c r="V141" t="s">
        <v>2433</v>
      </c>
      <c r="W141">
        <v>7</v>
      </c>
      <c r="X141" t="s">
        <v>2437</v>
      </c>
      <c r="Y141" t="s">
        <v>2438</v>
      </c>
      <c r="Z141">
        <v>1</v>
      </c>
      <c r="AA141" t="s">
        <v>2690</v>
      </c>
      <c r="AB141" t="s">
        <v>2691</v>
      </c>
      <c r="AE141" t="s">
        <v>2710</v>
      </c>
      <c r="AF141">
        <v>546.05894918462013</v>
      </c>
      <c r="AG141">
        <v>7.9032258064515997</v>
      </c>
      <c r="AH141">
        <v>30</v>
      </c>
      <c r="AI141">
        <v>180</v>
      </c>
      <c r="AJ141">
        <v>219.88628762448911</v>
      </c>
      <c r="AK141">
        <v>796.32258064515997</v>
      </c>
      <c r="AM141">
        <v>307.84080267428476</v>
      </c>
      <c r="AN141">
        <v>0</v>
      </c>
      <c r="AO141" t="s">
        <v>5588</v>
      </c>
      <c r="AP141" t="s">
        <v>687</v>
      </c>
    </row>
    <row r="142" spans="1:42" x14ac:dyDescent="0.25">
      <c r="A142">
        <v>141</v>
      </c>
      <c r="B142" t="s">
        <v>497</v>
      </c>
      <c r="C142" t="s">
        <v>497</v>
      </c>
      <c r="D142" t="s">
        <v>2467</v>
      </c>
      <c r="E142" t="s">
        <v>74</v>
      </c>
      <c r="F142" t="s">
        <v>74</v>
      </c>
      <c r="G142" t="s">
        <v>75</v>
      </c>
      <c r="H142" t="s">
        <v>76</v>
      </c>
      <c r="I142" t="s">
        <v>498</v>
      </c>
      <c r="J142" t="s">
        <v>499</v>
      </c>
      <c r="K142" t="s">
        <v>500</v>
      </c>
      <c r="O142" t="s">
        <v>501</v>
      </c>
      <c r="P142" t="s">
        <v>502</v>
      </c>
      <c r="Q142">
        <v>12</v>
      </c>
      <c r="R142" t="s">
        <v>2409</v>
      </c>
      <c r="S142" t="s">
        <v>2410</v>
      </c>
      <c r="T142">
        <v>2</v>
      </c>
      <c r="U142" t="s">
        <v>2430</v>
      </c>
      <c r="V142" t="s">
        <v>2431</v>
      </c>
      <c r="W142">
        <v>6</v>
      </c>
      <c r="X142" t="s">
        <v>2449</v>
      </c>
      <c r="Y142" t="s">
        <v>2450</v>
      </c>
      <c r="Z142">
        <v>5</v>
      </c>
      <c r="AA142" t="s">
        <v>73</v>
      </c>
      <c r="AB142" t="s">
        <v>73</v>
      </c>
      <c r="AF142">
        <v>543.63448702374399</v>
      </c>
      <c r="AG142">
        <v>6.5</v>
      </c>
      <c r="AH142">
        <v>13</v>
      </c>
      <c r="AI142">
        <v>103</v>
      </c>
      <c r="AJ142">
        <v>297.03831891527102</v>
      </c>
      <c r="AK142">
        <v>652.6</v>
      </c>
      <c r="AM142">
        <v>359.85364648137943</v>
      </c>
      <c r="AN142">
        <v>224</v>
      </c>
      <c r="AO142" t="s">
        <v>5589</v>
      </c>
      <c r="AP142" t="s">
        <v>2467</v>
      </c>
    </row>
    <row r="143" spans="1:42" x14ac:dyDescent="0.25">
      <c r="A143">
        <v>142</v>
      </c>
      <c r="B143" t="s">
        <v>195</v>
      </c>
      <c r="C143" t="s">
        <v>195</v>
      </c>
      <c r="D143" t="s">
        <v>196</v>
      </c>
      <c r="E143" t="s">
        <v>5312</v>
      </c>
      <c r="F143" t="s">
        <v>157</v>
      </c>
      <c r="G143" t="s">
        <v>158</v>
      </c>
      <c r="H143" t="s">
        <v>159</v>
      </c>
      <c r="I143" t="s">
        <v>3089</v>
      </c>
      <c r="J143" t="s">
        <v>3087</v>
      </c>
      <c r="K143" t="s">
        <v>3088</v>
      </c>
      <c r="L143" t="s">
        <v>5028</v>
      </c>
      <c r="M143" t="s">
        <v>5029</v>
      </c>
      <c r="Q143">
        <v>11</v>
      </c>
      <c r="R143" t="s">
        <v>2406</v>
      </c>
      <c r="S143" t="s">
        <v>2407</v>
      </c>
      <c r="T143">
        <v>1</v>
      </c>
      <c r="U143" t="s">
        <v>2432</v>
      </c>
      <c r="V143" t="s">
        <v>2433</v>
      </c>
      <c r="W143">
        <v>7</v>
      </c>
      <c r="X143" t="s">
        <v>2437</v>
      </c>
      <c r="Y143" t="s">
        <v>2438</v>
      </c>
      <c r="Z143">
        <v>1</v>
      </c>
      <c r="AA143" t="s">
        <v>73</v>
      </c>
      <c r="AB143" t="s">
        <v>73</v>
      </c>
      <c r="AC143" t="s">
        <v>197</v>
      </c>
      <c r="AD143" t="s">
        <v>197</v>
      </c>
      <c r="AE143" t="s">
        <v>3145</v>
      </c>
      <c r="AF143">
        <v>542.8801330040335</v>
      </c>
      <c r="AG143">
        <v>7.6329113924051004</v>
      </c>
      <c r="AH143">
        <v>78</v>
      </c>
      <c r="AI143">
        <v>171</v>
      </c>
      <c r="AJ143">
        <v>226.03840375975389</v>
      </c>
      <c r="AK143">
        <v>778.89113924051003</v>
      </c>
      <c r="AL143">
        <v>2012</v>
      </c>
      <c r="AM143">
        <v>316.45376526365544</v>
      </c>
      <c r="AN143">
        <v>0</v>
      </c>
      <c r="AO143" t="s">
        <v>5590</v>
      </c>
      <c r="AP143" t="s">
        <v>196</v>
      </c>
    </row>
    <row r="144" spans="1:42" x14ac:dyDescent="0.25">
      <c r="A144">
        <v>143</v>
      </c>
      <c r="B144" t="s">
        <v>846</v>
      </c>
      <c r="C144" t="s">
        <v>846</v>
      </c>
      <c r="D144" t="s">
        <v>847</v>
      </c>
      <c r="E144" t="s">
        <v>282</v>
      </c>
      <c r="F144" t="s">
        <v>283</v>
      </c>
      <c r="G144" t="s">
        <v>3167</v>
      </c>
      <c r="H144" t="s">
        <v>3166</v>
      </c>
      <c r="I144" t="s">
        <v>848</v>
      </c>
      <c r="J144" t="s">
        <v>585</v>
      </c>
      <c r="K144" t="s">
        <v>586</v>
      </c>
      <c r="O144" t="s">
        <v>849</v>
      </c>
      <c r="P144" t="s">
        <v>850</v>
      </c>
      <c r="Q144">
        <v>13</v>
      </c>
      <c r="R144" t="s">
        <v>2406</v>
      </c>
      <c r="S144" t="s">
        <v>2407</v>
      </c>
      <c r="T144">
        <v>1</v>
      </c>
      <c r="U144" t="s">
        <v>2424</v>
      </c>
      <c r="V144" t="s">
        <v>2425</v>
      </c>
      <c r="W144">
        <v>1</v>
      </c>
      <c r="X144" t="s">
        <v>2443</v>
      </c>
      <c r="Y144" t="s">
        <v>2444</v>
      </c>
      <c r="Z144">
        <v>3</v>
      </c>
      <c r="AA144" t="s">
        <v>851</v>
      </c>
      <c r="AB144" t="s">
        <v>851</v>
      </c>
      <c r="AC144" t="s">
        <v>852</v>
      </c>
      <c r="AD144" t="s">
        <v>852</v>
      </c>
      <c r="AE144" t="s">
        <v>853</v>
      </c>
      <c r="AF144">
        <v>542.18186877868993</v>
      </c>
      <c r="AG144">
        <v>6.8899082568807</v>
      </c>
      <c r="AH144">
        <v>108</v>
      </c>
      <c r="AI144">
        <v>128</v>
      </c>
      <c r="AJ144">
        <v>263.20717326072776</v>
      </c>
      <c r="AK144">
        <v>710.59082568807003</v>
      </c>
      <c r="AM144">
        <v>312.49004256501883</v>
      </c>
      <c r="AN144">
        <v>224</v>
      </c>
      <c r="AO144" t="s">
        <v>5591</v>
      </c>
      <c r="AP144" t="s">
        <v>847</v>
      </c>
    </row>
    <row r="145" spans="1:42" x14ac:dyDescent="0.25">
      <c r="A145">
        <v>144</v>
      </c>
      <c r="B145" t="s">
        <v>1343</v>
      </c>
      <c r="C145" t="s">
        <v>1343</v>
      </c>
      <c r="D145" t="s">
        <v>1344</v>
      </c>
      <c r="E145" t="s">
        <v>183</v>
      </c>
      <c r="F145" t="s">
        <v>184</v>
      </c>
      <c r="G145" t="s">
        <v>158</v>
      </c>
      <c r="H145" t="s">
        <v>159</v>
      </c>
      <c r="I145" t="s">
        <v>1345</v>
      </c>
      <c r="J145" t="s">
        <v>185</v>
      </c>
      <c r="K145" t="s">
        <v>3021</v>
      </c>
      <c r="R145" t="s">
        <v>73</v>
      </c>
      <c r="S145" t="s">
        <v>73</v>
      </c>
      <c r="U145" t="s">
        <v>73</v>
      </c>
      <c r="V145" t="s">
        <v>73</v>
      </c>
      <c r="X145" t="s">
        <v>2437</v>
      </c>
      <c r="Y145" t="s">
        <v>2438</v>
      </c>
      <c r="Z145">
        <v>1</v>
      </c>
      <c r="AA145" t="s">
        <v>73</v>
      </c>
      <c r="AB145" t="s">
        <v>73</v>
      </c>
      <c r="AF145">
        <v>540.73138993823943</v>
      </c>
      <c r="AG145">
        <v>7</v>
      </c>
      <c r="AH145">
        <v>15</v>
      </c>
      <c r="AI145">
        <v>123</v>
      </c>
      <c r="AJ145">
        <v>265.81265548693267</v>
      </c>
      <c r="AK145">
        <v>703</v>
      </c>
      <c r="AM145">
        <v>372.13771768170568</v>
      </c>
      <c r="AN145">
        <v>0</v>
      </c>
      <c r="AO145" t="s">
        <v>5592</v>
      </c>
      <c r="AP145" t="s">
        <v>1344</v>
      </c>
    </row>
    <row r="146" spans="1:42" x14ac:dyDescent="0.25">
      <c r="A146">
        <v>145</v>
      </c>
      <c r="B146" t="s">
        <v>3415</v>
      </c>
      <c r="C146" t="s">
        <v>4164</v>
      </c>
      <c r="D146" t="s">
        <v>3912</v>
      </c>
      <c r="E146" t="s">
        <v>954</v>
      </c>
      <c r="F146" t="s">
        <v>955</v>
      </c>
      <c r="G146" t="s">
        <v>632</v>
      </c>
      <c r="H146" t="s">
        <v>633</v>
      </c>
      <c r="I146" t="s">
        <v>4164</v>
      </c>
      <c r="J146" t="s">
        <v>3913</v>
      </c>
      <c r="Q146">
        <v>13</v>
      </c>
      <c r="R146" t="s">
        <v>2409</v>
      </c>
      <c r="S146" t="s">
        <v>2410</v>
      </c>
      <c r="T146">
        <v>2</v>
      </c>
      <c r="U146" t="s">
        <v>2430</v>
      </c>
      <c r="V146" t="s">
        <v>2431</v>
      </c>
      <c r="W146">
        <v>6</v>
      </c>
      <c r="X146" t="s">
        <v>2446</v>
      </c>
      <c r="Y146" t="s">
        <v>2447</v>
      </c>
      <c r="Z146">
        <v>4</v>
      </c>
      <c r="AA146" t="s">
        <v>3914</v>
      </c>
      <c r="AB146" t="s">
        <v>3915</v>
      </c>
      <c r="AF146">
        <v>539.30938129212177</v>
      </c>
      <c r="AG146">
        <v>8.1578947368421009</v>
      </c>
      <c r="AH146">
        <v>37</v>
      </c>
      <c r="AI146">
        <v>218</v>
      </c>
      <c r="AJ146">
        <v>197.46071605557418</v>
      </c>
      <c r="AK146">
        <v>823.18947368421004</v>
      </c>
      <c r="AM146">
        <v>164.44500247780383</v>
      </c>
      <c r="AN146">
        <v>448</v>
      </c>
      <c r="AO146" t="s">
        <v>5593</v>
      </c>
      <c r="AP146" t="s">
        <v>3912</v>
      </c>
    </row>
    <row r="147" spans="1:42" x14ac:dyDescent="0.25">
      <c r="A147">
        <v>146</v>
      </c>
      <c r="B147" t="s">
        <v>1969</v>
      </c>
      <c r="C147" t="s">
        <v>1969</v>
      </c>
      <c r="D147" t="s">
        <v>1970</v>
      </c>
      <c r="E147" t="s">
        <v>137</v>
      </c>
      <c r="F147" t="s">
        <v>138</v>
      </c>
      <c r="G147" t="s">
        <v>139</v>
      </c>
      <c r="H147" t="s">
        <v>140</v>
      </c>
      <c r="I147" t="s">
        <v>1970</v>
      </c>
      <c r="J147" t="s">
        <v>689</v>
      </c>
      <c r="K147" t="s">
        <v>690</v>
      </c>
      <c r="L147" t="s">
        <v>4632</v>
      </c>
      <c r="M147" t="s">
        <v>4633</v>
      </c>
      <c r="Q147">
        <v>10</v>
      </c>
      <c r="R147" t="s">
        <v>2420</v>
      </c>
      <c r="S147" t="s">
        <v>2421</v>
      </c>
      <c r="T147">
        <v>5</v>
      </c>
      <c r="U147" t="s">
        <v>2432</v>
      </c>
      <c r="V147" t="s">
        <v>2433</v>
      </c>
      <c r="W147">
        <v>7</v>
      </c>
      <c r="X147" t="s">
        <v>2446</v>
      </c>
      <c r="Y147" t="s">
        <v>2447</v>
      </c>
      <c r="Z147">
        <v>4</v>
      </c>
      <c r="AA147" t="s">
        <v>73</v>
      </c>
      <c r="AB147" t="s">
        <v>73</v>
      </c>
      <c r="AC147" t="s">
        <v>3525</v>
      </c>
      <c r="AD147" t="s">
        <v>3524</v>
      </c>
      <c r="AF147">
        <v>538.73442563469462</v>
      </c>
      <c r="AG147">
        <v>6.9545454545455003</v>
      </c>
      <c r="AH147">
        <v>43</v>
      </c>
      <c r="AI147">
        <v>129</v>
      </c>
      <c r="AJ147">
        <v>263.00794767491067</v>
      </c>
      <c r="AK147">
        <v>704.05454545455007</v>
      </c>
      <c r="AM147">
        <v>368.21112674487495</v>
      </c>
      <c r="AN147">
        <v>0</v>
      </c>
      <c r="AO147" t="s">
        <v>5594</v>
      </c>
      <c r="AP147" t="s">
        <v>1970</v>
      </c>
    </row>
    <row r="148" spans="1:42" x14ac:dyDescent="0.25">
      <c r="A148">
        <v>147</v>
      </c>
      <c r="B148" t="s">
        <v>1767</v>
      </c>
      <c r="C148" t="s">
        <v>1767</v>
      </c>
      <c r="D148" t="s">
        <v>1768</v>
      </c>
      <c r="E148" t="s">
        <v>149</v>
      </c>
      <c r="F148" t="s">
        <v>150</v>
      </c>
      <c r="G148" t="s">
        <v>151</v>
      </c>
      <c r="H148" t="s">
        <v>152</v>
      </c>
      <c r="J148" t="s">
        <v>1073</v>
      </c>
      <c r="K148" t="s">
        <v>1074</v>
      </c>
      <c r="R148" t="s">
        <v>73</v>
      </c>
      <c r="S148" t="s">
        <v>73</v>
      </c>
      <c r="U148" t="s">
        <v>73</v>
      </c>
      <c r="V148" t="s">
        <v>73</v>
      </c>
      <c r="X148" t="s">
        <v>73</v>
      </c>
      <c r="Y148" t="s">
        <v>73</v>
      </c>
      <c r="AA148" t="s">
        <v>73</v>
      </c>
      <c r="AB148" t="s">
        <v>73</v>
      </c>
      <c r="AE148" t="s">
        <v>1769</v>
      </c>
      <c r="AF148">
        <v>538.68614375107813</v>
      </c>
      <c r="AG148">
        <v>6.3333333333333002</v>
      </c>
      <c r="AH148">
        <v>20</v>
      </c>
      <c r="AI148">
        <v>100</v>
      </c>
      <c r="AJ148">
        <v>300.0216412049034</v>
      </c>
      <c r="AK148">
        <v>637.33333333333007</v>
      </c>
      <c r="AL148">
        <v>2006</v>
      </c>
      <c r="AM148">
        <v>308.03029768686474</v>
      </c>
      <c r="AN148">
        <v>448</v>
      </c>
      <c r="AO148" t="s">
        <v>5595</v>
      </c>
      <c r="AP148" t="s">
        <v>1768</v>
      </c>
    </row>
    <row r="149" spans="1:42" x14ac:dyDescent="0.25">
      <c r="A149">
        <v>148</v>
      </c>
      <c r="B149" t="s">
        <v>979</v>
      </c>
      <c r="C149" t="s">
        <v>979</v>
      </c>
      <c r="D149" t="s">
        <v>980</v>
      </c>
      <c r="E149" t="s">
        <v>255</v>
      </c>
      <c r="F149" t="s">
        <v>256</v>
      </c>
      <c r="G149" t="s">
        <v>257</v>
      </c>
      <c r="H149" t="s">
        <v>258</v>
      </c>
      <c r="I149" t="s">
        <v>980</v>
      </c>
      <c r="J149" t="s">
        <v>315</v>
      </c>
      <c r="K149" t="s">
        <v>316</v>
      </c>
      <c r="L149">
        <v>51.894331674500002</v>
      </c>
      <c r="M149">
        <v>5.9992257307900001</v>
      </c>
      <c r="Q149">
        <v>13</v>
      </c>
      <c r="R149" t="s">
        <v>2414</v>
      </c>
      <c r="S149" t="s">
        <v>2415</v>
      </c>
      <c r="T149">
        <v>3</v>
      </c>
      <c r="U149" t="s">
        <v>2434</v>
      </c>
      <c r="V149" t="s">
        <v>2435</v>
      </c>
      <c r="W149">
        <v>8</v>
      </c>
      <c r="X149" t="s">
        <v>2440</v>
      </c>
      <c r="Y149" t="s">
        <v>2441</v>
      </c>
      <c r="Z149">
        <v>2</v>
      </c>
      <c r="AA149" t="s">
        <v>981</v>
      </c>
      <c r="AB149" t="s">
        <v>981</v>
      </c>
      <c r="AC149" t="s">
        <v>982</v>
      </c>
      <c r="AD149" t="s">
        <v>982</v>
      </c>
      <c r="AE149" t="s">
        <v>983</v>
      </c>
      <c r="AF149">
        <v>538.04619744526394</v>
      </c>
      <c r="AG149">
        <v>7.6064516129032</v>
      </c>
      <c r="AH149">
        <v>309</v>
      </c>
      <c r="AI149">
        <v>222</v>
      </c>
      <c r="AJ149">
        <v>196.47068533344893</v>
      </c>
      <c r="AK149">
        <v>822.4451612903199</v>
      </c>
      <c r="AL149">
        <v>2004</v>
      </c>
      <c r="AM149">
        <v>275.05895946682847</v>
      </c>
      <c r="AN149">
        <v>0</v>
      </c>
      <c r="AO149" t="s">
        <v>5596</v>
      </c>
      <c r="AP149" t="s">
        <v>980</v>
      </c>
    </row>
    <row r="150" spans="1:42" x14ac:dyDescent="0.25">
      <c r="A150">
        <v>149</v>
      </c>
      <c r="B150" t="s">
        <v>1956</v>
      </c>
      <c r="C150" t="s">
        <v>1956</v>
      </c>
      <c r="D150" t="s">
        <v>1957</v>
      </c>
      <c r="E150" t="s">
        <v>3169</v>
      </c>
      <c r="F150" t="s">
        <v>379</v>
      </c>
      <c r="G150" t="s">
        <v>162</v>
      </c>
      <c r="H150" t="s">
        <v>163</v>
      </c>
      <c r="J150" t="s">
        <v>1958</v>
      </c>
      <c r="K150" t="s">
        <v>1956</v>
      </c>
      <c r="O150" t="s">
        <v>2625</v>
      </c>
      <c r="P150" t="s">
        <v>2625</v>
      </c>
      <c r="R150" t="s">
        <v>73</v>
      </c>
      <c r="S150" t="s">
        <v>73</v>
      </c>
      <c r="U150" t="s">
        <v>73</v>
      </c>
      <c r="V150" t="s">
        <v>73</v>
      </c>
      <c r="X150" t="s">
        <v>2446</v>
      </c>
      <c r="Y150" t="s">
        <v>2447</v>
      </c>
      <c r="Z150">
        <v>4</v>
      </c>
      <c r="AA150" t="s">
        <v>73</v>
      </c>
      <c r="AB150" t="s">
        <v>73</v>
      </c>
      <c r="AF150">
        <v>537.28616548988157</v>
      </c>
      <c r="AG150">
        <v>6.5384615384615001</v>
      </c>
      <c r="AH150">
        <v>12</v>
      </c>
      <c r="AI150">
        <v>108</v>
      </c>
      <c r="AJ150">
        <v>287.95898729645171</v>
      </c>
      <c r="AK150">
        <v>656.24615384615004</v>
      </c>
      <c r="AM150">
        <v>297.14258221503235</v>
      </c>
      <c r="AN150">
        <v>424</v>
      </c>
      <c r="AO150" t="s">
        <v>5597</v>
      </c>
      <c r="AP150" t="s">
        <v>1957</v>
      </c>
    </row>
    <row r="151" spans="1:42" x14ac:dyDescent="0.25">
      <c r="A151">
        <v>150</v>
      </c>
      <c r="B151" t="s">
        <v>576</v>
      </c>
      <c r="C151" t="s">
        <v>4054</v>
      </c>
      <c r="D151" t="s">
        <v>2791</v>
      </c>
      <c r="E151" t="s">
        <v>91</v>
      </c>
      <c r="F151" t="s">
        <v>92</v>
      </c>
      <c r="G151" t="s">
        <v>93</v>
      </c>
      <c r="H151" t="s">
        <v>94</v>
      </c>
      <c r="I151" t="s">
        <v>2792</v>
      </c>
      <c r="J151" t="s">
        <v>3068</v>
      </c>
      <c r="K151" t="s">
        <v>3062</v>
      </c>
      <c r="L151" t="s">
        <v>4498</v>
      </c>
      <c r="M151" t="s">
        <v>4499</v>
      </c>
      <c r="O151" t="s">
        <v>2794</v>
      </c>
      <c r="P151" t="s">
        <v>2793</v>
      </c>
      <c r="Q151">
        <v>13</v>
      </c>
      <c r="R151" t="s">
        <v>2406</v>
      </c>
      <c r="S151" t="s">
        <v>2407</v>
      </c>
      <c r="T151">
        <v>1</v>
      </c>
      <c r="U151" t="s">
        <v>2430</v>
      </c>
      <c r="V151" t="s">
        <v>2431</v>
      </c>
      <c r="W151">
        <v>6</v>
      </c>
      <c r="X151" t="s">
        <v>2446</v>
      </c>
      <c r="Y151" t="s">
        <v>2447</v>
      </c>
      <c r="Z151">
        <v>4</v>
      </c>
      <c r="AA151" t="s">
        <v>73</v>
      </c>
      <c r="AB151" t="s">
        <v>73</v>
      </c>
      <c r="AC151" t="s">
        <v>2795</v>
      </c>
      <c r="AD151" t="s">
        <v>2795</v>
      </c>
      <c r="AF151">
        <v>534.37576616623448</v>
      </c>
      <c r="AG151">
        <v>6.7142857142857002</v>
      </c>
      <c r="AH151">
        <v>34</v>
      </c>
      <c r="AI151">
        <v>117</v>
      </c>
      <c r="AJ151">
        <v>272.51275605772167</v>
      </c>
      <c r="AK151">
        <v>678.22857142856992</v>
      </c>
      <c r="AM151">
        <v>325.51785848081033</v>
      </c>
      <c r="AN151">
        <v>224</v>
      </c>
      <c r="AO151" t="s">
        <v>5598</v>
      </c>
      <c r="AP151" t="s">
        <v>2791</v>
      </c>
    </row>
    <row r="152" spans="1:42" x14ac:dyDescent="0.25">
      <c r="A152">
        <v>151</v>
      </c>
      <c r="B152" t="s">
        <v>1181</v>
      </c>
      <c r="C152" t="s">
        <v>1181</v>
      </c>
      <c r="D152" t="s">
        <v>1182</v>
      </c>
      <c r="E152" t="s">
        <v>183</v>
      </c>
      <c r="F152" t="s">
        <v>184</v>
      </c>
      <c r="G152" t="s">
        <v>3849</v>
      </c>
      <c r="H152" t="s">
        <v>3850</v>
      </c>
      <c r="I152" t="s">
        <v>1183</v>
      </c>
      <c r="J152" t="s">
        <v>1184</v>
      </c>
      <c r="K152" t="s">
        <v>1185</v>
      </c>
      <c r="O152" t="s">
        <v>1186</v>
      </c>
      <c r="P152" t="s">
        <v>1187</v>
      </c>
      <c r="Q152">
        <v>14</v>
      </c>
      <c r="R152" t="s">
        <v>2406</v>
      </c>
      <c r="S152" t="s">
        <v>2407</v>
      </c>
      <c r="T152">
        <v>1</v>
      </c>
      <c r="U152" t="s">
        <v>2430</v>
      </c>
      <c r="V152" t="s">
        <v>2431</v>
      </c>
      <c r="W152">
        <v>6</v>
      </c>
      <c r="X152" t="s">
        <v>2437</v>
      </c>
      <c r="Y152" t="s">
        <v>2438</v>
      </c>
      <c r="Z152">
        <v>1</v>
      </c>
      <c r="AA152" t="s">
        <v>73</v>
      </c>
      <c r="AB152" t="s">
        <v>73</v>
      </c>
      <c r="AE152" t="s">
        <v>1188</v>
      </c>
      <c r="AF152">
        <v>534.07662044415042</v>
      </c>
      <c r="AG152">
        <v>7.9375</v>
      </c>
      <c r="AH152">
        <v>15</v>
      </c>
      <c r="AI152">
        <v>200</v>
      </c>
      <c r="AJ152">
        <v>206.33513382683375</v>
      </c>
      <c r="AK152">
        <v>796.75</v>
      </c>
      <c r="AM152">
        <v>288.86918735756723</v>
      </c>
      <c r="AN152">
        <v>0</v>
      </c>
      <c r="AO152" t="s">
        <v>5599</v>
      </c>
      <c r="AP152" t="s">
        <v>1182</v>
      </c>
    </row>
    <row r="153" spans="1:42" x14ac:dyDescent="0.25">
      <c r="A153">
        <v>152</v>
      </c>
      <c r="B153" t="s">
        <v>494</v>
      </c>
      <c r="C153" t="s">
        <v>494</v>
      </c>
      <c r="D153" t="s">
        <v>495</v>
      </c>
      <c r="E153" t="s">
        <v>218</v>
      </c>
      <c r="F153" t="s">
        <v>219</v>
      </c>
      <c r="G153" t="s">
        <v>69</v>
      </c>
      <c r="H153" t="s">
        <v>70</v>
      </c>
      <c r="I153" t="s">
        <v>496</v>
      </c>
      <c r="J153" t="s">
        <v>251</v>
      </c>
      <c r="K153" t="s">
        <v>252</v>
      </c>
      <c r="L153" t="s">
        <v>4956</v>
      </c>
      <c r="M153" t="s">
        <v>4957</v>
      </c>
      <c r="R153" t="s">
        <v>73</v>
      </c>
      <c r="S153" t="s">
        <v>73</v>
      </c>
      <c r="U153" t="s">
        <v>73</v>
      </c>
      <c r="V153" t="s">
        <v>73</v>
      </c>
      <c r="X153" t="s">
        <v>2440</v>
      </c>
      <c r="Y153" t="s">
        <v>2441</v>
      </c>
      <c r="Z153">
        <v>2</v>
      </c>
      <c r="AA153" t="s">
        <v>73</v>
      </c>
      <c r="AB153" t="s">
        <v>73</v>
      </c>
      <c r="AF153">
        <v>534.00134647741675</v>
      </c>
      <c r="AG153">
        <v>7.59375</v>
      </c>
      <c r="AH153">
        <v>31</v>
      </c>
      <c r="AI153">
        <v>175</v>
      </c>
      <c r="AJ153">
        <v>223.57094053046302</v>
      </c>
      <c r="AK153">
        <v>765.57500000000005</v>
      </c>
      <c r="AM153">
        <v>256.9993167426482</v>
      </c>
      <c r="AN153">
        <v>224</v>
      </c>
      <c r="AO153" t="s">
        <v>5600</v>
      </c>
      <c r="AP153" t="s">
        <v>495</v>
      </c>
    </row>
    <row r="154" spans="1:42" x14ac:dyDescent="0.25">
      <c r="A154">
        <v>153</v>
      </c>
      <c r="B154" t="s">
        <v>1392</v>
      </c>
      <c r="C154" t="s">
        <v>1392</v>
      </c>
      <c r="D154" t="s">
        <v>2489</v>
      </c>
      <c r="E154" t="s">
        <v>183</v>
      </c>
      <c r="F154" t="s">
        <v>184</v>
      </c>
      <c r="G154" t="s">
        <v>158</v>
      </c>
      <c r="H154" t="s">
        <v>159</v>
      </c>
      <c r="J154" t="s">
        <v>337</v>
      </c>
      <c r="K154" t="s">
        <v>338</v>
      </c>
      <c r="L154" t="s">
        <v>4431</v>
      </c>
      <c r="M154" t="s">
        <v>4432</v>
      </c>
      <c r="R154" t="s">
        <v>73</v>
      </c>
      <c r="S154" t="s">
        <v>73</v>
      </c>
      <c r="U154" t="s">
        <v>73</v>
      </c>
      <c r="V154" t="s">
        <v>73</v>
      </c>
      <c r="X154" t="s">
        <v>2440</v>
      </c>
      <c r="Y154" t="s">
        <v>2441</v>
      </c>
      <c r="Z154">
        <v>2</v>
      </c>
      <c r="AF154">
        <v>533.81365978251551</v>
      </c>
      <c r="AG154">
        <v>8.0789473684210993</v>
      </c>
      <c r="AH154">
        <v>37</v>
      </c>
      <c r="AI154">
        <v>223</v>
      </c>
      <c r="AJ154">
        <v>195.74032373495618</v>
      </c>
      <c r="AK154">
        <v>815.29473684210996</v>
      </c>
      <c r="AM154">
        <v>274.03645322893863</v>
      </c>
      <c r="AN154">
        <v>0</v>
      </c>
      <c r="AO154" t="s">
        <v>5601</v>
      </c>
      <c r="AP154" t="s">
        <v>2489</v>
      </c>
    </row>
    <row r="155" spans="1:42" x14ac:dyDescent="0.25">
      <c r="A155">
        <v>154</v>
      </c>
      <c r="B155" t="s">
        <v>235</v>
      </c>
      <c r="C155" t="s">
        <v>235</v>
      </c>
      <c r="D155" t="s">
        <v>236</v>
      </c>
      <c r="E155" t="s">
        <v>213</v>
      </c>
      <c r="F155" t="s">
        <v>214</v>
      </c>
      <c r="G155" t="s">
        <v>75</v>
      </c>
      <c r="H155" t="s">
        <v>76</v>
      </c>
      <c r="I155" t="s">
        <v>236</v>
      </c>
      <c r="L155">
        <v>36.199166666666699</v>
      </c>
      <c r="M155">
        <v>37.162500000000001</v>
      </c>
      <c r="N155" t="s">
        <v>4221</v>
      </c>
      <c r="O155" t="s">
        <v>237</v>
      </c>
      <c r="P155" t="s">
        <v>237</v>
      </c>
      <c r="R155" t="s">
        <v>73</v>
      </c>
      <c r="S155" t="s">
        <v>73</v>
      </c>
      <c r="U155" t="s">
        <v>73</v>
      </c>
      <c r="V155" t="s">
        <v>73</v>
      </c>
      <c r="X155" t="s">
        <v>73</v>
      </c>
      <c r="Y155" t="s">
        <v>73</v>
      </c>
      <c r="AA155" t="s">
        <v>73</v>
      </c>
      <c r="AB155" t="s">
        <v>73</v>
      </c>
      <c r="AF155">
        <v>533.21751128149731</v>
      </c>
      <c r="AG155">
        <v>8.15625</v>
      </c>
      <c r="AH155">
        <v>63</v>
      </c>
      <c r="AI155">
        <v>250</v>
      </c>
      <c r="AJ155">
        <v>187.89445697944137</v>
      </c>
      <c r="AK155">
        <v>828.22500000000002</v>
      </c>
      <c r="AM155">
        <v>207.0522397712179</v>
      </c>
      <c r="AN155">
        <v>224</v>
      </c>
      <c r="AO155" t="s">
        <v>5602</v>
      </c>
      <c r="AP155" t="s">
        <v>236</v>
      </c>
    </row>
    <row r="156" spans="1:42" x14ac:dyDescent="0.25">
      <c r="A156">
        <v>155</v>
      </c>
      <c r="B156" t="s">
        <v>984</v>
      </c>
      <c r="C156" t="s">
        <v>984</v>
      </c>
      <c r="D156" t="s">
        <v>985</v>
      </c>
      <c r="E156" t="s">
        <v>255</v>
      </c>
      <c r="F156" t="s">
        <v>256</v>
      </c>
      <c r="G156" t="s">
        <v>257</v>
      </c>
      <c r="H156" t="s">
        <v>258</v>
      </c>
      <c r="I156" t="s">
        <v>986</v>
      </c>
      <c r="J156" t="s">
        <v>315</v>
      </c>
      <c r="K156" t="s">
        <v>316</v>
      </c>
      <c r="L156">
        <v>51.966807350400003</v>
      </c>
      <c r="M156">
        <v>5.7880035589299998</v>
      </c>
      <c r="Q156">
        <v>13</v>
      </c>
      <c r="R156" t="s">
        <v>2414</v>
      </c>
      <c r="S156" t="s">
        <v>2415</v>
      </c>
      <c r="T156">
        <v>3</v>
      </c>
      <c r="U156" t="s">
        <v>2432</v>
      </c>
      <c r="V156" t="s">
        <v>2433</v>
      </c>
      <c r="W156">
        <v>7</v>
      </c>
      <c r="X156" t="s">
        <v>2440</v>
      </c>
      <c r="Y156" t="s">
        <v>2441</v>
      </c>
      <c r="Z156">
        <v>2</v>
      </c>
      <c r="AA156" t="s">
        <v>73</v>
      </c>
      <c r="AB156" t="s">
        <v>73</v>
      </c>
      <c r="AC156" t="s">
        <v>987</v>
      </c>
      <c r="AD156" t="s">
        <v>987</v>
      </c>
      <c r="AE156" t="s">
        <v>4237</v>
      </c>
      <c r="AF156">
        <v>531.80799905996309</v>
      </c>
      <c r="AG156">
        <v>7.6679104477611997</v>
      </c>
      <c r="AH156">
        <v>267</v>
      </c>
      <c r="AI156">
        <v>236</v>
      </c>
      <c r="AJ156">
        <v>190.79164074655898</v>
      </c>
      <c r="AK156">
        <v>820.19104477611995</v>
      </c>
      <c r="AL156">
        <v>2004</v>
      </c>
      <c r="AM156">
        <v>267.10829704518255</v>
      </c>
      <c r="AN156">
        <v>0</v>
      </c>
      <c r="AO156" t="s">
        <v>5603</v>
      </c>
      <c r="AP156" t="s">
        <v>985</v>
      </c>
    </row>
    <row r="157" spans="1:42" x14ac:dyDescent="0.25">
      <c r="A157">
        <v>156</v>
      </c>
      <c r="B157" t="s">
        <v>1790</v>
      </c>
      <c r="C157" t="s">
        <v>1790</v>
      </c>
      <c r="D157" t="s">
        <v>1791</v>
      </c>
      <c r="E157" t="s">
        <v>282</v>
      </c>
      <c r="F157" t="s">
        <v>283</v>
      </c>
      <c r="G157" t="s">
        <v>3167</v>
      </c>
      <c r="H157" t="s">
        <v>3166</v>
      </c>
      <c r="I157" t="s">
        <v>1792</v>
      </c>
      <c r="J157" t="s">
        <v>473</v>
      </c>
      <c r="K157" t="s">
        <v>474</v>
      </c>
      <c r="O157" t="s">
        <v>822</v>
      </c>
      <c r="P157" t="s">
        <v>823</v>
      </c>
      <c r="Q157">
        <v>12</v>
      </c>
      <c r="R157" t="s">
        <v>2406</v>
      </c>
      <c r="S157" t="s">
        <v>2407</v>
      </c>
      <c r="T157">
        <v>1</v>
      </c>
      <c r="U157" t="s">
        <v>2430</v>
      </c>
      <c r="V157" t="s">
        <v>2431</v>
      </c>
      <c r="W157">
        <v>6</v>
      </c>
      <c r="X157" t="s">
        <v>2446</v>
      </c>
      <c r="Y157" t="s">
        <v>2447</v>
      </c>
      <c r="Z157">
        <v>4</v>
      </c>
      <c r="AA157" t="s">
        <v>73</v>
      </c>
      <c r="AB157" t="s">
        <v>73</v>
      </c>
      <c r="AF157">
        <v>530.80231995487259</v>
      </c>
      <c r="AG157">
        <v>7.5128205128205003</v>
      </c>
      <c r="AH157">
        <v>38</v>
      </c>
      <c r="AI157">
        <v>174</v>
      </c>
      <c r="AJ157">
        <v>223.73477145983065</v>
      </c>
      <c r="AK157">
        <v>758.88205128205004</v>
      </c>
      <c r="AL157">
        <v>2009</v>
      </c>
      <c r="AM157">
        <v>257.22868004376289</v>
      </c>
      <c r="AN157">
        <v>224</v>
      </c>
      <c r="AO157" t="s">
        <v>5604</v>
      </c>
      <c r="AP157" t="s">
        <v>1791</v>
      </c>
    </row>
    <row r="158" spans="1:42" x14ac:dyDescent="0.25">
      <c r="A158">
        <v>157</v>
      </c>
      <c r="B158" t="s">
        <v>880</v>
      </c>
      <c r="C158" t="s">
        <v>880</v>
      </c>
      <c r="D158" t="s">
        <v>881</v>
      </c>
      <c r="E158" t="s">
        <v>282</v>
      </c>
      <c r="F158" t="s">
        <v>283</v>
      </c>
      <c r="G158" t="s">
        <v>3167</v>
      </c>
      <c r="H158" t="s">
        <v>3166</v>
      </c>
      <c r="I158" t="s">
        <v>882</v>
      </c>
      <c r="J158" t="s">
        <v>585</v>
      </c>
      <c r="K158" t="s">
        <v>586</v>
      </c>
      <c r="L158">
        <v>53.484166999999999</v>
      </c>
      <c r="M158">
        <v>-1.226389</v>
      </c>
      <c r="N158" t="s">
        <v>4216</v>
      </c>
      <c r="O158" t="s">
        <v>883</v>
      </c>
      <c r="P158" t="s">
        <v>884</v>
      </c>
      <c r="Q158">
        <v>12</v>
      </c>
      <c r="R158" t="s">
        <v>2406</v>
      </c>
      <c r="S158" t="s">
        <v>2407</v>
      </c>
      <c r="T158">
        <v>1</v>
      </c>
      <c r="U158" t="s">
        <v>2432</v>
      </c>
      <c r="V158" t="s">
        <v>2433</v>
      </c>
      <c r="W158">
        <v>7</v>
      </c>
      <c r="X158" t="s">
        <v>2443</v>
      </c>
      <c r="Y158" t="s">
        <v>2444</v>
      </c>
      <c r="Z158">
        <v>3</v>
      </c>
      <c r="AA158" t="s">
        <v>885</v>
      </c>
      <c r="AB158" t="s">
        <v>885</v>
      </c>
      <c r="AC158" t="s">
        <v>886</v>
      </c>
      <c r="AD158" t="s">
        <v>886</v>
      </c>
      <c r="AE158" t="s">
        <v>887</v>
      </c>
      <c r="AF158">
        <v>530.67395634785464</v>
      </c>
      <c r="AG158">
        <v>5.8888888888888999</v>
      </c>
      <c r="AH158">
        <v>35</v>
      </c>
      <c r="AI158">
        <v>93</v>
      </c>
      <c r="AJ158">
        <v>314.14390211489956</v>
      </c>
      <c r="AK158">
        <v>595.88888888889005</v>
      </c>
      <c r="AM158">
        <v>383.80146296085934</v>
      </c>
      <c r="AN158">
        <v>224</v>
      </c>
      <c r="AO158" t="s">
        <v>5605</v>
      </c>
      <c r="AP158" t="s">
        <v>881</v>
      </c>
    </row>
    <row r="159" spans="1:42" x14ac:dyDescent="0.25">
      <c r="A159">
        <v>158</v>
      </c>
      <c r="B159" t="s">
        <v>1923</v>
      </c>
      <c r="C159" t="s">
        <v>1923</v>
      </c>
      <c r="D159" t="s">
        <v>1924</v>
      </c>
      <c r="E159" t="s">
        <v>282</v>
      </c>
      <c r="F159" t="s">
        <v>283</v>
      </c>
      <c r="G159" t="s">
        <v>3167</v>
      </c>
      <c r="H159" t="s">
        <v>3166</v>
      </c>
      <c r="I159" t="s">
        <v>1631</v>
      </c>
      <c r="J159" t="s">
        <v>518</v>
      </c>
      <c r="K159" t="s">
        <v>519</v>
      </c>
      <c r="O159" t="s">
        <v>2616</v>
      </c>
      <c r="P159" t="s">
        <v>2617</v>
      </c>
      <c r="Q159">
        <v>12</v>
      </c>
      <c r="R159" t="s">
        <v>2406</v>
      </c>
      <c r="S159" t="s">
        <v>2407</v>
      </c>
      <c r="T159">
        <v>1</v>
      </c>
      <c r="U159" t="s">
        <v>2428</v>
      </c>
      <c r="V159" t="s">
        <v>2429</v>
      </c>
      <c r="W159">
        <v>3</v>
      </c>
      <c r="X159" t="s">
        <v>2443</v>
      </c>
      <c r="Y159" t="s">
        <v>2444</v>
      </c>
      <c r="Z159">
        <v>3</v>
      </c>
      <c r="AA159" t="s">
        <v>73</v>
      </c>
      <c r="AB159" t="s">
        <v>73</v>
      </c>
      <c r="AF159">
        <v>528.15260712469342</v>
      </c>
      <c r="AG159">
        <v>6.0909090909090997</v>
      </c>
      <c r="AH159">
        <v>43</v>
      </c>
      <c r="AI159">
        <v>101</v>
      </c>
      <c r="AJ159">
        <v>299.23016953248714</v>
      </c>
      <c r="AK159">
        <v>617.69090909090994</v>
      </c>
      <c r="AM159">
        <v>362.92223734548196</v>
      </c>
      <c r="AN159">
        <v>224</v>
      </c>
      <c r="AO159" t="s">
        <v>5606</v>
      </c>
      <c r="AP159" t="s">
        <v>1924</v>
      </c>
    </row>
    <row r="160" spans="1:42" x14ac:dyDescent="0.25">
      <c r="A160">
        <v>159</v>
      </c>
      <c r="B160" t="s">
        <v>952</v>
      </c>
      <c r="C160" t="s">
        <v>952</v>
      </c>
      <c r="D160" t="s">
        <v>953</v>
      </c>
      <c r="E160" t="s">
        <v>954</v>
      </c>
      <c r="F160" t="s">
        <v>955</v>
      </c>
      <c r="G160" t="s">
        <v>632</v>
      </c>
      <c r="H160" t="s">
        <v>633</v>
      </c>
      <c r="I160" t="s">
        <v>956</v>
      </c>
      <c r="J160" t="s">
        <v>957</v>
      </c>
      <c r="K160" t="s">
        <v>958</v>
      </c>
      <c r="Q160">
        <v>10</v>
      </c>
      <c r="R160" t="s">
        <v>2406</v>
      </c>
      <c r="S160" t="s">
        <v>2407</v>
      </c>
      <c r="T160">
        <v>1</v>
      </c>
      <c r="U160" t="s">
        <v>73</v>
      </c>
      <c r="V160" t="s">
        <v>73</v>
      </c>
      <c r="X160" t="s">
        <v>2443</v>
      </c>
      <c r="Y160" t="s">
        <v>2444</v>
      </c>
      <c r="Z160">
        <v>3</v>
      </c>
      <c r="AA160" t="s">
        <v>73</v>
      </c>
      <c r="AB160" t="s">
        <v>73</v>
      </c>
      <c r="AF160">
        <v>527.96147414635152</v>
      </c>
      <c r="AG160">
        <v>8.4477611940298996</v>
      </c>
      <c r="AH160">
        <v>133</v>
      </c>
      <c r="AI160">
        <v>335</v>
      </c>
      <c r="AJ160">
        <v>158.08157160539608</v>
      </c>
      <c r="AK160">
        <v>871.37611940298996</v>
      </c>
      <c r="AM160">
        <v>109.31420024755448</v>
      </c>
      <c r="AN160">
        <v>448</v>
      </c>
      <c r="AO160" t="s">
        <v>5607</v>
      </c>
      <c r="AP160" t="s">
        <v>953</v>
      </c>
    </row>
    <row r="161" spans="1:42" x14ac:dyDescent="0.25">
      <c r="A161">
        <v>160</v>
      </c>
      <c r="B161" t="s">
        <v>568</v>
      </c>
      <c r="C161" t="s">
        <v>568</v>
      </c>
      <c r="D161" t="s">
        <v>569</v>
      </c>
      <c r="E161" t="s">
        <v>556</v>
      </c>
      <c r="F161" t="s">
        <v>557</v>
      </c>
      <c r="G161" t="s">
        <v>60</v>
      </c>
      <c r="H161" t="s">
        <v>61</v>
      </c>
      <c r="J161" t="s">
        <v>3754</v>
      </c>
      <c r="K161" t="s">
        <v>3755</v>
      </c>
      <c r="R161" t="s">
        <v>73</v>
      </c>
      <c r="S161" t="s">
        <v>73</v>
      </c>
      <c r="U161" t="s">
        <v>73</v>
      </c>
      <c r="V161" t="s">
        <v>73</v>
      </c>
      <c r="X161" t="s">
        <v>73</v>
      </c>
      <c r="Y161" t="s">
        <v>73</v>
      </c>
      <c r="AA161" t="s">
        <v>73</v>
      </c>
      <c r="AB161" t="s">
        <v>73</v>
      </c>
      <c r="AF161">
        <v>525.36915311779501</v>
      </c>
      <c r="AG161">
        <v>8.1923076923077005</v>
      </c>
      <c r="AH161">
        <v>25</v>
      </c>
      <c r="AI161">
        <v>265</v>
      </c>
      <c r="AJ161">
        <v>181.39307611378882</v>
      </c>
      <c r="AK161">
        <v>824.23076923077008</v>
      </c>
      <c r="AM161">
        <v>197.95030655930435</v>
      </c>
      <c r="AN161">
        <v>224</v>
      </c>
      <c r="AO161" t="s">
        <v>5608</v>
      </c>
      <c r="AP161" t="s">
        <v>569</v>
      </c>
    </row>
    <row r="162" spans="1:42" x14ac:dyDescent="0.25">
      <c r="A162">
        <v>161</v>
      </c>
      <c r="B162" t="s">
        <v>2348</v>
      </c>
      <c r="C162" t="s">
        <v>2348</v>
      </c>
      <c r="D162" t="s">
        <v>2349</v>
      </c>
      <c r="E162" t="s">
        <v>282</v>
      </c>
      <c r="F162" t="s">
        <v>283</v>
      </c>
      <c r="G162" t="s">
        <v>3167</v>
      </c>
      <c r="H162" t="s">
        <v>3166</v>
      </c>
      <c r="I162" t="s">
        <v>2350</v>
      </c>
      <c r="J162" t="s">
        <v>285</v>
      </c>
      <c r="K162" t="s">
        <v>286</v>
      </c>
      <c r="Q162">
        <v>12</v>
      </c>
      <c r="R162" t="s">
        <v>2406</v>
      </c>
      <c r="S162" t="s">
        <v>2407</v>
      </c>
      <c r="T162">
        <v>1</v>
      </c>
      <c r="U162" t="s">
        <v>2426</v>
      </c>
      <c r="V162" t="s">
        <v>2427</v>
      </c>
      <c r="W162">
        <v>2</v>
      </c>
      <c r="X162" t="s">
        <v>2443</v>
      </c>
      <c r="Y162" t="s">
        <v>2444</v>
      </c>
      <c r="Z162">
        <v>3</v>
      </c>
      <c r="AA162" t="s">
        <v>73</v>
      </c>
      <c r="AB162" t="s">
        <v>73</v>
      </c>
      <c r="AF162">
        <v>524.70277585236681</v>
      </c>
      <c r="AG162">
        <v>6.9459459459459003</v>
      </c>
      <c r="AH162">
        <v>36</v>
      </c>
      <c r="AI162">
        <v>144</v>
      </c>
      <c r="AJ162">
        <v>248.67275395007971</v>
      </c>
      <c r="AK162">
        <v>701.79459459459008</v>
      </c>
      <c r="AM162">
        <v>292.14185553011157</v>
      </c>
      <c r="AN162">
        <v>224</v>
      </c>
      <c r="AO162" t="s">
        <v>5609</v>
      </c>
      <c r="AP162" t="s">
        <v>2349</v>
      </c>
    </row>
    <row r="163" spans="1:42" x14ac:dyDescent="0.25">
      <c r="A163">
        <v>162</v>
      </c>
      <c r="B163" t="s">
        <v>2179</v>
      </c>
      <c r="C163" t="s">
        <v>2179</v>
      </c>
      <c r="D163" t="s">
        <v>3602</v>
      </c>
      <c r="E163" t="s">
        <v>67</v>
      </c>
      <c r="F163" t="s">
        <v>68</v>
      </c>
      <c r="G163" t="s">
        <v>3843</v>
      </c>
      <c r="H163" t="s">
        <v>3844</v>
      </c>
      <c r="J163" t="s">
        <v>580</v>
      </c>
      <c r="K163" t="s">
        <v>581</v>
      </c>
      <c r="L163" t="s">
        <v>5022</v>
      </c>
      <c r="M163" t="s">
        <v>5023</v>
      </c>
      <c r="R163" t="s">
        <v>2409</v>
      </c>
      <c r="S163" t="s">
        <v>2410</v>
      </c>
      <c r="T163">
        <v>2</v>
      </c>
      <c r="U163" t="s">
        <v>2432</v>
      </c>
      <c r="V163" t="s">
        <v>2433</v>
      </c>
      <c r="W163">
        <v>7</v>
      </c>
      <c r="X163" t="s">
        <v>2437</v>
      </c>
      <c r="Y163" t="s">
        <v>2438</v>
      </c>
      <c r="Z163">
        <v>1</v>
      </c>
      <c r="AF163">
        <v>522.74341310643604</v>
      </c>
      <c r="AG163">
        <v>7.6060606060606002</v>
      </c>
      <c r="AH163">
        <v>32</v>
      </c>
      <c r="AI163">
        <v>197</v>
      </c>
      <c r="AJ163">
        <v>210.2670920037844</v>
      </c>
      <c r="AK163">
        <v>767.00606060606003</v>
      </c>
      <c r="AM163">
        <v>294.37392880529814</v>
      </c>
      <c r="AN163">
        <v>0</v>
      </c>
      <c r="AO163" t="s">
        <v>5610</v>
      </c>
      <c r="AP163" t="s">
        <v>3602</v>
      </c>
    </row>
    <row r="164" spans="1:42" x14ac:dyDescent="0.25">
      <c r="A164">
        <v>163</v>
      </c>
      <c r="B164" t="s">
        <v>2904</v>
      </c>
      <c r="C164" t="s">
        <v>4077</v>
      </c>
      <c r="D164" t="s">
        <v>2000</v>
      </c>
      <c r="E164" t="s">
        <v>67</v>
      </c>
      <c r="F164" t="s">
        <v>68</v>
      </c>
      <c r="G164" t="s">
        <v>3845</v>
      </c>
      <c r="H164" t="s">
        <v>3846</v>
      </c>
      <c r="I164" t="s">
        <v>2001</v>
      </c>
      <c r="J164" t="s">
        <v>328</v>
      </c>
      <c r="K164" t="s">
        <v>329</v>
      </c>
      <c r="L164" t="s">
        <v>5329</v>
      </c>
      <c r="M164" t="s">
        <v>5438</v>
      </c>
      <c r="R164" t="s">
        <v>2414</v>
      </c>
      <c r="S164" t="s">
        <v>2415</v>
      </c>
      <c r="T164">
        <v>3</v>
      </c>
      <c r="U164" t="s">
        <v>73</v>
      </c>
      <c r="V164" t="s">
        <v>73</v>
      </c>
      <c r="X164" t="s">
        <v>2440</v>
      </c>
      <c r="Y164" t="s">
        <v>2441</v>
      </c>
      <c r="Z164">
        <v>2</v>
      </c>
      <c r="AF164">
        <v>522.40960178013597</v>
      </c>
      <c r="AG164">
        <v>7.8888888888888999</v>
      </c>
      <c r="AH164">
        <v>8</v>
      </c>
      <c r="AI164">
        <v>219</v>
      </c>
      <c r="AJ164">
        <v>196.85017481743441</v>
      </c>
      <c r="AK164">
        <v>790.48888888889007</v>
      </c>
      <c r="AM164">
        <v>247.59024474440815</v>
      </c>
      <c r="AN164">
        <v>112</v>
      </c>
      <c r="AO164" t="s">
        <v>5611</v>
      </c>
      <c r="AP164" t="s">
        <v>2000</v>
      </c>
    </row>
    <row r="165" spans="1:42" x14ac:dyDescent="0.25">
      <c r="A165">
        <v>164</v>
      </c>
      <c r="B165" t="s">
        <v>475</v>
      </c>
      <c r="C165" t="s">
        <v>475</v>
      </c>
      <c r="D165" t="s">
        <v>3344</v>
      </c>
      <c r="E165" t="s">
        <v>91</v>
      </c>
      <c r="F165" t="s">
        <v>92</v>
      </c>
      <c r="G165" t="s">
        <v>93</v>
      </c>
      <c r="H165" t="s">
        <v>94</v>
      </c>
      <c r="I165" t="s">
        <v>476</v>
      </c>
      <c r="J165" t="s">
        <v>3067</v>
      </c>
      <c r="K165" t="s">
        <v>3066</v>
      </c>
      <c r="L165" t="s">
        <v>4494</v>
      </c>
      <c r="M165" t="s">
        <v>4495</v>
      </c>
      <c r="O165" t="s">
        <v>2809</v>
      </c>
      <c r="P165" t="s">
        <v>2808</v>
      </c>
      <c r="Q165">
        <v>14</v>
      </c>
      <c r="R165" t="s">
        <v>2409</v>
      </c>
      <c r="S165" t="s">
        <v>2410</v>
      </c>
      <c r="T165">
        <v>2</v>
      </c>
      <c r="U165" t="s">
        <v>2430</v>
      </c>
      <c r="V165" t="s">
        <v>2431</v>
      </c>
      <c r="W165">
        <v>6</v>
      </c>
      <c r="X165" t="s">
        <v>2440</v>
      </c>
      <c r="Y165" t="s">
        <v>2441</v>
      </c>
      <c r="Z165">
        <v>2</v>
      </c>
      <c r="AA165" t="s">
        <v>73</v>
      </c>
      <c r="AB165" t="s">
        <v>73</v>
      </c>
      <c r="AC165" t="s">
        <v>2814</v>
      </c>
      <c r="AD165" t="s">
        <v>2815</v>
      </c>
      <c r="AF165">
        <v>522.20332040396534</v>
      </c>
      <c r="AG165">
        <v>7.7249999999999996</v>
      </c>
      <c r="AH165">
        <v>39</v>
      </c>
      <c r="AI165">
        <v>209</v>
      </c>
      <c r="AJ165">
        <v>202.28146711551705</v>
      </c>
      <c r="AK165">
        <v>780.3</v>
      </c>
      <c r="AM165">
        <v>227.19405396172385</v>
      </c>
      <c r="AN165">
        <v>224</v>
      </c>
      <c r="AO165" t="s">
        <v>5612</v>
      </c>
      <c r="AP165" t="s">
        <v>3344</v>
      </c>
    </row>
    <row r="166" spans="1:42" x14ac:dyDescent="0.25">
      <c r="A166">
        <v>165</v>
      </c>
      <c r="B166" t="s">
        <v>2277</v>
      </c>
      <c r="C166" t="s">
        <v>2277</v>
      </c>
      <c r="D166" t="s">
        <v>3879</v>
      </c>
      <c r="E166" t="s">
        <v>2278</v>
      </c>
      <c r="F166" t="s">
        <v>2278</v>
      </c>
      <c r="G166" t="s">
        <v>158</v>
      </c>
      <c r="H166" t="s">
        <v>159</v>
      </c>
      <c r="R166" t="s">
        <v>2406</v>
      </c>
      <c r="S166" t="s">
        <v>2407</v>
      </c>
      <c r="T166">
        <v>1</v>
      </c>
      <c r="U166" t="s">
        <v>2432</v>
      </c>
      <c r="V166" t="s">
        <v>2433</v>
      </c>
      <c r="W166">
        <v>7</v>
      </c>
      <c r="X166" t="s">
        <v>2437</v>
      </c>
      <c r="Y166" t="s">
        <v>2438</v>
      </c>
      <c r="Z166">
        <v>1</v>
      </c>
      <c r="AA166" t="s">
        <v>73</v>
      </c>
      <c r="AB166" t="s">
        <v>73</v>
      </c>
      <c r="AF166">
        <v>520.57043755555128</v>
      </c>
      <c r="AG166">
        <v>6.9444444444444002</v>
      </c>
      <c r="AH166">
        <v>89</v>
      </c>
      <c r="AI166">
        <v>155</v>
      </c>
      <c r="AJ166">
        <v>238.27579481481249</v>
      </c>
      <c r="AK166">
        <v>712.24444444443998</v>
      </c>
      <c r="AM166">
        <v>221.58611274073749</v>
      </c>
      <c r="AN166">
        <v>448</v>
      </c>
      <c r="AO166" t="s">
        <v>5613</v>
      </c>
      <c r="AP166" t="s">
        <v>3879</v>
      </c>
    </row>
    <row r="167" spans="1:42" x14ac:dyDescent="0.25">
      <c r="A167">
        <v>166</v>
      </c>
      <c r="B167" t="s">
        <v>1287</v>
      </c>
      <c r="C167" t="s">
        <v>1287</v>
      </c>
      <c r="D167" t="s">
        <v>1288</v>
      </c>
      <c r="E167" t="s">
        <v>218</v>
      </c>
      <c r="F167" t="s">
        <v>219</v>
      </c>
      <c r="G167" t="s">
        <v>69</v>
      </c>
      <c r="H167" t="s">
        <v>70</v>
      </c>
      <c r="I167" t="s">
        <v>892</v>
      </c>
      <c r="J167" t="s">
        <v>251</v>
      </c>
      <c r="K167" t="s">
        <v>252</v>
      </c>
      <c r="L167" t="s">
        <v>4908</v>
      </c>
      <c r="M167" t="s">
        <v>4909</v>
      </c>
      <c r="R167" t="s">
        <v>73</v>
      </c>
      <c r="S167" t="s">
        <v>73</v>
      </c>
      <c r="U167" t="s">
        <v>73</v>
      </c>
      <c r="V167" t="s">
        <v>73</v>
      </c>
      <c r="X167" t="s">
        <v>2440</v>
      </c>
      <c r="Y167" t="s">
        <v>2441</v>
      </c>
      <c r="Z167">
        <v>2</v>
      </c>
      <c r="AA167" t="s">
        <v>73</v>
      </c>
      <c r="AB167" t="s">
        <v>73</v>
      </c>
      <c r="AF167">
        <v>520.35219406994395</v>
      </c>
      <c r="AG167">
        <v>7.9268292682926997</v>
      </c>
      <c r="AH167">
        <v>40</v>
      </c>
      <c r="AI167">
        <v>242</v>
      </c>
      <c r="AJ167">
        <v>188.90081183923218</v>
      </c>
      <c r="AK167">
        <v>800.68292682926995</v>
      </c>
      <c r="AM167">
        <v>208.46113657492504</v>
      </c>
      <c r="AN167">
        <v>224</v>
      </c>
      <c r="AO167" t="s">
        <v>5614</v>
      </c>
      <c r="AP167" t="s">
        <v>1288</v>
      </c>
    </row>
    <row r="168" spans="1:42" x14ac:dyDescent="0.25">
      <c r="A168">
        <v>167</v>
      </c>
      <c r="B168" t="s">
        <v>2174</v>
      </c>
      <c r="C168" t="s">
        <v>2174</v>
      </c>
      <c r="D168" t="s">
        <v>2175</v>
      </c>
      <c r="E168" t="s">
        <v>282</v>
      </c>
      <c r="F168" t="s">
        <v>283</v>
      </c>
      <c r="G168" t="s">
        <v>3167</v>
      </c>
      <c r="H168" t="s">
        <v>3166</v>
      </c>
      <c r="I168" t="s">
        <v>2176</v>
      </c>
      <c r="J168" t="s">
        <v>375</v>
      </c>
      <c r="K168" t="s">
        <v>376</v>
      </c>
      <c r="O168" t="s">
        <v>2651</v>
      </c>
      <c r="P168" t="s">
        <v>2651</v>
      </c>
      <c r="Q168">
        <v>15</v>
      </c>
      <c r="R168" t="s">
        <v>2414</v>
      </c>
      <c r="S168" t="s">
        <v>2415</v>
      </c>
      <c r="T168">
        <v>3</v>
      </c>
      <c r="U168" t="s">
        <v>2430</v>
      </c>
      <c r="V168" t="s">
        <v>2431</v>
      </c>
      <c r="W168">
        <v>6</v>
      </c>
      <c r="X168" t="s">
        <v>2437</v>
      </c>
      <c r="Y168" t="s">
        <v>2438</v>
      </c>
      <c r="Z168">
        <v>1</v>
      </c>
      <c r="AA168" t="s">
        <v>2177</v>
      </c>
      <c r="AB168" t="s">
        <v>2177</v>
      </c>
      <c r="AC168" t="s">
        <v>2178</v>
      </c>
      <c r="AD168" t="s">
        <v>2178</v>
      </c>
      <c r="AF168">
        <v>519.16378168580241</v>
      </c>
      <c r="AG168">
        <v>7.2051282051282</v>
      </c>
      <c r="AH168">
        <v>77</v>
      </c>
      <c r="AI168">
        <v>176</v>
      </c>
      <c r="AJ168">
        <v>223.56374603265823</v>
      </c>
      <c r="AK168">
        <v>735.91282051281996</v>
      </c>
      <c r="AM168">
        <v>256.98924444572151</v>
      </c>
      <c r="AN168">
        <v>224</v>
      </c>
      <c r="AO168" t="s">
        <v>5615</v>
      </c>
      <c r="AP168" t="s">
        <v>2175</v>
      </c>
    </row>
    <row r="169" spans="1:42" x14ac:dyDescent="0.25">
      <c r="A169">
        <v>168</v>
      </c>
      <c r="B169" t="s">
        <v>349</v>
      </c>
      <c r="C169" t="s">
        <v>349</v>
      </c>
      <c r="D169" t="s">
        <v>350</v>
      </c>
      <c r="E169" t="s">
        <v>318</v>
      </c>
      <c r="F169" t="s">
        <v>319</v>
      </c>
      <c r="G169" t="s">
        <v>75</v>
      </c>
      <c r="H169" t="s">
        <v>76</v>
      </c>
      <c r="Q169">
        <v>10</v>
      </c>
      <c r="R169" t="s">
        <v>73</v>
      </c>
      <c r="S169" t="s">
        <v>73</v>
      </c>
      <c r="U169" t="s">
        <v>73</v>
      </c>
      <c r="V169" t="s">
        <v>73</v>
      </c>
      <c r="X169" t="s">
        <v>2446</v>
      </c>
      <c r="Y169" t="s">
        <v>2447</v>
      </c>
      <c r="Z169">
        <v>4</v>
      </c>
      <c r="AA169" t="s">
        <v>73</v>
      </c>
      <c r="AB169" t="s">
        <v>73</v>
      </c>
      <c r="AF169">
        <v>518.91287288298076</v>
      </c>
      <c r="AG169">
        <v>5.9</v>
      </c>
      <c r="AH169">
        <v>9</v>
      </c>
      <c r="AI169">
        <v>99</v>
      </c>
      <c r="AJ169">
        <v>303.34763653664533</v>
      </c>
      <c r="AK169">
        <v>591.79999999999995</v>
      </c>
      <c r="AM169">
        <v>340.68669115130342</v>
      </c>
      <c r="AN169">
        <v>336</v>
      </c>
      <c r="AO169" t="s">
        <v>5616</v>
      </c>
      <c r="AP169" t="s">
        <v>350</v>
      </c>
    </row>
    <row r="170" spans="1:42" x14ac:dyDescent="0.25">
      <c r="A170">
        <v>169</v>
      </c>
      <c r="B170" t="s">
        <v>748</v>
      </c>
      <c r="C170" t="s">
        <v>748</v>
      </c>
      <c r="D170" t="s">
        <v>749</v>
      </c>
      <c r="E170" t="s">
        <v>282</v>
      </c>
      <c r="F170" t="s">
        <v>283</v>
      </c>
      <c r="G170" t="s">
        <v>3167</v>
      </c>
      <c r="H170" t="s">
        <v>3166</v>
      </c>
      <c r="I170" t="s">
        <v>750</v>
      </c>
      <c r="J170" t="s">
        <v>368</v>
      </c>
      <c r="K170" t="s">
        <v>369</v>
      </c>
      <c r="Q170">
        <v>12</v>
      </c>
      <c r="R170" t="s">
        <v>2406</v>
      </c>
      <c r="S170" t="s">
        <v>2407</v>
      </c>
      <c r="T170">
        <v>1</v>
      </c>
      <c r="U170" t="s">
        <v>2426</v>
      </c>
      <c r="V170" t="s">
        <v>2427</v>
      </c>
      <c r="W170">
        <v>2</v>
      </c>
      <c r="X170" t="s">
        <v>2443</v>
      </c>
      <c r="Y170" t="s">
        <v>2444</v>
      </c>
      <c r="Z170">
        <v>3</v>
      </c>
      <c r="AA170" t="s">
        <v>73</v>
      </c>
      <c r="AB170" t="s">
        <v>73</v>
      </c>
      <c r="AC170" t="s">
        <v>751</v>
      </c>
      <c r="AD170" t="s">
        <v>751</v>
      </c>
      <c r="AF170">
        <v>518.22004049408429</v>
      </c>
      <c r="AG170">
        <v>7.4893617021276997</v>
      </c>
      <c r="AH170">
        <v>46</v>
      </c>
      <c r="AI170">
        <v>198</v>
      </c>
      <c r="AJ170">
        <v>210.16883931966578</v>
      </c>
      <c r="AK170">
        <v>758.13617021277003</v>
      </c>
      <c r="AM170">
        <v>238.23637504753208</v>
      </c>
      <c r="AN170">
        <v>224</v>
      </c>
      <c r="AO170" t="s">
        <v>5617</v>
      </c>
      <c r="AP170" t="s">
        <v>749</v>
      </c>
    </row>
    <row r="171" spans="1:42" x14ac:dyDescent="0.25">
      <c r="A171">
        <v>170</v>
      </c>
      <c r="B171" t="s">
        <v>669</v>
      </c>
      <c r="C171" t="s">
        <v>4143</v>
      </c>
      <c r="D171" t="s">
        <v>3872</v>
      </c>
      <c r="E171" t="s">
        <v>137</v>
      </c>
      <c r="F171" t="s">
        <v>138</v>
      </c>
      <c r="G171" t="s">
        <v>139</v>
      </c>
      <c r="H171" t="s">
        <v>140</v>
      </c>
      <c r="I171" t="s">
        <v>670</v>
      </c>
      <c r="J171" t="s">
        <v>651</v>
      </c>
      <c r="K171" t="s">
        <v>652</v>
      </c>
      <c r="L171" t="s">
        <v>4642</v>
      </c>
      <c r="M171" t="s">
        <v>4643</v>
      </c>
      <c r="R171" t="s">
        <v>73</v>
      </c>
      <c r="S171" t="s">
        <v>73</v>
      </c>
      <c r="U171" t="s">
        <v>73</v>
      </c>
      <c r="V171" t="s">
        <v>73</v>
      </c>
      <c r="X171" t="s">
        <v>73</v>
      </c>
      <c r="Y171" t="s">
        <v>73</v>
      </c>
      <c r="AA171" t="s">
        <v>73</v>
      </c>
      <c r="AB171" t="s">
        <v>73</v>
      </c>
      <c r="AF171">
        <v>518.0352662501125</v>
      </c>
      <c r="AG171">
        <v>7.6818181818182003</v>
      </c>
      <c r="AH171">
        <v>21</v>
      </c>
      <c r="AI171">
        <v>211</v>
      </c>
      <c r="AJ171">
        <v>202.04928573244723</v>
      </c>
      <c r="AK171">
        <v>772.38181818182011</v>
      </c>
      <c r="AM171">
        <v>282.86900002542609</v>
      </c>
      <c r="AN171">
        <v>0</v>
      </c>
      <c r="AO171" t="s">
        <v>5618</v>
      </c>
      <c r="AP171" t="s">
        <v>3872</v>
      </c>
    </row>
    <row r="172" spans="1:42" x14ac:dyDescent="0.25">
      <c r="A172">
        <v>171</v>
      </c>
      <c r="B172" t="s">
        <v>1089</v>
      </c>
      <c r="C172" t="s">
        <v>1089</v>
      </c>
      <c r="D172" t="s">
        <v>1090</v>
      </c>
      <c r="E172" t="s">
        <v>137</v>
      </c>
      <c r="F172" t="s">
        <v>138</v>
      </c>
      <c r="G172" t="s">
        <v>139</v>
      </c>
      <c r="H172" t="s">
        <v>140</v>
      </c>
      <c r="I172" t="s">
        <v>4706</v>
      </c>
      <c r="J172" t="s">
        <v>651</v>
      </c>
      <c r="K172" t="s">
        <v>652</v>
      </c>
      <c r="L172" t="s">
        <v>4707</v>
      </c>
      <c r="M172" t="s">
        <v>4708</v>
      </c>
      <c r="O172" t="s">
        <v>1091</v>
      </c>
      <c r="P172" t="s">
        <v>1092</v>
      </c>
      <c r="R172" t="s">
        <v>2414</v>
      </c>
      <c r="S172" t="s">
        <v>2415</v>
      </c>
      <c r="T172">
        <v>3</v>
      </c>
      <c r="U172" t="s">
        <v>73</v>
      </c>
      <c r="V172" t="s">
        <v>73</v>
      </c>
      <c r="X172" t="s">
        <v>73</v>
      </c>
      <c r="Y172" t="s">
        <v>73</v>
      </c>
      <c r="AA172" t="s">
        <v>73</v>
      </c>
      <c r="AB172" t="s">
        <v>73</v>
      </c>
      <c r="AF172">
        <v>516.45206932246867</v>
      </c>
      <c r="AG172">
        <v>6.8125</v>
      </c>
      <c r="AH172">
        <v>15</v>
      </c>
      <c r="AI172">
        <v>143</v>
      </c>
      <c r="AJ172">
        <v>249.25229924718738</v>
      </c>
      <c r="AK172">
        <v>684.25</v>
      </c>
      <c r="AM172">
        <v>348.95321894606229</v>
      </c>
      <c r="AN172">
        <v>0</v>
      </c>
      <c r="AO172" t="s">
        <v>5619</v>
      </c>
      <c r="AP172" t="s">
        <v>1090</v>
      </c>
    </row>
    <row r="173" spans="1:42" x14ac:dyDescent="0.25">
      <c r="A173">
        <v>172</v>
      </c>
      <c r="B173" t="s">
        <v>2740</v>
      </c>
      <c r="C173" t="s">
        <v>2740</v>
      </c>
      <c r="D173" t="s">
        <v>1584</v>
      </c>
      <c r="E173" t="s">
        <v>67</v>
      </c>
      <c r="F173" t="s">
        <v>68</v>
      </c>
      <c r="G173" t="s">
        <v>69</v>
      </c>
      <c r="H173" t="s">
        <v>70</v>
      </c>
      <c r="I173" t="s">
        <v>1585</v>
      </c>
      <c r="J173" t="s">
        <v>398</v>
      </c>
      <c r="K173" t="s">
        <v>399</v>
      </c>
      <c r="L173" t="s">
        <v>5330</v>
      </c>
      <c r="M173" t="s">
        <v>5331</v>
      </c>
      <c r="O173" t="s">
        <v>439</v>
      </c>
      <c r="P173" t="s">
        <v>440</v>
      </c>
      <c r="R173" t="s">
        <v>73</v>
      </c>
      <c r="S173" t="s">
        <v>73</v>
      </c>
      <c r="U173" t="s">
        <v>73</v>
      </c>
      <c r="V173" t="s">
        <v>73</v>
      </c>
      <c r="X173" t="s">
        <v>2440</v>
      </c>
      <c r="Y173" t="s">
        <v>2441</v>
      </c>
      <c r="Z173">
        <v>2</v>
      </c>
      <c r="AA173" t="s">
        <v>73</v>
      </c>
      <c r="AB173" t="s">
        <v>73</v>
      </c>
      <c r="AF173">
        <v>515.3331596350356</v>
      </c>
      <c r="AG173">
        <v>5.4210526315788998</v>
      </c>
      <c r="AH173">
        <v>18</v>
      </c>
      <c r="AI173">
        <v>88</v>
      </c>
      <c r="AJ173">
        <v>324.97836450676732</v>
      </c>
      <c r="AK173">
        <v>545.70526315789004</v>
      </c>
      <c r="AM173">
        <v>426.96971030947424</v>
      </c>
      <c r="AN173">
        <v>112</v>
      </c>
      <c r="AO173" t="s">
        <v>5620</v>
      </c>
      <c r="AP173" t="s">
        <v>1584</v>
      </c>
    </row>
    <row r="174" spans="1:42" x14ac:dyDescent="0.25">
      <c r="A174">
        <v>173</v>
      </c>
      <c r="B174" t="s">
        <v>1491</v>
      </c>
      <c r="C174" t="s">
        <v>4136</v>
      </c>
      <c r="D174" t="s">
        <v>2685</v>
      </c>
      <c r="E174" t="s">
        <v>471</v>
      </c>
      <c r="F174" t="s">
        <v>472</v>
      </c>
      <c r="G174" t="s">
        <v>93</v>
      </c>
      <c r="H174" t="s">
        <v>94</v>
      </c>
      <c r="I174" t="s">
        <v>3171</v>
      </c>
      <c r="J174" t="s">
        <v>3245</v>
      </c>
      <c r="K174" t="s">
        <v>3170</v>
      </c>
      <c r="L174" t="s">
        <v>4364</v>
      </c>
      <c r="M174" t="s">
        <v>4365</v>
      </c>
      <c r="N174" t="s">
        <v>4363</v>
      </c>
      <c r="O174" t="s">
        <v>2686</v>
      </c>
      <c r="P174" t="s">
        <v>2687</v>
      </c>
      <c r="Q174">
        <v>12</v>
      </c>
      <c r="R174" t="s">
        <v>2406</v>
      </c>
      <c r="S174" t="s">
        <v>2407</v>
      </c>
      <c r="T174">
        <v>1</v>
      </c>
      <c r="U174" t="s">
        <v>2432</v>
      </c>
      <c r="V174" t="s">
        <v>2433</v>
      </c>
      <c r="W174">
        <v>7</v>
      </c>
      <c r="X174" t="s">
        <v>2437</v>
      </c>
      <c r="Y174" t="s">
        <v>2438</v>
      </c>
      <c r="Z174">
        <v>1</v>
      </c>
      <c r="AA174" t="s">
        <v>73</v>
      </c>
      <c r="AB174" t="s">
        <v>73</v>
      </c>
      <c r="AE174" t="s">
        <v>1492</v>
      </c>
      <c r="AF174">
        <v>515.23717918659986</v>
      </c>
      <c r="AG174">
        <v>7.71875</v>
      </c>
      <c r="AH174">
        <v>63</v>
      </c>
      <c r="AI174">
        <v>233</v>
      </c>
      <c r="AJ174">
        <v>192.22186576288868</v>
      </c>
      <c r="AK174">
        <v>784.47500000000002</v>
      </c>
      <c r="AL174">
        <v>2005</v>
      </c>
      <c r="AM174">
        <v>241.11061206804411</v>
      </c>
      <c r="AN174">
        <v>112</v>
      </c>
      <c r="AO174" t="s">
        <v>5621</v>
      </c>
      <c r="AP174" t="s">
        <v>2685</v>
      </c>
    </row>
    <row r="175" spans="1:42" x14ac:dyDescent="0.25">
      <c r="A175">
        <v>174</v>
      </c>
      <c r="B175" t="s">
        <v>1798</v>
      </c>
      <c r="C175" t="s">
        <v>1798</v>
      </c>
      <c r="D175" t="s">
        <v>1799</v>
      </c>
      <c r="E175" t="s">
        <v>199</v>
      </c>
      <c r="F175" t="s">
        <v>200</v>
      </c>
      <c r="G175" t="s">
        <v>139</v>
      </c>
      <c r="H175" t="s">
        <v>140</v>
      </c>
      <c r="J175" t="s">
        <v>326</v>
      </c>
      <c r="K175" t="s">
        <v>327</v>
      </c>
      <c r="L175" t="s">
        <v>4748</v>
      </c>
      <c r="M175" t="s">
        <v>4749</v>
      </c>
      <c r="R175" t="s">
        <v>73</v>
      </c>
      <c r="S175" t="s">
        <v>73</v>
      </c>
      <c r="U175" t="s">
        <v>73</v>
      </c>
      <c r="V175" t="s">
        <v>73</v>
      </c>
      <c r="X175" t="s">
        <v>73</v>
      </c>
      <c r="Y175" t="s">
        <v>73</v>
      </c>
      <c r="AA175" t="s">
        <v>73</v>
      </c>
      <c r="AB175" t="s">
        <v>73</v>
      </c>
      <c r="AF175">
        <v>513.52675137071788</v>
      </c>
      <c r="AG175">
        <v>6.4222222222222003</v>
      </c>
      <c r="AH175">
        <v>44</v>
      </c>
      <c r="AI175">
        <v>126</v>
      </c>
      <c r="AJ175">
        <v>264.46182251067546</v>
      </c>
      <c r="AK175">
        <v>651.02222222221997</v>
      </c>
      <c r="AL175">
        <v>2002</v>
      </c>
      <c r="AM175">
        <v>370.24655151494562</v>
      </c>
      <c r="AN175">
        <v>0</v>
      </c>
      <c r="AO175" t="s">
        <v>5622</v>
      </c>
      <c r="AP175" t="s">
        <v>1799</v>
      </c>
    </row>
    <row r="176" spans="1:42" x14ac:dyDescent="0.25">
      <c r="A176">
        <v>175</v>
      </c>
      <c r="B176" t="s">
        <v>2063</v>
      </c>
      <c r="C176" t="s">
        <v>2063</v>
      </c>
      <c r="D176" t="s">
        <v>2064</v>
      </c>
      <c r="E176" t="s">
        <v>67</v>
      </c>
      <c r="F176" t="s">
        <v>68</v>
      </c>
      <c r="G176" t="s">
        <v>3845</v>
      </c>
      <c r="H176" t="s">
        <v>3846</v>
      </c>
      <c r="I176" t="s">
        <v>2065</v>
      </c>
      <c r="J176" t="s">
        <v>328</v>
      </c>
      <c r="K176" t="s">
        <v>329</v>
      </c>
      <c r="L176" t="s">
        <v>4423</v>
      </c>
      <c r="M176" t="s">
        <v>4424</v>
      </c>
      <c r="O176" t="s">
        <v>2642</v>
      </c>
      <c r="P176" t="s">
        <v>2643</v>
      </c>
      <c r="Q176">
        <v>15</v>
      </c>
      <c r="R176" t="s">
        <v>2420</v>
      </c>
      <c r="S176" t="s">
        <v>2421</v>
      </c>
      <c r="T176">
        <v>5</v>
      </c>
      <c r="U176" t="s">
        <v>3137</v>
      </c>
      <c r="V176" t="s">
        <v>3136</v>
      </c>
      <c r="W176">
        <v>5</v>
      </c>
      <c r="X176" t="s">
        <v>2437</v>
      </c>
      <c r="Y176" t="s">
        <v>2438</v>
      </c>
      <c r="Z176">
        <v>1</v>
      </c>
      <c r="AA176" t="s">
        <v>73</v>
      </c>
      <c r="AB176" t="s">
        <v>73</v>
      </c>
      <c r="AC176" t="s">
        <v>2066</v>
      </c>
      <c r="AD176" t="s">
        <v>2066</v>
      </c>
      <c r="AE176" t="s">
        <v>2067</v>
      </c>
      <c r="AF176">
        <v>512.93110266813778</v>
      </c>
      <c r="AG176">
        <v>7.1086956521738998</v>
      </c>
      <c r="AH176">
        <v>45</v>
      </c>
      <c r="AI176">
        <v>173</v>
      </c>
      <c r="AJ176">
        <v>225.55146673271412</v>
      </c>
      <c r="AK176">
        <v>719.86956521739</v>
      </c>
      <c r="AL176">
        <v>1997</v>
      </c>
      <c r="AM176">
        <v>287.77205342579975</v>
      </c>
      <c r="AN176">
        <v>112</v>
      </c>
      <c r="AO176" t="s">
        <v>5623</v>
      </c>
      <c r="AP176" t="s">
        <v>2064</v>
      </c>
    </row>
    <row r="177" spans="1:42" x14ac:dyDescent="0.25">
      <c r="A177">
        <v>176</v>
      </c>
      <c r="B177" t="s">
        <v>2112</v>
      </c>
      <c r="C177" t="s">
        <v>2112</v>
      </c>
      <c r="D177" t="s">
        <v>2113</v>
      </c>
      <c r="E177" t="s">
        <v>149</v>
      </c>
      <c r="F177" t="s">
        <v>150</v>
      </c>
      <c r="G177" t="s">
        <v>151</v>
      </c>
      <c r="H177" t="s">
        <v>152</v>
      </c>
      <c r="I177" t="s">
        <v>2113</v>
      </c>
      <c r="J177" t="s">
        <v>2114</v>
      </c>
      <c r="K177" t="s">
        <v>2115</v>
      </c>
      <c r="R177" t="s">
        <v>73</v>
      </c>
      <c r="S177" t="s">
        <v>73</v>
      </c>
      <c r="U177" t="s">
        <v>73</v>
      </c>
      <c r="V177" t="s">
        <v>73</v>
      </c>
      <c r="X177" t="s">
        <v>73</v>
      </c>
      <c r="Y177" t="s">
        <v>73</v>
      </c>
      <c r="AE177" t="s">
        <v>2116</v>
      </c>
      <c r="AF177">
        <v>512.81136738628174</v>
      </c>
      <c r="AG177">
        <v>7.4074074074074003</v>
      </c>
      <c r="AH177">
        <v>26</v>
      </c>
      <c r="AI177">
        <v>195</v>
      </c>
      <c r="AJ177">
        <v>210.93444112879078</v>
      </c>
      <c r="AK177">
        <v>745.94074074074013</v>
      </c>
      <c r="AM177">
        <v>183.30821758030706</v>
      </c>
      <c r="AN177">
        <v>448</v>
      </c>
      <c r="AO177" t="s">
        <v>5624</v>
      </c>
      <c r="AP177" t="s">
        <v>2113</v>
      </c>
    </row>
    <row r="178" spans="1:42" x14ac:dyDescent="0.25">
      <c r="A178">
        <v>177</v>
      </c>
      <c r="B178" t="s">
        <v>2141</v>
      </c>
      <c r="C178" t="s">
        <v>2141</v>
      </c>
      <c r="D178" t="s">
        <v>4882</v>
      </c>
      <c r="E178" t="s">
        <v>630</v>
      </c>
      <c r="F178" t="s">
        <v>631</v>
      </c>
      <c r="G178" t="s">
        <v>60</v>
      </c>
      <c r="H178" t="s">
        <v>61</v>
      </c>
      <c r="I178" t="s">
        <v>4883</v>
      </c>
      <c r="R178" t="s">
        <v>73</v>
      </c>
      <c r="S178" t="s">
        <v>73</v>
      </c>
      <c r="U178" t="s">
        <v>73</v>
      </c>
      <c r="V178" t="s">
        <v>73</v>
      </c>
      <c r="X178" t="s">
        <v>73</v>
      </c>
      <c r="Y178" t="s">
        <v>73</v>
      </c>
      <c r="AA178" t="s">
        <v>73</v>
      </c>
      <c r="AB178" t="s">
        <v>73</v>
      </c>
      <c r="AF178">
        <v>512.7902955377582</v>
      </c>
      <c r="AG178">
        <v>8</v>
      </c>
      <c r="AH178">
        <v>16</v>
      </c>
      <c r="AI178">
        <v>273</v>
      </c>
      <c r="AJ178">
        <v>179.10032837528689</v>
      </c>
      <c r="AK178">
        <v>803.2</v>
      </c>
      <c r="AM178">
        <v>138.74045972540165</v>
      </c>
      <c r="AN178">
        <v>448</v>
      </c>
      <c r="AO178" t="s">
        <v>5625</v>
      </c>
      <c r="AP178" t="s">
        <v>4882</v>
      </c>
    </row>
    <row r="179" spans="1:42" x14ac:dyDescent="0.25">
      <c r="A179">
        <v>178</v>
      </c>
      <c r="B179" t="s">
        <v>1004</v>
      </c>
      <c r="C179" t="s">
        <v>1004</v>
      </c>
      <c r="D179" t="s">
        <v>1005</v>
      </c>
      <c r="E179" t="s">
        <v>630</v>
      </c>
      <c r="F179" t="s">
        <v>631</v>
      </c>
      <c r="G179" t="s">
        <v>60</v>
      </c>
      <c r="H179" t="s">
        <v>61</v>
      </c>
      <c r="R179" t="s">
        <v>73</v>
      </c>
      <c r="S179" t="s">
        <v>73</v>
      </c>
      <c r="U179" t="s">
        <v>73</v>
      </c>
      <c r="V179" t="s">
        <v>73</v>
      </c>
      <c r="X179" t="s">
        <v>73</v>
      </c>
      <c r="Y179" t="s">
        <v>73</v>
      </c>
      <c r="AA179" t="s">
        <v>73</v>
      </c>
      <c r="AB179" t="s">
        <v>73</v>
      </c>
      <c r="AF179">
        <v>512.47033869080747</v>
      </c>
      <c r="AG179">
        <v>8.35</v>
      </c>
      <c r="AH179">
        <v>19</v>
      </c>
      <c r="AI179">
        <v>331</v>
      </c>
      <c r="AJ179">
        <v>158.96704298978605</v>
      </c>
      <c r="AK179">
        <v>838.8</v>
      </c>
      <c r="AM179">
        <v>110.55386018570046</v>
      </c>
      <c r="AN179">
        <v>448</v>
      </c>
      <c r="AO179" t="s">
        <v>5626</v>
      </c>
      <c r="AP179" t="s">
        <v>1005</v>
      </c>
    </row>
    <row r="180" spans="1:42" x14ac:dyDescent="0.25">
      <c r="A180">
        <v>179</v>
      </c>
      <c r="B180" t="s">
        <v>2802</v>
      </c>
      <c r="C180" t="s">
        <v>2802</v>
      </c>
      <c r="D180" t="s">
        <v>2801</v>
      </c>
      <c r="E180" t="s">
        <v>91</v>
      </c>
      <c r="F180" t="s">
        <v>92</v>
      </c>
      <c r="G180" t="s">
        <v>93</v>
      </c>
      <c r="H180" t="s">
        <v>94</v>
      </c>
      <c r="I180" t="s">
        <v>2803</v>
      </c>
      <c r="J180" t="s">
        <v>3068</v>
      </c>
      <c r="K180" t="s">
        <v>3062</v>
      </c>
      <c r="L180" t="s">
        <v>4506</v>
      </c>
      <c r="M180" t="s">
        <v>4507</v>
      </c>
      <c r="O180" t="s">
        <v>2805</v>
      </c>
      <c r="P180" t="s">
        <v>2804</v>
      </c>
      <c r="Q180">
        <v>13</v>
      </c>
      <c r="R180" t="s">
        <v>2406</v>
      </c>
      <c r="S180" t="s">
        <v>2407</v>
      </c>
      <c r="T180">
        <v>1</v>
      </c>
      <c r="U180" t="s">
        <v>2432</v>
      </c>
      <c r="V180" t="s">
        <v>2433</v>
      </c>
      <c r="W180">
        <v>7</v>
      </c>
      <c r="X180" t="s">
        <v>2446</v>
      </c>
      <c r="Y180" t="s">
        <v>2447</v>
      </c>
      <c r="Z180">
        <v>4</v>
      </c>
      <c r="AA180" t="s">
        <v>73</v>
      </c>
      <c r="AB180" t="s">
        <v>73</v>
      </c>
      <c r="AC180" t="s">
        <v>2806</v>
      </c>
      <c r="AD180" t="s">
        <v>2806</v>
      </c>
      <c r="AF180">
        <v>512.19518446962456</v>
      </c>
      <c r="AG180">
        <v>7.7666666666667004</v>
      </c>
      <c r="AH180">
        <v>29</v>
      </c>
      <c r="AI180">
        <v>240</v>
      </c>
      <c r="AJ180">
        <v>189.95761237365511</v>
      </c>
      <c r="AK180">
        <v>782.46666666666999</v>
      </c>
      <c r="AM180">
        <v>209.94065732311714</v>
      </c>
      <c r="AN180">
        <v>224</v>
      </c>
      <c r="AO180" t="s">
        <v>5627</v>
      </c>
      <c r="AP180" t="s">
        <v>2801</v>
      </c>
    </row>
    <row r="181" spans="1:42" x14ac:dyDescent="0.25">
      <c r="A181">
        <v>180</v>
      </c>
      <c r="B181" t="s">
        <v>1298</v>
      </c>
      <c r="C181" t="s">
        <v>1298</v>
      </c>
      <c r="D181" t="s">
        <v>1299</v>
      </c>
      <c r="E181" t="s">
        <v>137</v>
      </c>
      <c r="F181" t="s">
        <v>138</v>
      </c>
      <c r="G181" t="s">
        <v>139</v>
      </c>
      <c r="H181" t="s">
        <v>140</v>
      </c>
      <c r="I181" t="s">
        <v>4124</v>
      </c>
      <c r="J181" t="s">
        <v>426</v>
      </c>
      <c r="K181" t="s">
        <v>427</v>
      </c>
      <c r="L181" t="s">
        <v>4688</v>
      </c>
      <c r="M181" t="s">
        <v>4689</v>
      </c>
      <c r="Q181">
        <v>13</v>
      </c>
      <c r="R181" t="s">
        <v>2406</v>
      </c>
      <c r="S181" t="s">
        <v>2407</v>
      </c>
      <c r="T181">
        <v>1</v>
      </c>
      <c r="U181" t="s">
        <v>2430</v>
      </c>
      <c r="V181" t="s">
        <v>2431</v>
      </c>
      <c r="W181">
        <v>6</v>
      </c>
      <c r="X181" t="s">
        <v>2443</v>
      </c>
      <c r="Y181" t="s">
        <v>2444</v>
      </c>
      <c r="Z181">
        <v>3</v>
      </c>
      <c r="AA181" t="s">
        <v>73</v>
      </c>
      <c r="AB181" t="s">
        <v>73</v>
      </c>
      <c r="AF181">
        <v>510.73850271459742</v>
      </c>
      <c r="AG181">
        <v>7.0333333333333004</v>
      </c>
      <c r="AH181">
        <v>59</v>
      </c>
      <c r="AI181">
        <v>172</v>
      </c>
      <c r="AJ181">
        <v>225.7464844977026</v>
      </c>
      <c r="AK181">
        <v>715.13333333333003</v>
      </c>
      <c r="AL181">
        <v>2004</v>
      </c>
      <c r="AM181">
        <v>316.04507829678363</v>
      </c>
      <c r="AN181">
        <v>0</v>
      </c>
      <c r="AO181" t="s">
        <v>5628</v>
      </c>
      <c r="AP181" t="s">
        <v>1299</v>
      </c>
    </row>
    <row r="182" spans="1:42" x14ac:dyDescent="0.25">
      <c r="A182">
        <v>181</v>
      </c>
      <c r="B182" t="s">
        <v>763</v>
      </c>
      <c r="C182" t="s">
        <v>763</v>
      </c>
      <c r="D182" t="s">
        <v>764</v>
      </c>
      <c r="E182" t="s">
        <v>5312</v>
      </c>
      <c r="F182" t="s">
        <v>157</v>
      </c>
      <c r="G182" t="s">
        <v>158</v>
      </c>
      <c r="H182" t="s">
        <v>159</v>
      </c>
      <c r="I182" t="s">
        <v>765</v>
      </c>
      <c r="J182" t="s">
        <v>3090</v>
      </c>
      <c r="K182" t="s">
        <v>3091</v>
      </c>
      <c r="L182" t="s">
        <v>4413</v>
      </c>
      <c r="M182" t="s">
        <v>4414</v>
      </c>
      <c r="N182" t="s">
        <v>4412</v>
      </c>
      <c r="Q182">
        <v>13</v>
      </c>
      <c r="R182" t="s">
        <v>2409</v>
      </c>
      <c r="S182" t="s">
        <v>2410</v>
      </c>
      <c r="T182">
        <v>2</v>
      </c>
      <c r="U182" t="s">
        <v>3137</v>
      </c>
      <c r="V182" t="s">
        <v>3136</v>
      </c>
      <c r="W182">
        <v>5</v>
      </c>
      <c r="X182" t="s">
        <v>2437</v>
      </c>
      <c r="Y182" t="s">
        <v>2438</v>
      </c>
      <c r="Z182">
        <v>1</v>
      </c>
      <c r="AE182" t="s">
        <v>3146</v>
      </c>
      <c r="AF182">
        <v>510.30555918265895</v>
      </c>
      <c r="AG182">
        <v>6.6666666666666998</v>
      </c>
      <c r="AH182">
        <v>59</v>
      </c>
      <c r="AI182">
        <v>147</v>
      </c>
      <c r="AJ182">
        <v>245.63580649924893</v>
      </c>
      <c r="AK182">
        <v>678.46666666666988</v>
      </c>
      <c r="AM182">
        <v>343.89012909894848</v>
      </c>
      <c r="AN182">
        <v>0</v>
      </c>
      <c r="AO182" t="s">
        <v>5629</v>
      </c>
      <c r="AP182" t="s">
        <v>764</v>
      </c>
    </row>
    <row r="183" spans="1:42" x14ac:dyDescent="0.25">
      <c r="A183">
        <v>182</v>
      </c>
      <c r="B183" t="s">
        <v>3416</v>
      </c>
      <c r="C183" t="s">
        <v>3416</v>
      </c>
      <c r="D183" t="s">
        <v>3833</v>
      </c>
      <c r="E183" t="s">
        <v>67</v>
      </c>
      <c r="F183" t="s">
        <v>68</v>
      </c>
      <c r="G183" t="s">
        <v>3843</v>
      </c>
      <c r="H183" t="s">
        <v>3844</v>
      </c>
      <c r="J183" t="s">
        <v>580</v>
      </c>
      <c r="K183" t="s">
        <v>581</v>
      </c>
      <c r="L183" t="s">
        <v>5098</v>
      </c>
      <c r="M183" t="s">
        <v>5099</v>
      </c>
      <c r="Q183">
        <v>12</v>
      </c>
      <c r="R183" t="s">
        <v>2409</v>
      </c>
      <c r="S183" t="s">
        <v>2410</v>
      </c>
      <c r="T183">
        <v>2</v>
      </c>
      <c r="U183" t="s">
        <v>73</v>
      </c>
      <c r="V183" t="s">
        <v>73</v>
      </c>
      <c r="X183" t="s">
        <v>2437</v>
      </c>
      <c r="Y183" t="s">
        <v>2438</v>
      </c>
      <c r="Z183">
        <v>1</v>
      </c>
      <c r="AA183" t="s">
        <v>73</v>
      </c>
      <c r="AB183" t="s">
        <v>73</v>
      </c>
      <c r="AF183">
        <v>510.3012321008822</v>
      </c>
      <c r="AG183">
        <v>7.5454545454544997</v>
      </c>
      <c r="AH183">
        <v>10</v>
      </c>
      <c r="AI183">
        <v>210</v>
      </c>
      <c r="AJ183">
        <v>202.25389425350801</v>
      </c>
      <c r="AK183">
        <v>756.54545454544996</v>
      </c>
      <c r="AM183">
        <v>283.1554519549112</v>
      </c>
      <c r="AN183">
        <v>0</v>
      </c>
      <c r="AO183" t="s">
        <v>5630</v>
      </c>
      <c r="AP183" t="s">
        <v>3833</v>
      </c>
    </row>
    <row r="184" spans="1:42" x14ac:dyDescent="0.25">
      <c r="A184">
        <v>183</v>
      </c>
      <c r="B184" t="s">
        <v>1644</v>
      </c>
      <c r="C184" t="s">
        <v>1644</v>
      </c>
      <c r="D184" t="s">
        <v>2959</v>
      </c>
      <c r="E184" t="s">
        <v>169</v>
      </c>
      <c r="F184" t="s">
        <v>170</v>
      </c>
      <c r="G184" t="s">
        <v>79</v>
      </c>
      <c r="H184" t="s">
        <v>80</v>
      </c>
      <c r="R184" t="s">
        <v>73</v>
      </c>
      <c r="S184" t="s">
        <v>73</v>
      </c>
      <c r="U184" t="s">
        <v>73</v>
      </c>
      <c r="V184" t="s">
        <v>73</v>
      </c>
      <c r="X184" t="s">
        <v>2443</v>
      </c>
      <c r="Y184" t="s">
        <v>2444</v>
      </c>
      <c r="Z184">
        <v>3</v>
      </c>
      <c r="AA184" t="s">
        <v>73</v>
      </c>
      <c r="AB184" t="s">
        <v>73</v>
      </c>
      <c r="AF184">
        <v>509.30460498695788</v>
      </c>
      <c r="AG184">
        <v>8.2727272727273</v>
      </c>
      <c r="AH184">
        <v>10</v>
      </c>
      <c r="AI184">
        <v>322</v>
      </c>
      <c r="AJ184">
        <v>160.74249038954761</v>
      </c>
      <c r="AK184">
        <v>829.27272727272998</v>
      </c>
      <c r="AM184">
        <v>141.03948654536666</v>
      </c>
      <c r="AN184">
        <v>336</v>
      </c>
      <c r="AO184" t="s">
        <v>5631</v>
      </c>
      <c r="AP184" t="s">
        <v>2959</v>
      </c>
    </row>
    <row r="185" spans="1:42" x14ac:dyDescent="0.25">
      <c r="A185">
        <v>184</v>
      </c>
      <c r="B185" t="s">
        <v>2909</v>
      </c>
      <c r="C185" t="s">
        <v>4083</v>
      </c>
      <c r="D185" t="s">
        <v>2009</v>
      </c>
      <c r="E185" t="s">
        <v>229</v>
      </c>
      <c r="F185" t="s">
        <v>229</v>
      </c>
      <c r="G185" t="s">
        <v>69</v>
      </c>
      <c r="H185" t="s">
        <v>70</v>
      </c>
      <c r="I185" t="s">
        <v>488</v>
      </c>
      <c r="L185">
        <v>38.713888888888903</v>
      </c>
      <c r="M185">
        <v>-9.1333333333333293</v>
      </c>
      <c r="N185" t="s">
        <v>4226</v>
      </c>
      <c r="R185" t="s">
        <v>73</v>
      </c>
      <c r="S185" t="s">
        <v>73</v>
      </c>
      <c r="U185" t="s">
        <v>73</v>
      </c>
      <c r="V185" t="s">
        <v>73</v>
      </c>
      <c r="X185" t="s">
        <v>73</v>
      </c>
      <c r="Y185" t="s">
        <v>73</v>
      </c>
      <c r="AA185" t="s">
        <v>73</v>
      </c>
      <c r="AB185" t="s">
        <v>73</v>
      </c>
      <c r="AF185">
        <v>509.18025407711798</v>
      </c>
      <c r="AG185">
        <v>7.2156862745097996</v>
      </c>
      <c r="AH185">
        <v>50</v>
      </c>
      <c r="AI185">
        <v>190</v>
      </c>
      <c r="AJ185">
        <v>214.88437816847551</v>
      </c>
      <c r="AK185">
        <v>731.56862745097999</v>
      </c>
      <c r="AM185">
        <v>188.83812943586571</v>
      </c>
      <c r="AN185">
        <v>448</v>
      </c>
      <c r="AO185" t="s">
        <v>5632</v>
      </c>
      <c r="AP185" t="s">
        <v>2009</v>
      </c>
    </row>
    <row r="186" spans="1:42" x14ac:dyDescent="0.25">
      <c r="A186">
        <v>185</v>
      </c>
      <c r="B186" t="s">
        <v>1536</v>
      </c>
      <c r="C186" t="s">
        <v>1536</v>
      </c>
      <c r="D186" t="s">
        <v>2532</v>
      </c>
      <c r="E186" t="s">
        <v>229</v>
      </c>
      <c r="F186" t="s">
        <v>229</v>
      </c>
      <c r="G186" t="s">
        <v>69</v>
      </c>
      <c r="H186" t="s">
        <v>70</v>
      </c>
      <c r="R186" t="s">
        <v>73</v>
      </c>
      <c r="S186" t="s">
        <v>73</v>
      </c>
      <c r="U186" t="s">
        <v>73</v>
      </c>
      <c r="V186" t="s">
        <v>73</v>
      </c>
      <c r="X186" t="s">
        <v>73</v>
      </c>
      <c r="Y186" t="s">
        <v>73</v>
      </c>
      <c r="AA186" t="s">
        <v>73</v>
      </c>
      <c r="AB186" t="s">
        <v>73</v>
      </c>
      <c r="AF186">
        <v>508.85079500204824</v>
      </c>
      <c r="AG186">
        <v>7.82</v>
      </c>
      <c r="AH186">
        <v>49</v>
      </c>
      <c r="AI186">
        <v>267</v>
      </c>
      <c r="AJ186">
        <v>181.05643889116467</v>
      </c>
      <c r="AK186">
        <v>791.8</v>
      </c>
      <c r="AM186">
        <v>141.47901444763053</v>
      </c>
      <c r="AN186">
        <v>448</v>
      </c>
      <c r="AO186" t="s">
        <v>5633</v>
      </c>
      <c r="AP186" t="s">
        <v>2532</v>
      </c>
    </row>
    <row r="187" spans="1:42" x14ac:dyDescent="0.25">
      <c r="A187">
        <v>186</v>
      </c>
      <c r="B187" t="s">
        <v>1192</v>
      </c>
      <c r="C187" t="s">
        <v>1192</v>
      </c>
      <c r="D187" t="s">
        <v>1193</v>
      </c>
      <c r="E187" t="s">
        <v>282</v>
      </c>
      <c r="F187" t="s">
        <v>283</v>
      </c>
      <c r="G187" t="s">
        <v>3167</v>
      </c>
      <c r="H187" t="s">
        <v>3166</v>
      </c>
      <c r="I187" t="s">
        <v>1194</v>
      </c>
      <c r="J187" t="s">
        <v>473</v>
      </c>
      <c r="K187" t="s">
        <v>474</v>
      </c>
      <c r="O187" t="s">
        <v>1195</v>
      </c>
      <c r="P187" t="s">
        <v>1196</v>
      </c>
      <c r="Q187">
        <v>12</v>
      </c>
      <c r="R187" t="s">
        <v>2406</v>
      </c>
      <c r="S187" t="s">
        <v>2407</v>
      </c>
      <c r="T187">
        <v>1</v>
      </c>
      <c r="U187" t="s">
        <v>3137</v>
      </c>
      <c r="V187" t="s">
        <v>3136</v>
      </c>
      <c r="W187">
        <v>5</v>
      </c>
      <c r="X187" t="s">
        <v>2443</v>
      </c>
      <c r="Y187" t="s">
        <v>2444</v>
      </c>
      <c r="Z187">
        <v>3</v>
      </c>
      <c r="AA187" t="s">
        <v>73</v>
      </c>
      <c r="AB187" t="s">
        <v>73</v>
      </c>
      <c r="AF187">
        <v>508.29431482963719</v>
      </c>
      <c r="AG187">
        <v>7.0975609756097997</v>
      </c>
      <c r="AH187">
        <v>40</v>
      </c>
      <c r="AI187">
        <v>179</v>
      </c>
      <c r="AJ187">
        <v>221.57362894349694</v>
      </c>
      <c r="AK187">
        <v>717.75609756097992</v>
      </c>
      <c r="AL187">
        <v>2009</v>
      </c>
      <c r="AM187">
        <v>254.20308052089572</v>
      </c>
      <c r="AN187">
        <v>224</v>
      </c>
      <c r="AO187" t="s">
        <v>5634</v>
      </c>
      <c r="AP187" t="s">
        <v>1193</v>
      </c>
    </row>
    <row r="188" spans="1:42" x14ac:dyDescent="0.25">
      <c r="A188">
        <v>187</v>
      </c>
      <c r="B188" t="s">
        <v>896</v>
      </c>
      <c r="C188" t="s">
        <v>896</v>
      </c>
      <c r="D188" t="s">
        <v>897</v>
      </c>
      <c r="E188" t="s">
        <v>282</v>
      </c>
      <c r="F188" t="s">
        <v>283</v>
      </c>
      <c r="G188" t="s">
        <v>3167</v>
      </c>
      <c r="H188" t="s">
        <v>3166</v>
      </c>
      <c r="I188" t="s">
        <v>898</v>
      </c>
      <c r="J188" t="s">
        <v>518</v>
      </c>
      <c r="K188" t="s">
        <v>519</v>
      </c>
      <c r="O188" t="s">
        <v>370</v>
      </c>
      <c r="P188" t="s">
        <v>371</v>
      </c>
      <c r="Q188">
        <v>12</v>
      </c>
      <c r="R188" t="s">
        <v>2406</v>
      </c>
      <c r="S188" t="s">
        <v>2407</v>
      </c>
      <c r="T188">
        <v>1</v>
      </c>
      <c r="U188" t="s">
        <v>2430</v>
      </c>
      <c r="V188" t="s">
        <v>2431</v>
      </c>
      <c r="W188">
        <v>6</v>
      </c>
      <c r="X188" t="s">
        <v>2446</v>
      </c>
      <c r="Y188" t="s">
        <v>2447</v>
      </c>
      <c r="Z188">
        <v>4</v>
      </c>
      <c r="AA188" t="s">
        <v>73</v>
      </c>
      <c r="AB188" t="s">
        <v>73</v>
      </c>
      <c r="AF188">
        <v>508.13367961631252</v>
      </c>
      <c r="AG188">
        <v>6.0535714285714004</v>
      </c>
      <c r="AH188">
        <v>55</v>
      </c>
      <c r="AI188">
        <v>112</v>
      </c>
      <c r="AJ188">
        <v>277.72789798638053</v>
      </c>
      <c r="AK188">
        <v>616.35714285714005</v>
      </c>
      <c r="AM188">
        <v>332.8190571809327</v>
      </c>
      <c r="AN188">
        <v>224</v>
      </c>
      <c r="AO188" t="s">
        <v>5635</v>
      </c>
      <c r="AP188" t="s">
        <v>897</v>
      </c>
    </row>
    <row r="189" spans="1:42" x14ac:dyDescent="0.25">
      <c r="A189">
        <v>188</v>
      </c>
      <c r="B189" t="s">
        <v>1770</v>
      </c>
      <c r="C189" t="s">
        <v>1770</v>
      </c>
      <c r="D189" t="s">
        <v>3701</v>
      </c>
      <c r="E189" t="s">
        <v>229</v>
      </c>
      <c r="F189" t="s">
        <v>229</v>
      </c>
      <c r="G189" t="s">
        <v>69</v>
      </c>
      <c r="H189" t="s">
        <v>70</v>
      </c>
      <c r="R189" t="s">
        <v>73</v>
      </c>
      <c r="S189" t="s">
        <v>73</v>
      </c>
      <c r="U189" t="s">
        <v>73</v>
      </c>
      <c r="V189" t="s">
        <v>73</v>
      </c>
      <c r="X189" t="s">
        <v>73</v>
      </c>
      <c r="Y189" t="s">
        <v>73</v>
      </c>
      <c r="AA189" t="s">
        <v>73</v>
      </c>
      <c r="AB189" t="s">
        <v>73</v>
      </c>
      <c r="AF189">
        <v>507.87227335505406</v>
      </c>
      <c r="AG189">
        <v>8.2542372881356005</v>
      </c>
      <c r="AH189">
        <v>58</v>
      </c>
      <c r="AI189">
        <v>342</v>
      </c>
      <c r="AJ189">
        <v>154.84489883141561</v>
      </c>
      <c r="AK189">
        <v>837.02372881356007</v>
      </c>
      <c r="AM189">
        <v>104.78285836398183</v>
      </c>
      <c r="AN189">
        <v>448</v>
      </c>
      <c r="AO189" t="s">
        <v>5636</v>
      </c>
      <c r="AP189" t="s">
        <v>3701</v>
      </c>
    </row>
    <row r="190" spans="1:42" x14ac:dyDescent="0.25">
      <c r="A190">
        <v>189</v>
      </c>
      <c r="B190" t="s">
        <v>4017</v>
      </c>
      <c r="C190" t="s">
        <v>4017</v>
      </c>
      <c r="D190" t="s">
        <v>4020</v>
      </c>
      <c r="E190" t="s">
        <v>3377</v>
      </c>
      <c r="F190" t="s">
        <v>3355</v>
      </c>
      <c r="G190" t="s">
        <v>60</v>
      </c>
      <c r="H190" t="s">
        <v>61</v>
      </c>
      <c r="I190" t="s">
        <v>4018</v>
      </c>
      <c r="O190" t="s">
        <v>4019</v>
      </c>
      <c r="P190" t="s">
        <v>4019</v>
      </c>
      <c r="Q190">
        <v>15</v>
      </c>
      <c r="R190" t="s">
        <v>2420</v>
      </c>
      <c r="S190" t="s">
        <v>2421</v>
      </c>
      <c r="T190">
        <v>5</v>
      </c>
      <c r="U190" t="s">
        <v>3137</v>
      </c>
      <c r="V190" t="s">
        <v>3136</v>
      </c>
      <c r="W190">
        <v>5</v>
      </c>
      <c r="X190" t="s">
        <v>2440</v>
      </c>
      <c r="Y190" t="s">
        <v>2441</v>
      </c>
      <c r="Z190">
        <v>2</v>
      </c>
      <c r="AA190" t="s">
        <v>73</v>
      </c>
      <c r="AB190" t="s">
        <v>73</v>
      </c>
      <c r="AF190">
        <v>507.24073032354818</v>
      </c>
      <c r="AG190">
        <v>8.375</v>
      </c>
      <c r="AH190">
        <v>15</v>
      </c>
      <c r="AI190">
        <v>347</v>
      </c>
      <c r="AJ190">
        <v>152.21192258172016</v>
      </c>
      <c r="AK190">
        <v>840.5</v>
      </c>
      <c r="AM190">
        <v>101.0966916144082</v>
      </c>
      <c r="AN190">
        <v>448</v>
      </c>
      <c r="AO190" t="s">
        <v>5637</v>
      </c>
      <c r="AP190" t="s">
        <v>4020</v>
      </c>
    </row>
    <row r="191" spans="1:42" x14ac:dyDescent="0.25">
      <c r="A191">
        <v>190</v>
      </c>
      <c r="B191" t="s">
        <v>1901</v>
      </c>
      <c r="C191" t="s">
        <v>1901</v>
      </c>
      <c r="D191" t="s">
        <v>1902</v>
      </c>
      <c r="E191" t="s">
        <v>183</v>
      </c>
      <c r="F191" t="s">
        <v>184</v>
      </c>
      <c r="G191" t="s">
        <v>158</v>
      </c>
      <c r="H191" t="s">
        <v>159</v>
      </c>
      <c r="J191" t="s">
        <v>185</v>
      </c>
      <c r="K191" t="s">
        <v>3021</v>
      </c>
      <c r="O191" t="s">
        <v>2610</v>
      </c>
      <c r="P191" t="s">
        <v>2611</v>
      </c>
      <c r="R191" t="s">
        <v>2406</v>
      </c>
      <c r="S191" t="s">
        <v>2407</v>
      </c>
      <c r="T191">
        <v>1</v>
      </c>
      <c r="U191" t="s">
        <v>73</v>
      </c>
      <c r="V191" t="s">
        <v>73</v>
      </c>
      <c r="X191" t="s">
        <v>2437</v>
      </c>
      <c r="Y191" t="s">
        <v>2438</v>
      </c>
      <c r="Z191">
        <v>1</v>
      </c>
      <c r="AA191" t="s">
        <v>73</v>
      </c>
      <c r="AB191" t="s">
        <v>73</v>
      </c>
      <c r="AF191">
        <v>506.08625866642933</v>
      </c>
      <c r="AG191">
        <v>7.4347826086957003</v>
      </c>
      <c r="AH191">
        <v>22</v>
      </c>
      <c r="AI191">
        <v>208</v>
      </c>
      <c r="AJ191">
        <v>202.3856980351604</v>
      </c>
      <c r="AK191">
        <v>747.87826086957</v>
      </c>
      <c r="AM191">
        <v>283.33997724922455</v>
      </c>
      <c r="AN191">
        <v>0</v>
      </c>
      <c r="AO191" t="s">
        <v>5638</v>
      </c>
      <c r="AP191" t="s">
        <v>1902</v>
      </c>
    </row>
    <row r="192" spans="1:42" x14ac:dyDescent="0.25">
      <c r="A192">
        <v>191</v>
      </c>
      <c r="B192" t="s">
        <v>2378</v>
      </c>
      <c r="C192" t="s">
        <v>2378</v>
      </c>
      <c r="D192" t="s">
        <v>2379</v>
      </c>
      <c r="E192" t="s">
        <v>137</v>
      </c>
      <c r="F192" t="s">
        <v>138</v>
      </c>
      <c r="G192" t="s">
        <v>139</v>
      </c>
      <c r="H192" t="s">
        <v>140</v>
      </c>
      <c r="I192" t="s">
        <v>2380</v>
      </c>
      <c r="J192" t="s">
        <v>1234</v>
      </c>
      <c r="K192" t="s">
        <v>1235</v>
      </c>
      <c r="L192" t="s">
        <v>4765</v>
      </c>
      <c r="M192" t="s">
        <v>4766</v>
      </c>
      <c r="R192" t="s">
        <v>73</v>
      </c>
      <c r="S192" t="s">
        <v>73</v>
      </c>
      <c r="U192" t="s">
        <v>73</v>
      </c>
      <c r="V192" t="s">
        <v>73</v>
      </c>
      <c r="X192" t="s">
        <v>73</v>
      </c>
      <c r="Y192" t="s">
        <v>73</v>
      </c>
      <c r="AF192">
        <v>505.88173555781361</v>
      </c>
      <c r="AG192">
        <v>7.9166666666666998</v>
      </c>
      <c r="AH192">
        <v>11</v>
      </c>
      <c r="AI192">
        <v>277</v>
      </c>
      <c r="AJ192">
        <v>176.60933580497624</v>
      </c>
      <c r="AK192">
        <v>793.86666666666997</v>
      </c>
      <c r="AM192">
        <v>247.25307012696672</v>
      </c>
      <c r="AN192">
        <v>0</v>
      </c>
      <c r="AO192" t="s">
        <v>5639</v>
      </c>
      <c r="AP192" t="s">
        <v>2379</v>
      </c>
    </row>
    <row r="193" spans="1:42" x14ac:dyDescent="0.25">
      <c r="A193">
        <v>192</v>
      </c>
      <c r="B193" t="s">
        <v>3347</v>
      </c>
      <c r="C193" t="s">
        <v>3347</v>
      </c>
      <c r="D193" t="s">
        <v>4875</v>
      </c>
      <c r="E193" t="s">
        <v>954</v>
      </c>
      <c r="F193" t="s">
        <v>955</v>
      </c>
      <c r="G193" t="s">
        <v>632</v>
      </c>
      <c r="H193" t="s">
        <v>633</v>
      </c>
      <c r="I193" t="s">
        <v>4874</v>
      </c>
      <c r="L193" t="s">
        <v>4872</v>
      </c>
      <c r="M193" t="s">
        <v>4873</v>
      </c>
      <c r="R193" t="s">
        <v>73</v>
      </c>
      <c r="S193" t="s">
        <v>73</v>
      </c>
      <c r="U193" t="s">
        <v>73</v>
      </c>
      <c r="V193" t="s">
        <v>73</v>
      </c>
      <c r="X193" t="s">
        <v>73</v>
      </c>
      <c r="Y193" t="s">
        <v>73</v>
      </c>
      <c r="AA193" t="s">
        <v>73</v>
      </c>
      <c r="AB193" t="s">
        <v>73</v>
      </c>
      <c r="AF193">
        <v>505.41513535822037</v>
      </c>
      <c r="AG193">
        <v>8.52</v>
      </c>
      <c r="AH193">
        <v>49</v>
      </c>
      <c r="AI193">
        <v>419</v>
      </c>
      <c r="AJ193">
        <v>138.35015039802269</v>
      </c>
      <c r="AK193">
        <v>861.8</v>
      </c>
      <c r="AM193">
        <v>81.690210557231737</v>
      </c>
      <c r="AN193">
        <v>448</v>
      </c>
      <c r="AO193" t="s">
        <v>5640</v>
      </c>
      <c r="AP193" t="s">
        <v>4875</v>
      </c>
    </row>
    <row r="194" spans="1:42" x14ac:dyDescent="0.25">
      <c r="A194">
        <v>193</v>
      </c>
      <c r="B194" t="s">
        <v>2202</v>
      </c>
      <c r="C194" t="s">
        <v>2202</v>
      </c>
      <c r="D194" t="s">
        <v>2203</v>
      </c>
      <c r="E194" t="s">
        <v>218</v>
      </c>
      <c r="F194" t="s">
        <v>219</v>
      </c>
      <c r="G194" t="s">
        <v>69</v>
      </c>
      <c r="H194" t="s">
        <v>70</v>
      </c>
      <c r="I194" t="s">
        <v>892</v>
      </c>
      <c r="J194" t="s">
        <v>251</v>
      </c>
      <c r="K194" t="s">
        <v>252</v>
      </c>
      <c r="L194" t="s">
        <v>4934</v>
      </c>
      <c r="M194" t="s">
        <v>4935</v>
      </c>
      <c r="R194" t="s">
        <v>73</v>
      </c>
      <c r="S194" t="s">
        <v>73</v>
      </c>
      <c r="U194" t="s">
        <v>73</v>
      </c>
      <c r="V194" t="s">
        <v>73</v>
      </c>
      <c r="X194" t="s">
        <v>73</v>
      </c>
      <c r="Y194" t="s">
        <v>73</v>
      </c>
      <c r="AA194" t="s">
        <v>73</v>
      </c>
      <c r="AB194" t="s">
        <v>73</v>
      </c>
      <c r="AF194">
        <v>505.0875760669187</v>
      </c>
      <c r="AG194">
        <v>7.9047619047618998</v>
      </c>
      <c r="AH194">
        <v>20</v>
      </c>
      <c r="AI194">
        <v>282</v>
      </c>
      <c r="AJ194">
        <v>175.38831203202633</v>
      </c>
      <c r="AK194">
        <v>794.47619047619003</v>
      </c>
      <c r="AM194">
        <v>189.54363684483684</v>
      </c>
      <c r="AN194">
        <v>224</v>
      </c>
      <c r="AO194" t="s">
        <v>5641</v>
      </c>
      <c r="AP194" t="s">
        <v>2203</v>
      </c>
    </row>
    <row r="195" spans="1:42" x14ac:dyDescent="0.25">
      <c r="A195">
        <v>194</v>
      </c>
      <c r="B195" t="s">
        <v>1784</v>
      </c>
      <c r="C195" t="s">
        <v>4157</v>
      </c>
      <c r="D195" t="s">
        <v>2714</v>
      </c>
      <c r="E195" t="s">
        <v>954</v>
      </c>
      <c r="F195" t="s">
        <v>955</v>
      </c>
      <c r="G195" t="s">
        <v>632</v>
      </c>
      <c r="H195" t="s">
        <v>633</v>
      </c>
      <c r="I195" t="s">
        <v>1785</v>
      </c>
      <c r="J195" t="s">
        <v>1786</v>
      </c>
      <c r="K195" t="s">
        <v>1787</v>
      </c>
      <c r="R195" t="s">
        <v>73</v>
      </c>
      <c r="S195" t="s">
        <v>73</v>
      </c>
      <c r="U195" t="s">
        <v>73</v>
      </c>
      <c r="V195" t="s">
        <v>73</v>
      </c>
      <c r="X195" t="s">
        <v>73</v>
      </c>
      <c r="Y195" t="s">
        <v>73</v>
      </c>
      <c r="AA195" t="s">
        <v>73</v>
      </c>
      <c r="AB195" t="s">
        <v>73</v>
      </c>
      <c r="AF195">
        <v>504.54206349206504</v>
      </c>
      <c r="AG195">
        <v>8.6448412698413009</v>
      </c>
      <c r="AH195">
        <v>503</v>
      </c>
      <c r="AI195">
        <v>668</v>
      </c>
      <c r="AJ195">
        <v>80</v>
      </c>
      <c r="AK195">
        <v>965.08412698413008</v>
      </c>
      <c r="AM195">
        <v>0</v>
      </c>
      <c r="AN195">
        <v>448</v>
      </c>
      <c r="AO195" t="s">
        <v>5642</v>
      </c>
      <c r="AP195" t="s">
        <v>2714</v>
      </c>
    </row>
    <row r="196" spans="1:42" x14ac:dyDescent="0.25">
      <c r="A196">
        <v>195</v>
      </c>
      <c r="B196" t="s">
        <v>280</v>
      </c>
      <c r="C196" t="s">
        <v>280</v>
      </c>
      <c r="D196" t="s">
        <v>281</v>
      </c>
      <c r="E196" t="s">
        <v>282</v>
      </c>
      <c r="F196" t="s">
        <v>283</v>
      </c>
      <c r="G196" t="s">
        <v>3167</v>
      </c>
      <c r="H196" t="s">
        <v>3166</v>
      </c>
      <c r="I196" t="s">
        <v>284</v>
      </c>
      <c r="J196" t="s">
        <v>285</v>
      </c>
      <c r="K196" t="s">
        <v>286</v>
      </c>
      <c r="L196">
        <v>55.415522000000003</v>
      </c>
      <c r="M196">
        <v>-1.7085429999999999</v>
      </c>
      <c r="N196" t="s">
        <v>4220</v>
      </c>
      <c r="R196" t="s">
        <v>73</v>
      </c>
      <c r="S196" t="s">
        <v>73</v>
      </c>
      <c r="U196" t="s">
        <v>73</v>
      </c>
      <c r="V196" t="s">
        <v>73</v>
      </c>
      <c r="X196" t="s">
        <v>2440</v>
      </c>
      <c r="Y196" t="s">
        <v>2441</v>
      </c>
      <c r="Z196">
        <v>2</v>
      </c>
      <c r="AA196" t="s">
        <v>287</v>
      </c>
      <c r="AB196" t="s">
        <v>287</v>
      </c>
      <c r="AF196">
        <v>504.0999832473517</v>
      </c>
      <c r="AG196">
        <v>8.3615384615384993</v>
      </c>
      <c r="AH196">
        <v>129</v>
      </c>
      <c r="AI196">
        <v>433</v>
      </c>
      <c r="AJ196">
        <v>136.80340018936306</v>
      </c>
      <c r="AK196">
        <v>861.9538461538499</v>
      </c>
      <c r="AM196">
        <v>135.52476026510828</v>
      </c>
      <c r="AN196">
        <v>224</v>
      </c>
      <c r="AO196" t="s">
        <v>5643</v>
      </c>
      <c r="AP196" t="s">
        <v>281</v>
      </c>
    </row>
    <row r="197" spans="1:42" x14ac:dyDescent="0.25">
      <c r="A197">
        <v>196</v>
      </c>
      <c r="B197" t="s">
        <v>133</v>
      </c>
      <c r="C197" t="s">
        <v>4070</v>
      </c>
      <c r="D197" t="s">
        <v>5644</v>
      </c>
      <c r="E197" t="s">
        <v>101</v>
      </c>
      <c r="F197" t="s">
        <v>102</v>
      </c>
      <c r="G197" t="s">
        <v>108</v>
      </c>
      <c r="H197" t="s">
        <v>109</v>
      </c>
      <c r="I197" t="s">
        <v>134</v>
      </c>
      <c r="O197" t="s">
        <v>63</v>
      </c>
      <c r="P197" t="s">
        <v>64</v>
      </c>
      <c r="R197" t="s">
        <v>2409</v>
      </c>
      <c r="S197" t="s">
        <v>2410</v>
      </c>
      <c r="T197">
        <v>2</v>
      </c>
      <c r="U197" t="s">
        <v>3137</v>
      </c>
      <c r="V197" t="s">
        <v>3136</v>
      </c>
      <c r="W197">
        <v>5</v>
      </c>
      <c r="X197" t="s">
        <v>2443</v>
      </c>
      <c r="Y197" t="s">
        <v>2444</v>
      </c>
      <c r="Z197">
        <v>3</v>
      </c>
      <c r="AF197">
        <v>503.66753973077414</v>
      </c>
      <c r="AG197">
        <v>8.25</v>
      </c>
      <c r="AH197">
        <v>11</v>
      </c>
      <c r="AI197">
        <v>338</v>
      </c>
      <c r="AJ197">
        <v>155.63059970086013</v>
      </c>
      <c r="AK197">
        <v>827.2</v>
      </c>
      <c r="AM197">
        <v>105.88283958120418</v>
      </c>
      <c r="AN197">
        <v>448</v>
      </c>
      <c r="AO197" t="s">
        <v>5645</v>
      </c>
      <c r="AP197" t="s">
        <v>5644</v>
      </c>
    </row>
    <row r="198" spans="1:42" x14ac:dyDescent="0.25">
      <c r="A198">
        <v>197</v>
      </c>
      <c r="B198" t="s">
        <v>804</v>
      </c>
      <c r="C198" t="s">
        <v>804</v>
      </c>
      <c r="D198" t="s">
        <v>805</v>
      </c>
      <c r="E198" t="s">
        <v>91</v>
      </c>
      <c r="F198" t="s">
        <v>92</v>
      </c>
      <c r="G198" t="s">
        <v>632</v>
      </c>
      <c r="H198" t="s">
        <v>633</v>
      </c>
      <c r="I198" t="s">
        <v>805</v>
      </c>
      <c r="J198" t="s">
        <v>2771</v>
      </c>
      <c r="K198" t="s">
        <v>2772</v>
      </c>
      <c r="L198" t="s">
        <v>4500</v>
      </c>
      <c r="M198" t="s">
        <v>4501</v>
      </c>
      <c r="O198" t="s">
        <v>2773</v>
      </c>
      <c r="P198" t="s">
        <v>2774</v>
      </c>
      <c r="Q198">
        <v>13</v>
      </c>
      <c r="R198" t="s">
        <v>2406</v>
      </c>
      <c r="S198" t="s">
        <v>2407</v>
      </c>
      <c r="T198">
        <v>1</v>
      </c>
      <c r="U198" t="s">
        <v>2430</v>
      </c>
      <c r="V198" t="s">
        <v>2431</v>
      </c>
      <c r="W198">
        <v>6</v>
      </c>
      <c r="X198" t="s">
        <v>2446</v>
      </c>
      <c r="Y198" t="s">
        <v>2447</v>
      </c>
      <c r="Z198">
        <v>4</v>
      </c>
      <c r="AA198" t="s">
        <v>73</v>
      </c>
      <c r="AB198" t="s">
        <v>73</v>
      </c>
      <c r="AC198" t="s">
        <v>2770</v>
      </c>
      <c r="AD198" t="s">
        <v>2770</v>
      </c>
      <c r="AF198">
        <v>503.22819868540182</v>
      </c>
      <c r="AG198">
        <v>7.5625</v>
      </c>
      <c r="AH198">
        <v>31</v>
      </c>
      <c r="AI198">
        <v>235</v>
      </c>
      <c r="AJ198">
        <v>191.114665206002</v>
      </c>
      <c r="AK198">
        <v>762.45</v>
      </c>
      <c r="AM198">
        <v>211.56053128840279</v>
      </c>
      <c r="AN198">
        <v>224</v>
      </c>
      <c r="AO198" t="s">
        <v>5646</v>
      </c>
      <c r="AP198" t="s">
        <v>805</v>
      </c>
    </row>
    <row r="199" spans="1:42" x14ac:dyDescent="0.25">
      <c r="A199">
        <v>198</v>
      </c>
      <c r="B199" t="s">
        <v>866</v>
      </c>
      <c r="C199" t="s">
        <v>866</v>
      </c>
      <c r="D199" t="s">
        <v>867</v>
      </c>
      <c r="E199" t="s">
        <v>282</v>
      </c>
      <c r="F199" t="s">
        <v>283</v>
      </c>
      <c r="G199" t="s">
        <v>3167</v>
      </c>
      <c r="H199" t="s">
        <v>3166</v>
      </c>
      <c r="I199" t="s">
        <v>868</v>
      </c>
      <c r="J199" t="s">
        <v>473</v>
      </c>
      <c r="K199" t="s">
        <v>474</v>
      </c>
      <c r="L199" t="s">
        <v>4433</v>
      </c>
      <c r="M199" t="s">
        <v>4434</v>
      </c>
      <c r="N199" t="s">
        <v>4435</v>
      </c>
      <c r="O199" t="s">
        <v>869</v>
      </c>
      <c r="P199" t="s">
        <v>869</v>
      </c>
      <c r="Q199">
        <v>11</v>
      </c>
      <c r="R199" t="s">
        <v>2420</v>
      </c>
      <c r="S199" t="s">
        <v>2421</v>
      </c>
      <c r="T199">
        <v>5</v>
      </c>
      <c r="U199" t="s">
        <v>2430</v>
      </c>
      <c r="V199" t="s">
        <v>2431</v>
      </c>
      <c r="W199">
        <v>6</v>
      </c>
      <c r="X199" t="s">
        <v>2443</v>
      </c>
      <c r="Y199" t="s">
        <v>2444</v>
      </c>
      <c r="Z199">
        <v>3</v>
      </c>
      <c r="AA199" t="s">
        <v>73</v>
      </c>
      <c r="AB199" t="s">
        <v>73</v>
      </c>
      <c r="AC199" t="s">
        <v>870</v>
      </c>
      <c r="AD199" t="s">
        <v>870</v>
      </c>
      <c r="AF199">
        <v>503.21190168573537</v>
      </c>
      <c r="AG199">
        <v>5.4666666666666996</v>
      </c>
      <c r="AH199">
        <v>44</v>
      </c>
      <c r="AI199">
        <v>96</v>
      </c>
      <c r="AJ199">
        <v>306.08729816933379</v>
      </c>
      <c r="AK199">
        <v>555.46666666666988</v>
      </c>
      <c r="AL199">
        <v>2009</v>
      </c>
      <c r="AM199">
        <v>372.5222174370673</v>
      </c>
      <c r="AN199">
        <v>224</v>
      </c>
      <c r="AO199" t="s">
        <v>5647</v>
      </c>
      <c r="AP199" t="s">
        <v>867</v>
      </c>
    </row>
    <row r="200" spans="1:42" x14ac:dyDescent="0.25">
      <c r="A200">
        <v>199</v>
      </c>
      <c r="B200" t="s">
        <v>1243</v>
      </c>
      <c r="C200" t="s">
        <v>1243</v>
      </c>
      <c r="D200" t="s">
        <v>1244</v>
      </c>
      <c r="E200" t="s">
        <v>595</v>
      </c>
      <c r="F200" t="s">
        <v>596</v>
      </c>
      <c r="G200" t="s">
        <v>3167</v>
      </c>
      <c r="H200" t="s">
        <v>3166</v>
      </c>
      <c r="I200" t="s">
        <v>1245</v>
      </c>
      <c r="J200" t="s">
        <v>625</v>
      </c>
      <c r="K200" t="s">
        <v>626</v>
      </c>
      <c r="R200" t="s">
        <v>73</v>
      </c>
      <c r="S200" t="s">
        <v>73</v>
      </c>
      <c r="U200" t="s">
        <v>73</v>
      </c>
      <c r="V200" t="s">
        <v>73</v>
      </c>
      <c r="X200" t="s">
        <v>73</v>
      </c>
      <c r="Y200" t="s">
        <v>73</v>
      </c>
      <c r="AA200" t="s">
        <v>1246</v>
      </c>
      <c r="AB200" t="s">
        <v>1246</v>
      </c>
      <c r="AF200">
        <v>502.96584268492052</v>
      </c>
      <c r="AG200">
        <v>8.4611650485437</v>
      </c>
      <c r="AH200">
        <v>205</v>
      </c>
      <c r="AI200">
        <v>493</v>
      </c>
      <c r="AJ200">
        <v>121.56398917526177</v>
      </c>
      <c r="AK200">
        <v>887.11650485436996</v>
      </c>
      <c r="AM200">
        <v>114.18958484536645</v>
      </c>
      <c r="AN200">
        <v>224</v>
      </c>
      <c r="AO200" t="s">
        <v>5648</v>
      </c>
      <c r="AP200" t="s">
        <v>1244</v>
      </c>
    </row>
    <row r="201" spans="1:42" x14ac:dyDescent="0.25">
      <c r="A201">
        <v>200</v>
      </c>
      <c r="B201" t="s">
        <v>1800</v>
      </c>
      <c r="C201" t="s">
        <v>1800</v>
      </c>
      <c r="D201" t="s">
        <v>1801</v>
      </c>
      <c r="E201" t="s">
        <v>415</v>
      </c>
      <c r="F201" t="s">
        <v>415</v>
      </c>
      <c r="G201" t="s">
        <v>85</v>
      </c>
      <c r="H201" t="s">
        <v>86</v>
      </c>
      <c r="L201">
        <v>34.687221999999998</v>
      </c>
      <c r="M201">
        <v>135.52583300000001</v>
      </c>
      <c r="N201" t="s">
        <v>4291</v>
      </c>
      <c r="O201" t="s">
        <v>1217</v>
      </c>
      <c r="P201" t="s">
        <v>1217</v>
      </c>
      <c r="Q201">
        <v>16</v>
      </c>
      <c r="R201" t="s">
        <v>2414</v>
      </c>
      <c r="S201" t="s">
        <v>2415</v>
      </c>
      <c r="T201">
        <v>3</v>
      </c>
      <c r="U201" t="s">
        <v>73</v>
      </c>
      <c r="V201" t="s">
        <v>73</v>
      </c>
      <c r="X201" t="s">
        <v>2443</v>
      </c>
      <c r="Y201" t="s">
        <v>2444</v>
      </c>
      <c r="Z201">
        <v>3</v>
      </c>
      <c r="AA201" t="s">
        <v>1802</v>
      </c>
      <c r="AB201" t="s">
        <v>1802</v>
      </c>
      <c r="AF201">
        <v>502.40323714061401</v>
      </c>
      <c r="AG201">
        <v>8.24</v>
      </c>
      <c r="AH201">
        <v>74</v>
      </c>
      <c r="AI201">
        <v>368</v>
      </c>
      <c r="AJ201">
        <v>147.78137460068223</v>
      </c>
      <c r="AK201">
        <v>838.8</v>
      </c>
      <c r="AM201">
        <v>150.89392444095512</v>
      </c>
      <c r="AN201">
        <v>224</v>
      </c>
      <c r="AO201" t="s">
        <v>5649</v>
      </c>
      <c r="AP201" t="s">
        <v>1801</v>
      </c>
    </row>
    <row r="202" spans="1:42" x14ac:dyDescent="0.25">
      <c r="A202">
        <v>201</v>
      </c>
      <c r="B202" t="s">
        <v>2039</v>
      </c>
      <c r="C202" t="s">
        <v>2039</v>
      </c>
      <c r="D202" t="s">
        <v>2040</v>
      </c>
      <c r="E202" t="s">
        <v>137</v>
      </c>
      <c r="F202" t="s">
        <v>138</v>
      </c>
      <c r="G202" t="s">
        <v>139</v>
      </c>
      <c r="H202" t="s">
        <v>140</v>
      </c>
      <c r="I202" t="s">
        <v>2041</v>
      </c>
      <c r="J202" t="s">
        <v>426</v>
      </c>
      <c r="K202" t="s">
        <v>427</v>
      </c>
      <c r="L202" t="s">
        <v>4686</v>
      </c>
      <c r="M202" t="s">
        <v>4687</v>
      </c>
      <c r="O202" t="s">
        <v>2637</v>
      </c>
      <c r="P202" t="s">
        <v>2638</v>
      </c>
      <c r="R202" t="s">
        <v>2406</v>
      </c>
      <c r="S202" t="s">
        <v>2407</v>
      </c>
      <c r="T202">
        <v>1</v>
      </c>
      <c r="U202" t="s">
        <v>73</v>
      </c>
      <c r="V202" t="s">
        <v>73</v>
      </c>
      <c r="X202" t="s">
        <v>73</v>
      </c>
      <c r="Y202" t="s">
        <v>73</v>
      </c>
      <c r="AA202" t="s">
        <v>73</v>
      </c>
      <c r="AB202" t="s">
        <v>73</v>
      </c>
      <c r="AF202">
        <v>502.24664961837914</v>
      </c>
      <c r="AG202">
        <v>7.6857142857143002</v>
      </c>
      <c r="AH202">
        <v>34</v>
      </c>
      <c r="AI202">
        <v>261</v>
      </c>
      <c r="AJ202">
        <v>182.84548370296017</v>
      </c>
      <c r="AK202">
        <v>775.37142857142999</v>
      </c>
      <c r="AL202">
        <v>2004</v>
      </c>
      <c r="AM202">
        <v>255.98367718414423</v>
      </c>
      <c r="AN202">
        <v>0</v>
      </c>
      <c r="AO202" t="s">
        <v>5650</v>
      </c>
      <c r="AP202" t="s">
        <v>2040</v>
      </c>
    </row>
    <row r="203" spans="1:42" x14ac:dyDescent="0.25">
      <c r="A203">
        <v>202</v>
      </c>
      <c r="B203" t="s">
        <v>2676</v>
      </c>
      <c r="C203" t="s">
        <v>2676</v>
      </c>
      <c r="D203" t="s">
        <v>2667</v>
      </c>
      <c r="E203" t="s">
        <v>300</v>
      </c>
      <c r="F203" t="s">
        <v>301</v>
      </c>
      <c r="G203" t="s">
        <v>151</v>
      </c>
      <c r="H203" t="s">
        <v>152</v>
      </c>
      <c r="I203" t="s">
        <v>3277</v>
      </c>
      <c r="J203" t="s">
        <v>3251</v>
      </c>
      <c r="K203" t="s">
        <v>3253</v>
      </c>
      <c r="O203" t="s">
        <v>3278</v>
      </c>
      <c r="P203" t="s">
        <v>3278</v>
      </c>
      <c r="Q203">
        <v>16</v>
      </c>
      <c r="R203" t="s">
        <v>2417</v>
      </c>
      <c r="S203" t="s">
        <v>2418</v>
      </c>
      <c r="T203">
        <v>4</v>
      </c>
      <c r="U203" t="s">
        <v>3137</v>
      </c>
      <c r="V203" t="s">
        <v>3136</v>
      </c>
      <c r="W203">
        <v>5</v>
      </c>
      <c r="X203" t="s">
        <v>2440</v>
      </c>
      <c r="Y203" t="s">
        <v>2441</v>
      </c>
      <c r="Z203">
        <v>2</v>
      </c>
      <c r="AA203" t="s">
        <v>3279</v>
      </c>
      <c r="AB203" t="s">
        <v>3279</v>
      </c>
      <c r="AE203" t="s">
        <v>3280</v>
      </c>
      <c r="AF203">
        <v>501.39784543851079</v>
      </c>
      <c r="AG203">
        <v>6.4545454545455003</v>
      </c>
      <c r="AH203">
        <v>10</v>
      </c>
      <c r="AI203">
        <v>137</v>
      </c>
      <c r="AJ203">
        <v>252.96730301248417</v>
      </c>
      <c r="AK203">
        <v>647.45454545455004</v>
      </c>
      <c r="AM203">
        <v>242.1542242174778</v>
      </c>
      <c r="AN203">
        <v>448</v>
      </c>
      <c r="AO203" t="s">
        <v>5651</v>
      </c>
      <c r="AP203" t="s">
        <v>2667</v>
      </c>
    </row>
    <row r="204" spans="1:42" x14ac:dyDescent="0.25">
      <c r="A204">
        <v>203</v>
      </c>
      <c r="B204" t="s">
        <v>1122</v>
      </c>
      <c r="C204" t="s">
        <v>1122</v>
      </c>
      <c r="D204" t="s">
        <v>1123</v>
      </c>
      <c r="E204" t="s">
        <v>199</v>
      </c>
      <c r="F204" t="s">
        <v>200</v>
      </c>
      <c r="J204" t="s">
        <v>360</v>
      </c>
      <c r="K204" t="s">
        <v>361</v>
      </c>
      <c r="L204" t="s">
        <v>5161</v>
      </c>
      <c r="M204" t="s">
        <v>5162</v>
      </c>
      <c r="Q204">
        <v>11</v>
      </c>
      <c r="R204" t="s">
        <v>2409</v>
      </c>
      <c r="S204" t="s">
        <v>2410</v>
      </c>
      <c r="T204">
        <v>2</v>
      </c>
      <c r="U204" t="s">
        <v>2434</v>
      </c>
      <c r="V204" t="s">
        <v>2435</v>
      </c>
      <c r="W204">
        <v>8</v>
      </c>
      <c r="X204" t="s">
        <v>2443</v>
      </c>
      <c r="Y204" t="s">
        <v>2444</v>
      </c>
      <c r="Z204">
        <v>3</v>
      </c>
      <c r="AA204" t="s">
        <v>1124</v>
      </c>
      <c r="AB204" t="s">
        <v>1124</v>
      </c>
      <c r="AC204" t="s">
        <v>1125</v>
      </c>
      <c r="AD204" t="s">
        <v>1125</v>
      </c>
      <c r="AE204" t="s">
        <v>1126</v>
      </c>
      <c r="AF204">
        <v>501.00820303359058</v>
      </c>
      <c r="AG204">
        <v>6.9418604651163003</v>
      </c>
      <c r="AH204">
        <v>85</v>
      </c>
      <c r="AI204">
        <v>182</v>
      </c>
      <c r="AJ204">
        <v>217.1279775308617</v>
      </c>
      <c r="AK204">
        <v>711.18604651163002</v>
      </c>
      <c r="AL204">
        <v>2005</v>
      </c>
      <c r="AM204">
        <v>303.97916854320636</v>
      </c>
      <c r="AN204">
        <v>0</v>
      </c>
      <c r="AO204" t="s">
        <v>5652</v>
      </c>
      <c r="AP204" t="s">
        <v>1123</v>
      </c>
    </row>
    <row r="205" spans="1:42" x14ac:dyDescent="0.25">
      <c r="A205">
        <v>204</v>
      </c>
      <c r="B205" t="s">
        <v>2068</v>
      </c>
      <c r="C205" t="s">
        <v>2068</v>
      </c>
      <c r="D205" t="s">
        <v>2069</v>
      </c>
      <c r="E205" t="s">
        <v>455</v>
      </c>
      <c r="F205" t="s">
        <v>456</v>
      </c>
      <c r="G205" t="s">
        <v>75</v>
      </c>
      <c r="H205" t="s">
        <v>76</v>
      </c>
      <c r="I205" t="s">
        <v>2070</v>
      </c>
      <c r="Q205">
        <v>13</v>
      </c>
      <c r="R205" t="s">
        <v>2417</v>
      </c>
      <c r="S205" t="s">
        <v>2418</v>
      </c>
      <c r="T205">
        <v>4</v>
      </c>
      <c r="U205" t="s">
        <v>3137</v>
      </c>
      <c r="V205" t="s">
        <v>3136</v>
      </c>
      <c r="W205">
        <v>5</v>
      </c>
      <c r="X205" t="s">
        <v>2443</v>
      </c>
      <c r="Y205" t="s">
        <v>2444</v>
      </c>
      <c r="Z205">
        <v>3</v>
      </c>
      <c r="AA205" t="s">
        <v>73</v>
      </c>
      <c r="AB205" t="s">
        <v>73</v>
      </c>
      <c r="AF205">
        <v>500.81932462526981</v>
      </c>
      <c r="AG205">
        <v>5.9846153846153998</v>
      </c>
      <c r="AH205">
        <v>64</v>
      </c>
      <c r="AI205">
        <v>118</v>
      </c>
      <c r="AJ205">
        <v>272.43172821611097</v>
      </c>
      <c r="AK205">
        <v>611.26153846153989</v>
      </c>
      <c r="AM205">
        <v>325.4044195025553</v>
      </c>
      <c r="AN205">
        <v>224</v>
      </c>
      <c r="AO205" t="s">
        <v>5653</v>
      </c>
      <c r="AP205" t="s">
        <v>2069</v>
      </c>
    </row>
    <row r="206" spans="1:42" x14ac:dyDescent="0.25">
      <c r="A206">
        <v>205</v>
      </c>
      <c r="B206" t="s">
        <v>1893</v>
      </c>
      <c r="C206" t="s">
        <v>1893</v>
      </c>
      <c r="D206" t="s">
        <v>1894</v>
      </c>
      <c r="E206" t="s">
        <v>161</v>
      </c>
      <c r="F206" t="s">
        <v>161</v>
      </c>
      <c r="G206" t="s">
        <v>3167</v>
      </c>
      <c r="H206" t="s">
        <v>3166</v>
      </c>
      <c r="I206" t="s">
        <v>1895</v>
      </c>
      <c r="J206" t="s">
        <v>463</v>
      </c>
      <c r="K206" t="s">
        <v>464</v>
      </c>
      <c r="R206" t="s">
        <v>2414</v>
      </c>
      <c r="S206" t="s">
        <v>2415</v>
      </c>
      <c r="T206">
        <v>3</v>
      </c>
      <c r="U206" t="s">
        <v>2434</v>
      </c>
      <c r="V206" t="s">
        <v>2435</v>
      </c>
      <c r="W206">
        <v>8</v>
      </c>
      <c r="X206" t="s">
        <v>2443</v>
      </c>
      <c r="Y206" t="s">
        <v>2444</v>
      </c>
      <c r="Z206">
        <v>3</v>
      </c>
      <c r="AA206" t="s">
        <v>73</v>
      </c>
      <c r="AB206" t="s">
        <v>73</v>
      </c>
      <c r="AF206">
        <v>500.76110943939761</v>
      </c>
      <c r="AG206">
        <v>7.75</v>
      </c>
      <c r="AH206">
        <v>75</v>
      </c>
      <c r="AI206">
        <v>289</v>
      </c>
      <c r="AJ206">
        <v>173.06789937710852</v>
      </c>
      <c r="AK206">
        <v>790</v>
      </c>
      <c r="AM206">
        <v>242.2950591279519</v>
      </c>
      <c r="AN206">
        <v>0</v>
      </c>
      <c r="AO206" t="s">
        <v>5654</v>
      </c>
      <c r="AP206" t="s">
        <v>1894</v>
      </c>
    </row>
    <row r="207" spans="1:42" x14ac:dyDescent="0.25">
      <c r="A207">
        <v>206</v>
      </c>
      <c r="B207" t="s">
        <v>1351</v>
      </c>
      <c r="C207" t="s">
        <v>4144</v>
      </c>
      <c r="D207" t="s">
        <v>3265</v>
      </c>
      <c r="E207" t="s">
        <v>300</v>
      </c>
      <c r="F207" t="s">
        <v>301</v>
      </c>
      <c r="G207" t="s">
        <v>151</v>
      </c>
      <c r="H207" t="s">
        <v>152</v>
      </c>
      <c r="I207" t="s">
        <v>3259</v>
      </c>
      <c r="J207" t="s">
        <v>3251</v>
      </c>
      <c r="K207" t="s">
        <v>3253</v>
      </c>
      <c r="Q207">
        <v>13</v>
      </c>
      <c r="R207" t="s">
        <v>2420</v>
      </c>
      <c r="S207" t="s">
        <v>2421</v>
      </c>
      <c r="T207">
        <v>5</v>
      </c>
      <c r="U207" t="s">
        <v>2430</v>
      </c>
      <c r="V207" t="s">
        <v>2431</v>
      </c>
      <c r="W207">
        <v>6</v>
      </c>
      <c r="X207" t="s">
        <v>2446</v>
      </c>
      <c r="Y207" t="s">
        <v>2447</v>
      </c>
      <c r="Z207">
        <v>4</v>
      </c>
      <c r="AA207" t="s">
        <v>73</v>
      </c>
      <c r="AB207" t="s">
        <v>73</v>
      </c>
      <c r="AC207" t="s">
        <v>1249</v>
      </c>
      <c r="AD207" t="s">
        <v>3266</v>
      </c>
      <c r="AF207">
        <v>500.72410990787944</v>
      </c>
      <c r="AG207">
        <v>5.5</v>
      </c>
      <c r="AH207">
        <v>23</v>
      </c>
      <c r="AI207">
        <v>98</v>
      </c>
      <c r="AJ207">
        <v>303.80456656431045</v>
      </c>
      <c r="AK207">
        <v>554.6</v>
      </c>
      <c r="AM207">
        <v>313.32639319003459</v>
      </c>
      <c r="AN207">
        <v>448</v>
      </c>
      <c r="AO207" t="s">
        <v>5655</v>
      </c>
      <c r="AP207" t="s">
        <v>3265</v>
      </c>
    </row>
    <row r="208" spans="1:42" x14ac:dyDescent="0.25">
      <c r="A208">
        <v>207</v>
      </c>
      <c r="B208" t="s">
        <v>1295</v>
      </c>
      <c r="C208" t="s">
        <v>1295</v>
      </c>
      <c r="D208" t="s">
        <v>5656</v>
      </c>
      <c r="E208" t="s">
        <v>229</v>
      </c>
      <c r="F208" t="s">
        <v>229</v>
      </c>
      <c r="G208" t="s">
        <v>69</v>
      </c>
      <c r="H208" t="s">
        <v>70</v>
      </c>
      <c r="R208" t="s">
        <v>73</v>
      </c>
      <c r="S208" t="s">
        <v>73</v>
      </c>
      <c r="U208" t="s">
        <v>73</v>
      </c>
      <c r="V208" t="s">
        <v>73</v>
      </c>
      <c r="X208" t="s">
        <v>73</v>
      </c>
      <c r="Y208" t="s">
        <v>73</v>
      </c>
      <c r="AA208" t="s">
        <v>73</v>
      </c>
      <c r="AB208" t="s">
        <v>73</v>
      </c>
      <c r="AF208">
        <v>498.81869066518414</v>
      </c>
      <c r="AG208">
        <v>6.5454545454544997</v>
      </c>
      <c r="AH208">
        <v>43</v>
      </c>
      <c r="AI208">
        <v>153</v>
      </c>
      <c r="AJ208">
        <v>241.38440376939906</v>
      </c>
      <c r="AK208">
        <v>663.14545454544998</v>
      </c>
      <c r="AM208">
        <v>225.93816527715862</v>
      </c>
      <c r="AN208">
        <v>448</v>
      </c>
      <c r="AO208" t="s">
        <v>5657</v>
      </c>
      <c r="AP208" t="s">
        <v>5656</v>
      </c>
    </row>
    <row r="209" spans="1:42" x14ac:dyDescent="0.25">
      <c r="A209">
        <v>208</v>
      </c>
      <c r="B209" t="s">
        <v>1959</v>
      </c>
      <c r="C209" t="s">
        <v>1959</v>
      </c>
      <c r="D209" t="s">
        <v>1960</v>
      </c>
      <c r="E209" t="s">
        <v>3169</v>
      </c>
      <c r="F209" t="s">
        <v>379</v>
      </c>
      <c r="G209" t="s">
        <v>162</v>
      </c>
      <c r="H209" t="s">
        <v>163</v>
      </c>
      <c r="I209" t="s">
        <v>1961</v>
      </c>
      <c r="J209" t="s">
        <v>1719</v>
      </c>
      <c r="K209" t="s">
        <v>1720</v>
      </c>
      <c r="R209" t="s">
        <v>73</v>
      </c>
      <c r="S209" t="s">
        <v>73</v>
      </c>
      <c r="U209" t="s">
        <v>73</v>
      </c>
      <c r="V209" t="s">
        <v>73</v>
      </c>
      <c r="X209" t="s">
        <v>73</v>
      </c>
      <c r="Y209" t="s">
        <v>73</v>
      </c>
      <c r="AA209" t="s">
        <v>73</v>
      </c>
      <c r="AB209" t="s">
        <v>73</v>
      </c>
      <c r="AF209">
        <v>498.68538311795851</v>
      </c>
      <c r="AG209">
        <v>6.25</v>
      </c>
      <c r="AH209">
        <v>7</v>
      </c>
      <c r="AI209">
        <v>131</v>
      </c>
      <c r="AJ209">
        <v>261.65042568662057</v>
      </c>
      <c r="AK209">
        <v>626.4</v>
      </c>
      <c r="AM209">
        <v>260.31059596126875</v>
      </c>
      <c r="AN209">
        <v>424</v>
      </c>
      <c r="AO209" t="s">
        <v>5658</v>
      </c>
      <c r="AP209" t="s">
        <v>1960</v>
      </c>
    </row>
    <row r="210" spans="1:42" x14ac:dyDescent="0.25">
      <c r="A210">
        <v>209</v>
      </c>
      <c r="B210" t="s">
        <v>2981</v>
      </c>
      <c r="C210" t="s">
        <v>2981</v>
      </c>
      <c r="D210" t="s">
        <v>2531</v>
      </c>
      <c r="E210" t="s">
        <v>255</v>
      </c>
      <c r="F210" t="s">
        <v>256</v>
      </c>
      <c r="G210" t="s">
        <v>257</v>
      </c>
      <c r="H210" t="s">
        <v>258</v>
      </c>
      <c r="I210" t="s">
        <v>1534</v>
      </c>
      <c r="J210" t="s">
        <v>546</v>
      </c>
      <c r="K210" t="s">
        <v>547</v>
      </c>
      <c r="L210">
        <v>52.158888888888903</v>
      </c>
      <c r="M210">
        <v>4.4922222222222201</v>
      </c>
      <c r="Q210">
        <v>12</v>
      </c>
      <c r="R210" t="s">
        <v>2406</v>
      </c>
      <c r="S210" t="s">
        <v>2407</v>
      </c>
      <c r="T210">
        <v>1</v>
      </c>
      <c r="U210" t="s">
        <v>2428</v>
      </c>
      <c r="V210" t="s">
        <v>2429</v>
      </c>
      <c r="W210">
        <v>3</v>
      </c>
      <c r="X210" t="s">
        <v>2443</v>
      </c>
      <c r="Y210" t="s">
        <v>2444</v>
      </c>
      <c r="Z210">
        <v>3</v>
      </c>
      <c r="AA210" t="s">
        <v>1535</v>
      </c>
      <c r="AB210" t="s">
        <v>73</v>
      </c>
      <c r="AC210" t="s">
        <v>2895</v>
      </c>
      <c r="AD210" t="s">
        <v>2896</v>
      </c>
      <c r="AF210">
        <v>497.71869743741206</v>
      </c>
      <c r="AG210">
        <v>6.2333333333332996</v>
      </c>
      <c r="AH210">
        <v>89</v>
      </c>
      <c r="AI210">
        <v>138</v>
      </c>
      <c r="AJ210">
        <v>252.39114530083012</v>
      </c>
      <c r="AK210">
        <v>641.13333333332992</v>
      </c>
      <c r="AL210">
        <v>2004</v>
      </c>
      <c r="AM210">
        <v>353.34760342116215</v>
      </c>
      <c r="AN210">
        <v>0</v>
      </c>
      <c r="AO210" t="s">
        <v>5659</v>
      </c>
      <c r="AP210" t="s">
        <v>2531</v>
      </c>
    </row>
    <row r="211" spans="1:42" x14ac:dyDescent="0.25">
      <c r="A211">
        <v>210</v>
      </c>
      <c r="B211" t="s">
        <v>1310</v>
      </c>
      <c r="C211" t="s">
        <v>1310</v>
      </c>
      <c r="D211" t="s">
        <v>1311</v>
      </c>
      <c r="E211" t="s">
        <v>5312</v>
      </c>
      <c r="F211" t="s">
        <v>157</v>
      </c>
      <c r="G211" t="s">
        <v>158</v>
      </c>
      <c r="H211" t="s">
        <v>159</v>
      </c>
      <c r="I211" t="s">
        <v>5317</v>
      </c>
      <c r="J211" t="s">
        <v>3093</v>
      </c>
      <c r="K211" t="s">
        <v>3092</v>
      </c>
      <c r="L211" t="s">
        <v>5085</v>
      </c>
      <c r="M211" t="s">
        <v>5086</v>
      </c>
      <c r="Q211">
        <v>11</v>
      </c>
      <c r="R211" t="s">
        <v>2406</v>
      </c>
      <c r="S211" t="s">
        <v>2407</v>
      </c>
      <c r="T211">
        <v>1</v>
      </c>
      <c r="U211" t="s">
        <v>2432</v>
      </c>
      <c r="V211" t="s">
        <v>2433</v>
      </c>
      <c r="W211">
        <v>7</v>
      </c>
      <c r="X211" t="s">
        <v>2443</v>
      </c>
      <c r="Y211" t="s">
        <v>2444</v>
      </c>
      <c r="Z211">
        <v>3</v>
      </c>
      <c r="AA211" t="s">
        <v>73</v>
      </c>
      <c r="AB211" t="s">
        <v>73</v>
      </c>
      <c r="AF211">
        <v>497.25372409545935</v>
      </c>
      <c r="AG211">
        <v>5.6538461538462004</v>
      </c>
      <c r="AH211">
        <v>25</v>
      </c>
      <c r="AI211">
        <v>106</v>
      </c>
      <c r="AJ211">
        <v>291.17935155905485</v>
      </c>
      <c r="AK211">
        <v>570.38461538462002</v>
      </c>
      <c r="AM211">
        <v>407.65109218267673</v>
      </c>
      <c r="AN211">
        <v>0</v>
      </c>
      <c r="AO211" t="s">
        <v>5660</v>
      </c>
      <c r="AP211" t="s">
        <v>1311</v>
      </c>
    </row>
    <row r="212" spans="1:42" x14ac:dyDescent="0.25">
      <c r="A212">
        <v>211</v>
      </c>
      <c r="B212" t="s">
        <v>1874</v>
      </c>
      <c r="C212" t="s">
        <v>1874</v>
      </c>
      <c r="D212" t="s">
        <v>4752</v>
      </c>
      <c r="E212" t="s">
        <v>137</v>
      </c>
      <c r="F212" t="s">
        <v>138</v>
      </c>
      <c r="G212" t="s">
        <v>139</v>
      </c>
      <c r="H212" t="s">
        <v>140</v>
      </c>
      <c r="J212" t="s">
        <v>689</v>
      </c>
      <c r="K212" t="s">
        <v>690</v>
      </c>
      <c r="L212" t="s">
        <v>4750</v>
      </c>
      <c r="M212" t="s">
        <v>4751</v>
      </c>
      <c r="R212" t="s">
        <v>73</v>
      </c>
      <c r="S212" t="s">
        <v>73</v>
      </c>
      <c r="U212" t="s">
        <v>73</v>
      </c>
      <c r="V212" t="s">
        <v>73</v>
      </c>
      <c r="X212" t="s">
        <v>73</v>
      </c>
      <c r="Y212" t="s">
        <v>73</v>
      </c>
      <c r="AF212">
        <v>496.61383959441127</v>
      </c>
      <c r="AG212">
        <v>7.7857142857142998</v>
      </c>
      <c r="AH212">
        <v>13</v>
      </c>
      <c r="AI212">
        <v>287</v>
      </c>
      <c r="AJ212">
        <v>173.36458367632909</v>
      </c>
      <c r="AK212">
        <v>781.17142857143006</v>
      </c>
      <c r="AM212">
        <v>242.71041714686072</v>
      </c>
      <c r="AN212">
        <v>0</v>
      </c>
      <c r="AO212" t="s">
        <v>5661</v>
      </c>
      <c r="AP212" t="s">
        <v>4752</v>
      </c>
    </row>
    <row r="213" spans="1:42" x14ac:dyDescent="0.25">
      <c r="A213">
        <v>212</v>
      </c>
      <c r="B213" t="s">
        <v>1161</v>
      </c>
      <c r="C213" t="s">
        <v>1161</v>
      </c>
      <c r="D213" t="s">
        <v>5440</v>
      </c>
      <c r="E213" t="s">
        <v>67</v>
      </c>
      <c r="F213" t="s">
        <v>68</v>
      </c>
      <c r="G213" t="s">
        <v>3845</v>
      </c>
      <c r="H213" t="s">
        <v>3846</v>
      </c>
      <c r="I213" t="s">
        <v>1162</v>
      </c>
      <c r="J213" t="s">
        <v>71</v>
      </c>
      <c r="K213" t="s">
        <v>72</v>
      </c>
      <c r="L213" t="s">
        <v>5332</v>
      </c>
      <c r="M213" t="s">
        <v>5333</v>
      </c>
      <c r="R213" t="s">
        <v>2414</v>
      </c>
      <c r="S213" t="s">
        <v>2415</v>
      </c>
      <c r="T213">
        <v>3</v>
      </c>
      <c r="U213" t="s">
        <v>73</v>
      </c>
      <c r="V213" t="s">
        <v>73</v>
      </c>
      <c r="X213" t="s">
        <v>73</v>
      </c>
      <c r="Y213" t="s">
        <v>73</v>
      </c>
      <c r="AA213" t="s">
        <v>73</v>
      </c>
      <c r="AB213" t="s">
        <v>73</v>
      </c>
      <c r="AF213">
        <v>496.60018565150938</v>
      </c>
      <c r="AG213">
        <v>7.3823529411765003</v>
      </c>
      <c r="AH213">
        <v>33</v>
      </c>
      <c r="AI213">
        <v>229</v>
      </c>
      <c r="AJ213">
        <v>193.53615399187149</v>
      </c>
      <c r="AK213">
        <v>744.83529411765005</v>
      </c>
      <c r="AL213">
        <v>2007</v>
      </c>
      <c r="AM213">
        <v>242.95061558862002</v>
      </c>
      <c r="AN213">
        <v>112</v>
      </c>
      <c r="AO213" t="s">
        <v>5662</v>
      </c>
      <c r="AP213" t="s">
        <v>5440</v>
      </c>
    </row>
    <row r="214" spans="1:42" x14ac:dyDescent="0.25">
      <c r="A214">
        <v>213</v>
      </c>
      <c r="B214" t="s">
        <v>2303</v>
      </c>
      <c r="C214" t="s">
        <v>2303</v>
      </c>
      <c r="D214" t="s">
        <v>3047</v>
      </c>
      <c r="E214" t="s">
        <v>2170</v>
      </c>
      <c r="F214" t="s">
        <v>2171</v>
      </c>
      <c r="G214" t="s">
        <v>60</v>
      </c>
      <c r="H214" t="s">
        <v>61</v>
      </c>
      <c r="I214" t="s">
        <v>2304</v>
      </c>
      <c r="L214" t="s">
        <v>4851</v>
      </c>
      <c r="M214" t="s">
        <v>4852</v>
      </c>
      <c r="R214" t="s">
        <v>2420</v>
      </c>
      <c r="S214" t="s">
        <v>2421</v>
      </c>
      <c r="T214">
        <v>5</v>
      </c>
      <c r="U214" t="s">
        <v>73</v>
      </c>
      <c r="V214" t="s">
        <v>73</v>
      </c>
      <c r="X214" t="s">
        <v>73</v>
      </c>
      <c r="Y214" t="s">
        <v>73</v>
      </c>
      <c r="AA214" t="s">
        <v>73</v>
      </c>
      <c r="AB214" t="s">
        <v>73</v>
      </c>
      <c r="AF214">
        <v>495.99505934333467</v>
      </c>
      <c r="AG214">
        <v>7.7619047619048001</v>
      </c>
      <c r="AH214">
        <v>20</v>
      </c>
      <c r="AI214">
        <v>288</v>
      </c>
      <c r="AJ214">
        <v>173.22202360899411</v>
      </c>
      <c r="AK214">
        <v>780.19047619048001</v>
      </c>
      <c r="AM214">
        <v>130.51083305259172</v>
      </c>
      <c r="AN214">
        <v>448</v>
      </c>
      <c r="AO214" t="s">
        <v>5663</v>
      </c>
      <c r="AP214" t="s">
        <v>3047</v>
      </c>
    </row>
    <row r="215" spans="1:42" x14ac:dyDescent="0.25">
      <c r="A215">
        <v>214</v>
      </c>
      <c r="B215" t="s">
        <v>3417</v>
      </c>
      <c r="C215" t="s">
        <v>3417</v>
      </c>
      <c r="D215" t="s">
        <v>3419</v>
      </c>
      <c r="E215" t="s">
        <v>630</v>
      </c>
      <c r="F215" t="s">
        <v>631</v>
      </c>
      <c r="G215" t="s">
        <v>60</v>
      </c>
      <c r="H215" t="s">
        <v>61</v>
      </c>
      <c r="I215" t="s">
        <v>3418</v>
      </c>
      <c r="J215" t="s">
        <v>3036</v>
      </c>
      <c r="K215" t="s">
        <v>3353</v>
      </c>
      <c r="R215" t="s">
        <v>73</v>
      </c>
      <c r="S215" t="s">
        <v>73</v>
      </c>
      <c r="U215" t="s">
        <v>73</v>
      </c>
      <c r="V215" t="s">
        <v>73</v>
      </c>
      <c r="X215" t="s">
        <v>73</v>
      </c>
      <c r="Y215" t="s">
        <v>73</v>
      </c>
      <c r="AA215" t="s">
        <v>73</v>
      </c>
      <c r="AB215" t="s">
        <v>73</v>
      </c>
      <c r="AF215">
        <v>495.65236082632896</v>
      </c>
      <c r="AG215">
        <v>8.1428571428570997</v>
      </c>
      <c r="AH215">
        <v>6</v>
      </c>
      <c r="AI215">
        <v>346</v>
      </c>
      <c r="AJ215">
        <v>153.23278187052659</v>
      </c>
      <c r="AK215">
        <v>815.48571428571006</v>
      </c>
      <c r="AM215">
        <v>102.52589461873723</v>
      </c>
      <c r="AN215">
        <v>448</v>
      </c>
      <c r="AO215" t="s">
        <v>5664</v>
      </c>
      <c r="AP215" t="s">
        <v>3419</v>
      </c>
    </row>
    <row r="216" spans="1:42" x14ac:dyDescent="0.25">
      <c r="A216">
        <v>215</v>
      </c>
      <c r="B216" t="s">
        <v>4021</v>
      </c>
      <c r="C216" t="s">
        <v>4021</v>
      </c>
      <c r="D216" t="s">
        <v>4030</v>
      </c>
      <c r="E216" t="s">
        <v>3377</v>
      </c>
      <c r="F216" t="s">
        <v>3355</v>
      </c>
      <c r="G216" t="s">
        <v>60</v>
      </c>
      <c r="H216" t="s">
        <v>61</v>
      </c>
      <c r="I216" t="s">
        <v>4023</v>
      </c>
      <c r="Q216">
        <v>14</v>
      </c>
      <c r="R216" t="s">
        <v>2409</v>
      </c>
      <c r="S216" t="s">
        <v>2410</v>
      </c>
      <c r="T216">
        <v>2</v>
      </c>
      <c r="U216" t="s">
        <v>73</v>
      </c>
      <c r="V216" t="s">
        <v>73</v>
      </c>
      <c r="X216" t="s">
        <v>73</v>
      </c>
      <c r="Y216" t="s">
        <v>73</v>
      </c>
      <c r="AA216" t="s">
        <v>73</v>
      </c>
      <c r="AB216" t="s">
        <v>73</v>
      </c>
      <c r="AF216">
        <v>494.74073032354818</v>
      </c>
      <c r="AG216">
        <v>8.125</v>
      </c>
      <c r="AH216">
        <v>15</v>
      </c>
      <c r="AI216">
        <v>348</v>
      </c>
      <c r="AJ216">
        <v>152.21192258172016</v>
      </c>
      <c r="AK216">
        <v>815.5</v>
      </c>
      <c r="AM216">
        <v>101.0966916144082</v>
      </c>
      <c r="AN216">
        <v>448</v>
      </c>
      <c r="AO216" t="s">
        <v>5665</v>
      </c>
      <c r="AP216" t="s">
        <v>4030</v>
      </c>
    </row>
    <row r="217" spans="1:42" x14ac:dyDescent="0.25">
      <c r="A217">
        <v>216</v>
      </c>
      <c r="B217" t="s">
        <v>593</v>
      </c>
      <c r="C217" t="s">
        <v>593</v>
      </c>
      <c r="D217" t="s">
        <v>594</v>
      </c>
      <c r="E217" t="s">
        <v>595</v>
      </c>
      <c r="F217" t="s">
        <v>596</v>
      </c>
      <c r="G217" t="s">
        <v>3167</v>
      </c>
      <c r="H217" t="s">
        <v>3166</v>
      </c>
      <c r="I217" t="s">
        <v>597</v>
      </c>
      <c r="J217" t="s">
        <v>598</v>
      </c>
      <c r="K217" t="s">
        <v>599</v>
      </c>
      <c r="R217" t="s">
        <v>73</v>
      </c>
      <c r="S217" t="s">
        <v>73</v>
      </c>
      <c r="U217" t="s">
        <v>73</v>
      </c>
      <c r="V217" t="s">
        <v>73</v>
      </c>
      <c r="X217" t="s">
        <v>73</v>
      </c>
      <c r="Y217" t="s">
        <v>73</v>
      </c>
      <c r="AA217" t="s">
        <v>73</v>
      </c>
      <c r="AB217" t="s">
        <v>73</v>
      </c>
      <c r="AF217">
        <v>494.48293011335636</v>
      </c>
      <c r="AG217">
        <v>7.4583333333333002</v>
      </c>
      <c r="AH217">
        <v>23</v>
      </c>
      <c r="AI217">
        <v>248</v>
      </c>
      <c r="AJ217">
        <v>188.0736260518793</v>
      </c>
      <c r="AK217">
        <v>750.4333333333301</v>
      </c>
      <c r="AM217">
        <v>207.30307647263103</v>
      </c>
      <c r="AN217">
        <v>224</v>
      </c>
      <c r="AO217" t="s">
        <v>5666</v>
      </c>
      <c r="AP217" t="s">
        <v>594</v>
      </c>
    </row>
    <row r="218" spans="1:42" x14ac:dyDescent="0.25">
      <c r="A218">
        <v>217</v>
      </c>
      <c r="B218" t="s">
        <v>1616</v>
      </c>
      <c r="C218" t="s">
        <v>1616</v>
      </c>
      <c r="D218" t="s">
        <v>1617</v>
      </c>
      <c r="E218" t="s">
        <v>137</v>
      </c>
      <c r="F218" t="s">
        <v>138</v>
      </c>
      <c r="G218" t="s">
        <v>139</v>
      </c>
      <c r="H218" t="s">
        <v>140</v>
      </c>
      <c r="I218" t="s">
        <v>1618</v>
      </c>
      <c r="J218" t="s">
        <v>689</v>
      </c>
      <c r="K218" t="s">
        <v>690</v>
      </c>
      <c r="L218" t="s">
        <v>4668</v>
      </c>
      <c r="M218" t="s">
        <v>4669</v>
      </c>
      <c r="R218" t="s">
        <v>2420</v>
      </c>
      <c r="S218" t="s">
        <v>2421</v>
      </c>
      <c r="T218">
        <v>5</v>
      </c>
      <c r="U218" t="s">
        <v>2430</v>
      </c>
      <c r="V218" t="s">
        <v>2431</v>
      </c>
      <c r="W218">
        <v>6</v>
      </c>
      <c r="X218" t="s">
        <v>2437</v>
      </c>
      <c r="Y218" t="s">
        <v>2438</v>
      </c>
      <c r="Z218">
        <v>1</v>
      </c>
      <c r="AA218" t="s">
        <v>73</v>
      </c>
      <c r="AB218" t="s">
        <v>73</v>
      </c>
      <c r="AF218">
        <v>494.42058645891552</v>
      </c>
      <c r="AG218">
        <v>8.2972972972973</v>
      </c>
      <c r="AH218">
        <v>73</v>
      </c>
      <c r="AI218">
        <v>437</v>
      </c>
      <c r="AJ218">
        <v>135.83969066005605</v>
      </c>
      <c r="AK218">
        <v>844.32972972973005</v>
      </c>
      <c r="AM218">
        <v>190.17556692407845</v>
      </c>
      <c r="AN218">
        <v>0</v>
      </c>
      <c r="AO218" t="s">
        <v>5667</v>
      </c>
      <c r="AP218" t="s">
        <v>1617</v>
      </c>
    </row>
    <row r="219" spans="1:42" x14ac:dyDescent="0.25">
      <c r="A219">
        <v>218</v>
      </c>
      <c r="B219" t="s">
        <v>173</v>
      </c>
      <c r="C219" t="s">
        <v>173</v>
      </c>
      <c r="D219" t="s">
        <v>174</v>
      </c>
      <c r="E219" t="s">
        <v>74</v>
      </c>
      <c r="F219" t="s">
        <v>74</v>
      </c>
      <c r="G219" t="s">
        <v>75</v>
      </c>
      <c r="H219" t="s">
        <v>76</v>
      </c>
      <c r="Q219">
        <v>12</v>
      </c>
      <c r="R219" t="s">
        <v>2417</v>
      </c>
      <c r="S219" t="s">
        <v>2418</v>
      </c>
      <c r="T219">
        <v>4</v>
      </c>
      <c r="U219" t="s">
        <v>2432</v>
      </c>
      <c r="V219" t="s">
        <v>2433</v>
      </c>
      <c r="W219">
        <v>7</v>
      </c>
      <c r="X219" t="s">
        <v>2446</v>
      </c>
      <c r="Y219" t="s">
        <v>2447</v>
      </c>
      <c r="Z219">
        <v>4</v>
      </c>
      <c r="AA219" t="s">
        <v>73</v>
      </c>
      <c r="AB219" t="s">
        <v>73</v>
      </c>
      <c r="AF219">
        <v>494.32270635982832</v>
      </c>
      <c r="AG219">
        <v>7.7</v>
      </c>
      <c r="AH219">
        <v>9</v>
      </c>
      <c r="AI219">
        <v>281</v>
      </c>
      <c r="AJ219">
        <v>176.02522928869809</v>
      </c>
      <c r="AK219">
        <v>771.8</v>
      </c>
      <c r="AM219">
        <v>190.4353210041773</v>
      </c>
      <c r="AN219">
        <v>224</v>
      </c>
      <c r="AO219" t="s">
        <v>5668</v>
      </c>
      <c r="AP219" t="s">
        <v>174</v>
      </c>
    </row>
    <row r="220" spans="1:42" x14ac:dyDescent="0.25">
      <c r="A220">
        <v>219</v>
      </c>
      <c r="B220" t="s">
        <v>1935</v>
      </c>
      <c r="C220" t="s">
        <v>1935</v>
      </c>
      <c r="D220" t="s">
        <v>3982</v>
      </c>
      <c r="E220" t="s">
        <v>183</v>
      </c>
      <c r="F220" t="s">
        <v>184</v>
      </c>
      <c r="G220" t="s">
        <v>158</v>
      </c>
      <c r="H220" t="s">
        <v>159</v>
      </c>
      <c r="I220" t="s">
        <v>1936</v>
      </c>
      <c r="J220" t="s">
        <v>1205</v>
      </c>
      <c r="K220" t="s">
        <v>1206</v>
      </c>
      <c r="O220" t="s">
        <v>2619</v>
      </c>
      <c r="P220" t="s">
        <v>2619</v>
      </c>
      <c r="Q220">
        <v>11</v>
      </c>
      <c r="R220" t="s">
        <v>2409</v>
      </c>
      <c r="S220" t="s">
        <v>2410</v>
      </c>
      <c r="T220">
        <v>2</v>
      </c>
      <c r="U220" t="s">
        <v>2432</v>
      </c>
      <c r="V220" t="s">
        <v>2433</v>
      </c>
      <c r="W220">
        <v>7</v>
      </c>
      <c r="X220" t="s">
        <v>2437</v>
      </c>
      <c r="Y220" t="s">
        <v>2438</v>
      </c>
      <c r="Z220">
        <v>1</v>
      </c>
      <c r="AA220" t="s">
        <v>73</v>
      </c>
      <c r="AB220" t="s">
        <v>73</v>
      </c>
      <c r="AE220" t="s">
        <v>1937</v>
      </c>
      <c r="AF220">
        <v>494.05499918342593</v>
      </c>
      <c r="AG220">
        <v>7.4285714285714004</v>
      </c>
      <c r="AH220">
        <v>34</v>
      </c>
      <c r="AI220">
        <v>249</v>
      </c>
      <c r="AJ220">
        <v>188.02936417206217</v>
      </c>
      <c r="AK220">
        <v>749.65714285714</v>
      </c>
      <c r="AM220">
        <v>263.24110984088702</v>
      </c>
      <c r="AN220">
        <v>0</v>
      </c>
      <c r="AO220" t="s">
        <v>5669</v>
      </c>
      <c r="AP220" t="s">
        <v>3982</v>
      </c>
    </row>
    <row r="221" spans="1:42" x14ac:dyDescent="0.25">
      <c r="A221">
        <v>220</v>
      </c>
      <c r="B221" t="s">
        <v>1903</v>
      </c>
      <c r="C221" t="s">
        <v>1903</v>
      </c>
      <c r="D221" t="s">
        <v>1904</v>
      </c>
      <c r="E221" t="s">
        <v>1775</v>
      </c>
      <c r="F221" t="s">
        <v>1775</v>
      </c>
      <c r="G221" t="s">
        <v>1776</v>
      </c>
      <c r="H221" t="s">
        <v>1777</v>
      </c>
      <c r="R221" t="s">
        <v>2406</v>
      </c>
      <c r="S221" t="s">
        <v>2407</v>
      </c>
      <c r="T221">
        <v>1</v>
      </c>
      <c r="U221" t="s">
        <v>2430</v>
      </c>
      <c r="V221" t="s">
        <v>2431</v>
      </c>
      <c r="W221">
        <v>6</v>
      </c>
      <c r="X221" t="s">
        <v>2446</v>
      </c>
      <c r="Y221" t="s">
        <v>2447</v>
      </c>
      <c r="Z221">
        <v>4</v>
      </c>
      <c r="AA221" t="s">
        <v>73</v>
      </c>
      <c r="AB221" t="s">
        <v>73</v>
      </c>
      <c r="AF221">
        <v>494.00314673285698</v>
      </c>
      <c r="AG221">
        <v>6.5</v>
      </c>
      <c r="AH221">
        <v>11</v>
      </c>
      <c r="AI221">
        <v>152</v>
      </c>
      <c r="AJ221">
        <v>242.11460748095217</v>
      </c>
      <c r="AK221">
        <v>652.20000000000005</v>
      </c>
      <c r="AM221">
        <v>226.96045047333305</v>
      </c>
      <c r="AN221">
        <v>448</v>
      </c>
      <c r="AO221" t="s">
        <v>5670</v>
      </c>
      <c r="AP221" t="s">
        <v>1904</v>
      </c>
    </row>
    <row r="222" spans="1:42" x14ac:dyDescent="0.25">
      <c r="A222">
        <v>221</v>
      </c>
      <c r="B222" t="s">
        <v>1570</v>
      </c>
      <c r="C222" t="s">
        <v>1570</v>
      </c>
      <c r="D222" t="s">
        <v>1571</v>
      </c>
      <c r="E222" t="s">
        <v>218</v>
      </c>
      <c r="F222" t="s">
        <v>219</v>
      </c>
      <c r="G222" t="s">
        <v>69</v>
      </c>
      <c r="H222" t="s">
        <v>70</v>
      </c>
      <c r="I222" t="s">
        <v>1572</v>
      </c>
      <c r="J222" t="s">
        <v>1573</v>
      </c>
      <c r="K222" t="s">
        <v>1574</v>
      </c>
      <c r="L222" t="s">
        <v>4916</v>
      </c>
      <c r="M222" t="s">
        <v>4917</v>
      </c>
      <c r="R222" t="s">
        <v>2420</v>
      </c>
      <c r="S222" t="s">
        <v>2421</v>
      </c>
      <c r="T222">
        <v>5</v>
      </c>
      <c r="U222" t="s">
        <v>73</v>
      </c>
      <c r="V222" t="s">
        <v>73</v>
      </c>
      <c r="X222" t="s">
        <v>73</v>
      </c>
      <c r="Y222" t="s">
        <v>73</v>
      </c>
      <c r="AA222" t="s">
        <v>73</v>
      </c>
      <c r="AB222" t="s">
        <v>73</v>
      </c>
      <c r="AF222">
        <v>493.92635655755942</v>
      </c>
      <c r="AG222">
        <v>7.4615384615384999</v>
      </c>
      <c r="AH222">
        <v>12</v>
      </c>
      <c r="AI222">
        <v>245</v>
      </c>
      <c r="AJ222">
        <v>188.49937053403832</v>
      </c>
      <c r="AK222">
        <v>748.55384615384992</v>
      </c>
      <c r="AM222">
        <v>207.89911874765363</v>
      </c>
      <c r="AN222">
        <v>224</v>
      </c>
      <c r="AO222" t="s">
        <v>5671</v>
      </c>
      <c r="AP222" t="s">
        <v>1571</v>
      </c>
    </row>
    <row r="223" spans="1:42" x14ac:dyDescent="0.25">
      <c r="A223">
        <v>222</v>
      </c>
      <c r="B223" t="s">
        <v>2031</v>
      </c>
      <c r="C223" t="s">
        <v>2031</v>
      </c>
      <c r="D223" t="s">
        <v>2032</v>
      </c>
      <c r="E223" t="s">
        <v>183</v>
      </c>
      <c r="F223" t="s">
        <v>184</v>
      </c>
      <c r="G223" t="s">
        <v>158</v>
      </c>
      <c r="H223" t="s">
        <v>159</v>
      </c>
      <c r="J223" t="s">
        <v>2033</v>
      </c>
      <c r="K223" t="s">
        <v>2034</v>
      </c>
      <c r="L223">
        <v>47.236449999999998</v>
      </c>
      <c r="M223">
        <v>9.5993359999999992</v>
      </c>
      <c r="N223" t="s">
        <v>4218</v>
      </c>
      <c r="R223" t="s">
        <v>73</v>
      </c>
      <c r="S223" t="s">
        <v>73</v>
      </c>
      <c r="U223" t="s">
        <v>73</v>
      </c>
      <c r="V223" t="s">
        <v>73</v>
      </c>
      <c r="X223" t="s">
        <v>2437</v>
      </c>
      <c r="Y223" t="s">
        <v>2438</v>
      </c>
      <c r="Z223">
        <v>1</v>
      </c>
      <c r="AF223">
        <v>493.35768566706565</v>
      </c>
      <c r="AG223">
        <v>7</v>
      </c>
      <c r="AH223">
        <v>7</v>
      </c>
      <c r="AI223">
        <v>192</v>
      </c>
      <c r="AJ223">
        <v>214.06409518562847</v>
      </c>
      <c r="AK223">
        <v>701.4</v>
      </c>
      <c r="AM223">
        <v>299.68973325987986</v>
      </c>
      <c r="AN223">
        <v>0</v>
      </c>
      <c r="AO223" t="s">
        <v>5672</v>
      </c>
      <c r="AP223" t="s">
        <v>2032</v>
      </c>
    </row>
    <row r="224" spans="1:42" x14ac:dyDescent="0.25">
      <c r="A224">
        <v>223</v>
      </c>
      <c r="B224" t="s">
        <v>1255</v>
      </c>
      <c r="C224" t="s">
        <v>1255</v>
      </c>
      <c r="D224" t="s">
        <v>2470</v>
      </c>
      <c r="E224" t="s">
        <v>282</v>
      </c>
      <c r="F224" t="s">
        <v>283</v>
      </c>
      <c r="G224" t="s">
        <v>3167</v>
      </c>
      <c r="H224" t="s">
        <v>3166</v>
      </c>
      <c r="I224" t="s">
        <v>1256</v>
      </c>
      <c r="J224" t="s">
        <v>523</v>
      </c>
      <c r="K224" t="s">
        <v>524</v>
      </c>
      <c r="O224" t="s">
        <v>2546</v>
      </c>
      <c r="P224" t="s">
        <v>2546</v>
      </c>
      <c r="Q224">
        <v>13</v>
      </c>
      <c r="R224" t="s">
        <v>2409</v>
      </c>
      <c r="S224" t="s">
        <v>2410</v>
      </c>
      <c r="T224">
        <v>2</v>
      </c>
      <c r="U224" t="s">
        <v>2432</v>
      </c>
      <c r="V224" t="s">
        <v>2433</v>
      </c>
      <c r="W224">
        <v>7</v>
      </c>
      <c r="X224" t="s">
        <v>2443</v>
      </c>
      <c r="Y224" t="s">
        <v>2444</v>
      </c>
      <c r="Z224">
        <v>3</v>
      </c>
      <c r="AA224" t="s">
        <v>73</v>
      </c>
      <c r="AB224" t="s">
        <v>73</v>
      </c>
      <c r="AF224">
        <v>493.24703560460409</v>
      </c>
      <c r="AG224">
        <v>6.6071428571429003</v>
      </c>
      <c r="AH224">
        <v>27</v>
      </c>
      <c r="AI224">
        <v>161</v>
      </c>
      <c r="AJ224">
        <v>233.54432527495453</v>
      </c>
      <c r="AK224">
        <v>666.11428571428996</v>
      </c>
      <c r="AM224">
        <v>270.96205538493632</v>
      </c>
      <c r="AN224">
        <v>224</v>
      </c>
      <c r="AO224" t="s">
        <v>5673</v>
      </c>
      <c r="AP224" t="s">
        <v>2470</v>
      </c>
    </row>
    <row r="225" spans="1:42" x14ac:dyDescent="0.25">
      <c r="A225">
        <v>224</v>
      </c>
      <c r="B225" t="s">
        <v>484</v>
      </c>
      <c r="C225" t="s">
        <v>484</v>
      </c>
      <c r="D225" t="s">
        <v>485</v>
      </c>
      <c r="E225" t="s">
        <v>229</v>
      </c>
      <c r="F225" t="s">
        <v>229</v>
      </c>
      <c r="G225" t="s">
        <v>69</v>
      </c>
      <c r="H225" t="s">
        <v>70</v>
      </c>
      <c r="L225">
        <v>38.017400000000002</v>
      </c>
      <c r="M225">
        <v>-7.8654669999999998</v>
      </c>
      <c r="N225" t="s">
        <v>4224</v>
      </c>
      <c r="R225" t="s">
        <v>73</v>
      </c>
      <c r="S225" t="s">
        <v>73</v>
      </c>
      <c r="U225" t="s">
        <v>73</v>
      </c>
      <c r="V225" t="s">
        <v>73</v>
      </c>
      <c r="X225" t="s">
        <v>73</v>
      </c>
      <c r="Y225" t="s">
        <v>73</v>
      </c>
      <c r="AA225" t="s">
        <v>73</v>
      </c>
      <c r="AB225" t="s">
        <v>73</v>
      </c>
      <c r="AF225">
        <v>492.90788986128337</v>
      </c>
      <c r="AG225">
        <v>5.8333333333333002</v>
      </c>
      <c r="AH225">
        <v>29</v>
      </c>
      <c r="AI225">
        <v>113</v>
      </c>
      <c r="AJ225">
        <v>275.93469243846477</v>
      </c>
      <c r="AK225">
        <v>589.13333333333003</v>
      </c>
      <c r="AM225">
        <v>274.30856941385065</v>
      </c>
      <c r="AN225">
        <v>448</v>
      </c>
      <c r="AO225" t="s">
        <v>5674</v>
      </c>
      <c r="AP225" t="s">
        <v>485</v>
      </c>
    </row>
    <row r="226" spans="1:42" x14ac:dyDescent="0.25">
      <c r="A226">
        <v>225</v>
      </c>
      <c r="B226" t="s">
        <v>1932</v>
      </c>
      <c r="C226" t="s">
        <v>1932</v>
      </c>
      <c r="D226" t="s">
        <v>1933</v>
      </c>
      <c r="E226" t="s">
        <v>282</v>
      </c>
      <c r="F226" t="s">
        <v>283</v>
      </c>
      <c r="G226" t="s">
        <v>3167</v>
      </c>
      <c r="H226" t="s">
        <v>3166</v>
      </c>
      <c r="I226" t="s">
        <v>1934</v>
      </c>
      <c r="J226" t="s">
        <v>585</v>
      </c>
      <c r="K226" t="s">
        <v>586</v>
      </c>
      <c r="Q226">
        <v>11</v>
      </c>
      <c r="R226" t="s">
        <v>2406</v>
      </c>
      <c r="S226" t="s">
        <v>2407</v>
      </c>
      <c r="T226">
        <v>1</v>
      </c>
      <c r="U226" t="s">
        <v>2432</v>
      </c>
      <c r="V226" t="s">
        <v>2433</v>
      </c>
      <c r="W226">
        <v>7</v>
      </c>
      <c r="X226" t="s">
        <v>2443</v>
      </c>
      <c r="Y226" t="s">
        <v>2444</v>
      </c>
      <c r="Z226">
        <v>3</v>
      </c>
      <c r="AF226">
        <v>492.76271828627046</v>
      </c>
      <c r="AG226">
        <v>7.2580645161290001</v>
      </c>
      <c r="AH226">
        <v>30</v>
      </c>
      <c r="AI226">
        <v>221</v>
      </c>
      <c r="AJ226">
        <v>196.51054719980047</v>
      </c>
      <c r="AK226">
        <v>731.80645161289999</v>
      </c>
      <c r="AM226">
        <v>219.11476607972062</v>
      </c>
      <c r="AN226">
        <v>224</v>
      </c>
      <c r="AO226" t="s">
        <v>5675</v>
      </c>
      <c r="AP226" t="s">
        <v>1933</v>
      </c>
    </row>
    <row r="227" spans="1:42" x14ac:dyDescent="0.25">
      <c r="A227">
        <v>226</v>
      </c>
      <c r="B227" t="s">
        <v>2672</v>
      </c>
      <c r="C227" t="s">
        <v>2672</v>
      </c>
      <c r="D227" t="s">
        <v>3297</v>
      </c>
      <c r="E227" t="s">
        <v>300</v>
      </c>
      <c r="F227" t="s">
        <v>301</v>
      </c>
      <c r="G227" t="s">
        <v>151</v>
      </c>
      <c r="H227" t="s">
        <v>152</v>
      </c>
      <c r="I227" t="s">
        <v>2666</v>
      </c>
      <c r="J227" t="s">
        <v>3254</v>
      </c>
      <c r="K227" t="s">
        <v>3255</v>
      </c>
      <c r="O227" t="s">
        <v>3287</v>
      </c>
      <c r="P227" t="s">
        <v>3287</v>
      </c>
      <c r="Q227">
        <v>16</v>
      </c>
      <c r="R227" t="s">
        <v>2414</v>
      </c>
      <c r="S227" t="s">
        <v>2415</v>
      </c>
      <c r="T227">
        <v>3</v>
      </c>
      <c r="U227" t="s">
        <v>3137</v>
      </c>
      <c r="V227" t="s">
        <v>3136</v>
      </c>
      <c r="W227">
        <v>5</v>
      </c>
      <c r="X227" t="s">
        <v>2437</v>
      </c>
      <c r="Y227" t="s">
        <v>2438</v>
      </c>
      <c r="Z227">
        <v>1</v>
      </c>
      <c r="AE227" t="s">
        <v>3288</v>
      </c>
      <c r="AF227">
        <v>491.5966608847956</v>
      </c>
      <c r="AG227">
        <v>7.4615384615384999</v>
      </c>
      <c r="AH227">
        <v>12</v>
      </c>
      <c r="AI227">
        <v>252</v>
      </c>
      <c r="AJ227">
        <v>185.91081978652289</v>
      </c>
      <c r="AK227">
        <v>748.55384615384992</v>
      </c>
      <c r="AM227">
        <v>148.27514770113203</v>
      </c>
      <c r="AN227">
        <v>448</v>
      </c>
      <c r="AO227" t="s">
        <v>5676</v>
      </c>
      <c r="AP227" t="s">
        <v>3297</v>
      </c>
    </row>
    <row r="228" spans="1:42" x14ac:dyDescent="0.25">
      <c r="A228">
        <v>227</v>
      </c>
      <c r="B228" t="s">
        <v>3341</v>
      </c>
      <c r="C228" t="s">
        <v>3341</v>
      </c>
      <c r="D228" t="s">
        <v>4884</v>
      </c>
      <c r="E228" t="s">
        <v>630</v>
      </c>
      <c r="F228" t="s">
        <v>631</v>
      </c>
      <c r="G228" t="s">
        <v>60</v>
      </c>
      <c r="H228" t="s">
        <v>61</v>
      </c>
      <c r="J228" t="s">
        <v>3036</v>
      </c>
      <c r="K228" t="s">
        <v>3353</v>
      </c>
      <c r="R228" t="s">
        <v>73</v>
      </c>
      <c r="S228" t="s">
        <v>73</v>
      </c>
      <c r="U228" t="s">
        <v>73</v>
      </c>
      <c r="V228" t="s">
        <v>73</v>
      </c>
      <c r="X228" t="s">
        <v>73</v>
      </c>
      <c r="Y228" t="s">
        <v>73</v>
      </c>
      <c r="AA228" t="s">
        <v>73</v>
      </c>
      <c r="AB228" t="s">
        <v>73</v>
      </c>
      <c r="AF228">
        <v>491.54749987968216</v>
      </c>
      <c r="AG228">
        <v>8.1999999999999993</v>
      </c>
      <c r="AH228">
        <v>4</v>
      </c>
      <c r="AI228">
        <v>382</v>
      </c>
      <c r="AJ228">
        <v>145.71944431075798</v>
      </c>
      <c r="AK228">
        <v>820.79999999999984</v>
      </c>
      <c r="AM228">
        <v>92.007222035061133</v>
      </c>
      <c r="AN228">
        <v>448</v>
      </c>
      <c r="AO228" t="s">
        <v>5677</v>
      </c>
      <c r="AP228" t="s">
        <v>4884</v>
      </c>
    </row>
    <row r="229" spans="1:42" x14ac:dyDescent="0.25">
      <c r="A229">
        <v>228</v>
      </c>
      <c r="B229" t="s">
        <v>2082</v>
      </c>
      <c r="C229" t="s">
        <v>2082</v>
      </c>
      <c r="D229" t="s">
        <v>2887</v>
      </c>
      <c r="E229" t="s">
        <v>229</v>
      </c>
      <c r="F229" t="s">
        <v>229</v>
      </c>
      <c r="G229" t="s">
        <v>69</v>
      </c>
      <c r="H229" t="s">
        <v>70</v>
      </c>
      <c r="I229" t="s">
        <v>2083</v>
      </c>
      <c r="R229" t="s">
        <v>73</v>
      </c>
      <c r="S229" t="s">
        <v>73</v>
      </c>
      <c r="U229" t="s">
        <v>73</v>
      </c>
      <c r="V229" t="s">
        <v>73</v>
      </c>
      <c r="X229" t="s">
        <v>73</v>
      </c>
      <c r="Y229" t="s">
        <v>73</v>
      </c>
      <c r="AA229" t="s">
        <v>73</v>
      </c>
      <c r="AB229" t="s">
        <v>73</v>
      </c>
      <c r="AF229">
        <v>491.06387552178774</v>
      </c>
      <c r="AG229">
        <v>7.8787878787879002</v>
      </c>
      <c r="AH229">
        <v>32</v>
      </c>
      <c r="AI229">
        <v>328</v>
      </c>
      <c r="AJ229">
        <v>159.916090647103</v>
      </c>
      <c r="AK229">
        <v>794.27878787879001</v>
      </c>
      <c r="AM229">
        <v>111.8825269059442</v>
      </c>
      <c r="AN229">
        <v>448</v>
      </c>
      <c r="AO229" t="s">
        <v>5678</v>
      </c>
      <c r="AP229" t="s">
        <v>2887</v>
      </c>
    </row>
    <row r="230" spans="1:42" x14ac:dyDescent="0.25">
      <c r="A230">
        <v>229</v>
      </c>
      <c r="B230" t="s">
        <v>1930</v>
      </c>
      <c r="C230" t="s">
        <v>1930</v>
      </c>
      <c r="D230" t="s">
        <v>1931</v>
      </c>
      <c r="E230" t="s">
        <v>161</v>
      </c>
      <c r="F230" t="s">
        <v>161</v>
      </c>
      <c r="G230" t="s">
        <v>3167</v>
      </c>
      <c r="H230" t="s">
        <v>3166</v>
      </c>
      <c r="J230" t="s">
        <v>950</v>
      </c>
      <c r="K230" t="s">
        <v>951</v>
      </c>
      <c r="O230" t="s">
        <v>166</v>
      </c>
      <c r="P230" t="s">
        <v>167</v>
      </c>
      <c r="Q230">
        <v>13</v>
      </c>
      <c r="R230" t="s">
        <v>73</v>
      </c>
      <c r="S230" t="s">
        <v>73</v>
      </c>
      <c r="U230" t="s">
        <v>73</v>
      </c>
      <c r="V230" t="s">
        <v>73</v>
      </c>
      <c r="X230" t="s">
        <v>2443</v>
      </c>
      <c r="Y230" t="s">
        <v>2444</v>
      </c>
      <c r="Z230">
        <v>3</v>
      </c>
      <c r="AA230" t="s">
        <v>73</v>
      </c>
      <c r="AB230" t="s">
        <v>73</v>
      </c>
      <c r="AF230">
        <v>488.99796309155795</v>
      </c>
      <c r="AG230">
        <v>5.875</v>
      </c>
      <c r="AH230">
        <v>23</v>
      </c>
      <c r="AI230">
        <v>121</v>
      </c>
      <c r="AJ230">
        <v>269.94218121284212</v>
      </c>
      <c r="AK230">
        <v>592.1</v>
      </c>
      <c r="AM230">
        <v>377.91905369797894</v>
      </c>
      <c r="AN230">
        <v>0</v>
      </c>
      <c r="AO230" t="s">
        <v>5679</v>
      </c>
      <c r="AP230" t="s">
        <v>1931</v>
      </c>
    </row>
    <row r="231" spans="1:42" x14ac:dyDescent="0.25">
      <c r="A231">
        <v>230</v>
      </c>
      <c r="B231" t="s">
        <v>574</v>
      </c>
      <c r="C231" t="s">
        <v>574</v>
      </c>
      <c r="D231" t="s">
        <v>3806</v>
      </c>
      <c r="E231" t="s">
        <v>318</v>
      </c>
      <c r="F231" t="s">
        <v>319</v>
      </c>
      <c r="G231" t="s">
        <v>75</v>
      </c>
      <c r="H231" t="s">
        <v>76</v>
      </c>
      <c r="I231" t="s">
        <v>575</v>
      </c>
      <c r="R231" t="s">
        <v>73</v>
      </c>
      <c r="S231" t="s">
        <v>73</v>
      </c>
      <c r="U231" t="s">
        <v>73</v>
      </c>
      <c r="V231" t="s">
        <v>73</v>
      </c>
      <c r="X231" t="s">
        <v>73</v>
      </c>
      <c r="Y231" t="s">
        <v>73</v>
      </c>
      <c r="AA231" t="s">
        <v>73</v>
      </c>
      <c r="AB231" t="s">
        <v>73</v>
      </c>
      <c r="AF231">
        <v>488.7928173885357</v>
      </c>
      <c r="AG231">
        <v>7.0833333333333002</v>
      </c>
      <c r="AH231">
        <v>23</v>
      </c>
      <c r="AI231">
        <v>207</v>
      </c>
      <c r="AJ231">
        <v>202.58461191318963</v>
      </c>
      <c r="AK231">
        <v>712.9333333333301</v>
      </c>
      <c r="AM231">
        <v>199.61845667846549</v>
      </c>
      <c r="AN231">
        <v>336</v>
      </c>
      <c r="AO231" t="s">
        <v>5680</v>
      </c>
      <c r="AP231" t="s">
        <v>3806</v>
      </c>
    </row>
    <row r="232" spans="1:42" x14ac:dyDescent="0.25">
      <c r="A232">
        <v>231</v>
      </c>
      <c r="B232" t="s">
        <v>918</v>
      </c>
      <c r="C232" t="s">
        <v>918</v>
      </c>
      <c r="D232" t="s">
        <v>919</v>
      </c>
      <c r="E232" t="s">
        <v>595</v>
      </c>
      <c r="F232" t="s">
        <v>596</v>
      </c>
      <c r="G232" t="s">
        <v>3167</v>
      </c>
      <c r="H232" t="s">
        <v>3166</v>
      </c>
      <c r="I232" t="s">
        <v>920</v>
      </c>
      <c r="J232" t="s">
        <v>598</v>
      </c>
      <c r="K232" t="s">
        <v>599</v>
      </c>
      <c r="O232" t="s">
        <v>921</v>
      </c>
      <c r="P232" t="s">
        <v>921</v>
      </c>
      <c r="Q232">
        <v>14</v>
      </c>
      <c r="R232" t="s">
        <v>2406</v>
      </c>
      <c r="S232" t="s">
        <v>2407</v>
      </c>
      <c r="T232">
        <v>1</v>
      </c>
      <c r="U232" t="s">
        <v>3137</v>
      </c>
      <c r="V232" t="s">
        <v>3136</v>
      </c>
      <c r="W232">
        <v>5</v>
      </c>
      <c r="X232" t="s">
        <v>2443</v>
      </c>
      <c r="Y232" t="s">
        <v>2444</v>
      </c>
      <c r="Z232">
        <v>3</v>
      </c>
      <c r="AA232" t="s">
        <v>922</v>
      </c>
      <c r="AB232" t="s">
        <v>922</v>
      </c>
      <c r="AC232" t="s">
        <v>923</v>
      </c>
      <c r="AD232" t="s">
        <v>923</v>
      </c>
      <c r="AF232">
        <v>488.25797463297067</v>
      </c>
      <c r="AG232">
        <v>6.7931034482759003</v>
      </c>
      <c r="AH232">
        <v>28</v>
      </c>
      <c r="AI232">
        <v>181</v>
      </c>
      <c r="AJ232">
        <v>217.55866913241738</v>
      </c>
      <c r="AK232">
        <v>684.91034482759005</v>
      </c>
      <c r="AM232">
        <v>248.58213678538431</v>
      </c>
      <c r="AN232">
        <v>224</v>
      </c>
      <c r="AO232" t="s">
        <v>5681</v>
      </c>
      <c r="AP232" t="s">
        <v>919</v>
      </c>
    </row>
    <row r="233" spans="1:42" x14ac:dyDescent="0.25">
      <c r="A233">
        <v>232</v>
      </c>
      <c r="B233" t="s">
        <v>627</v>
      </c>
      <c r="C233" t="s">
        <v>627</v>
      </c>
      <c r="D233" t="s">
        <v>5682</v>
      </c>
      <c r="E233" t="s">
        <v>229</v>
      </c>
      <c r="F233" t="s">
        <v>229</v>
      </c>
      <c r="G233" t="s">
        <v>69</v>
      </c>
      <c r="H233" t="s">
        <v>70</v>
      </c>
      <c r="R233" t="s">
        <v>73</v>
      </c>
      <c r="S233" t="s">
        <v>73</v>
      </c>
      <c r="U233" t="s">
        <v>73</v>
      </c>
      <c r="V233" t="s">
        <v>73</v>
      </c>
      <c r="X233" t="s">
        <v>73</v>
      </c>
      <c r="Y233" t="s">
        <v>73</v>
      </c>
      <c r="AA233" t="s">
        <v>73</v>
      </c>
      <c r="AB233" t="s">
        <v>73</v>
      </c>
      <c r="AF233">
        <v>487.81334373459515</v>
      </c>
      <c r="AG233">
        <v>7.0526315789474001</v>
      </c>
      <c r="AH233">
        <v>18</v>
      </c>
      <c r="AI233">
        <v>204</v>
      </c>
      <c r="AJ233">
        <v>203.75751643025009</v>
      </c>
      <c r="AK233">
        <v>708.86315789474008</v>
      </c>
      <c r="AM233">
        <v>173.26052300235011</v>
      </c>
      <c r="AN233">
        <v>448</v>
      </c>
      <c r="AO233" t="s">
        <v>5683</v>
      </c>
      <c r="AP233" t="s">
        <v>5682</v>
      </c>
    </row>
    <row r="234" spans="1:42" x14ac:dyDescent="0.25">
      <c r="A234">
        <v>233</v>
      </c>
      <c r="B234" t="s">
        <v>1358</v>
      </c>
      <c r="C234" t="s">
        <v>1358</v>
      </c>
      <c r="D234" t="s">
        <v>2476</v>
      </c>
      <c r="E234" t="s">
        <v>282</v>
      </c>
      <c r="F234" t="s">
        <v>283</v>
      </c>
      <c r="G234" t="s">
        <v>3167</v>
      </c>
      <c r="H234" t="s">
        <v>3166</v>
      </c>
      <c r="I234" t="s">
        <v>1888</v>
      </c>
      <c r="J234" t="s">
        <v>368</v>
      </c>
      <c r="K234" t="s">
        <v>369</v>
      </c>
      <c r="L234">
        <v>51.186943999999997</v>
      </c>
      <c r="M234">
        <v>0.113889</v>
      </c>
      <c r="Q234">
        <v>12</v>
      </c>
      <c r="R234" t="s">
        <v>73</v>
      </c>
      <c r="S234" t="s">
        <v>73</v>
      </c>
      <c r="U234" t="s">
        <v>73</v>
      </c>
      <c r="V234" t="s">
        <v>73</v>
      </c>
      <c r="X234" t="s">
        <v>73</v>
      </c>
      <c r="Y234" t="s">
        <v>73</v>
      </c>
      <c r="AA234" t="s">
        <v>1359</v>
      </c>
      <c r="AB234" t="s">
        <v>1359</v>
      </c>
      <c r="AF234">
        <v>487.06625732177577</v>
      </c>
      <c r="AG234">
        <v>8.1875</v>
      </c>
      <c r="AH234">
        <v>31</v>
      </c>
      <c r="AI234">
        <v>418</v>
      </c>
      <c r="AJ234">
        <v>138.43473035752862</v>
      </c>
      <c r="AK234">
        <v>824.95</v>
      </c>
      <c r="AM234">
        <v>137.80862250054005</v>
      </c>
      <c r="AN234">
        <v>224</v>
      </c>
      <c r="AO234" t="s">
        <v>5684</v>
      </c>
      <c r="AP234" t="s">
        <v>2476</v>
      </c>
    </row>
    <row r="235" spans="1:42" x14ac:dyDescent="0.25">
      <c r="A235">
        <v>234</v>
      </c>
      <c r="B235" t="s">
        <v>3374</v>
      </c>
      <c r="C235" t="s">
        <v>4097</v>
      </c>
      <c r="D235" t="s">
        <v>3375</v>
      </c>
      <c r="E235" t="s">
        <v>3643</v>
      </c>
      <c r="F235" t="s">
        <v>786</v>
      </c>
      <c r="G235" t="s">
        <v>60</v>
      </c>
      <c r="H235" t="s">
        <v>61</v>
      </c>
      <c r="R235" t="s">
        <v>73</v>
      </c>
      <c r="S235" t="s">
        <v>73</v>
      </c>
      <c r="U235" t="s">
        <v>73</v>
      </c>
      <c r="V235" t="s">
        <v>73</v>
      </c>
      <c r="X235" t="s">
        <v>73</v>
      </c>
      <c r="Y235" t="s">
        <v>73</v>
      </c>
      <c r="AA235" t="s">
        <v>73</v>
      </c>
      <c r="AB235" t="s">
        <v>73</v>
      </c>
      <c r="AF235">
        <v>487.04749987968216</v>
      </c>
      <c r="AG235">
        <v>8.1</v>
      </c>
      <c r="AH235">
        <v>9</v>
      </c>
      <c r="AI235">
        <v>383</v>
      </c>
      <c r="AJ235">
        <v>145.71944431075798</v>
      </c>
      <c r="AK235">
        <v>811.8</v>
      </c>
      <c r="AM235">
        <v>92.007222035061133</v>
      </c>
      <c r="AN235">
        <v>448</v>
      </c>
      <c r="AO235" t="s">
        <v>5685</v>
      </c>
      <c r="AP235" t="s">
        <v>3375</v>
      </c>
    </row>
    <row r="236" spans="1:42" x14ac:dyDescent="0.25">
      <c r="A236">
        <v>235</v>
      </c>
      <c r="B236" t="s">
        <v>2402</v>
      </c>
      <c r="C236" t="s">
        <v>2402</v>
      </c>
      <c r="D236" t="s">
        <v>3174</v>
      </c>
      <c r="E236" t="s">
        <v>471</v>
      </c>
      <c r="F236" t="s">
        <v>472</v>
      </c>
      <c r="G236" t="s">
        <v>93</v>
      </c>
      <c r="H236" t="s">
        <v>94</v>
      </c>
      <c r="I236" t="s">
        <v>3214</v>
      </c>
      <c r="J236" t="s">
        <v>3240</v>
      </c>
      <c r="K236" t="s">
        <v>3175</v>
      </c>
      <c r="O236" t="s">
        <v>3190</v>
      </c>
      <c r="P236" t="s">
        <v>3190</v>
      </c>
      <c r="Q236">
        <v>13</v>
      </c>
      <c r="R236" t="s">
        <v>2417</v>
      </c>
      <c r="S236" t="s">
        <v>2418</v>
      </c>
      <c r="T236">
        <v>4</v>
      </c>
      <c r="U236" t="s">
        <v>2430</v>
      </c>
      <c r="V236" t="s">
        <v>2431</v>
      </c>
      <c r="W236">
        <v>6</v>
      </c>
      <c r="X236" t="s">
        <v>2440</v>
      </c>
      <c r="Y236" t="s">
        <v>2441</v>
      </c>
      <c r="Z236">
        <v>2</v>
      </c>
      <c r="AF236">
        <v>485.16541838894591</v>
      </c>
      <c r="AG236">
        <v>7.3953488372093004</v>
      </c>
      <c r="AH236">
        <v>42</v>
      </c>
      <c r="AI236">
        <v>272</v>
      </c>
      <c r="AJ236">
        <v>179.1088628094233</v>
      </c>
      <c r="AK236">
        <v>747.93488372092997</v>
      </c>
      <c r="AL236">
        <v>2005</v>
      </c>
      <c r="AM236">
        <v>222.75240793319261</v>
      </c>
      <c r="AN236">
        <v>112</v>
      </c>
      <c r="AO236" t="s">
        <v>5686</v>
      </c>
      <c r="AP236" t="s">
        <v>3174</v>
      </c>
    </row>
    <row r="237" spans="1:42" x14ac:dyDescent="0.25">
      <c r="A237">
        <v>236</v>
      </c>
      <c r="B237" t="s">
        <v>1624</v>
      </c>
      <c r="C237" t="s">
        <v>1624</v>
      </c>
      <c r="D237" t="s">
        <v>1625</v>
      </c>
      <c r="E237" t="s">
        <v>415</v>
      </c>
      <c r="F237" t="s">
        <v>415</v>
      </c>
      <c r="G237" t="s">
        <v>85</v>
      </c>
      <c r="H237" t="s">
        <v>86</v>
      </c>
      <c r="L237" t="s">
        <v>4276</v>
      </c>
      <c r="M237" t="s">
        <v>4277</v>
      </c>
      <c r="Q237">
        <v>16</v>
      </c>
      <c r="R237" t="s">
        <v>2409</v>
      </c>
      <c r="S237" t="s">
        <v>2410</v>
      </c>
      <c r="T237">
        <v>2</v>
      </c>
      <c r="U237" t="s">
        <v>3139</v>
      </c>
      <c r="V237" t="s">
        <v>3140</v>
      </c>
      <c r="W237">
        <v>4</v>
      </c>
      <c r="X237" t="s">
        <v>2437</v>
      </c>
      <c r="Y237" t="s">
        <v>2438</v>
      </c>
      <c r="Z237">
        <v>1</v>
      </c>
      <c r="AA237" t="s">
        <v>1626</v>
      </c>
      <c r="AB237" t="s">
        <v>1626</v>
      </c>
      <c r="AF237">
        <v>484.65379615901998</v>
      </c>
      <c r="AG237">
        <v>8.3913043478261002</v>
      </c>
      <c r="AH237">
        <v>22</v>
      </c>
      <c r="AI237">
        <v>481</v>
      </c>
      <c r="AJ237">
        <v>125.43175418634999</v>
      </c>
      <c r="AK237">
        <v>843.53043478260997</v>
      </c>
      <c r="AM237">
        <v>119.60445586088997</v>
      </c>
      <c r="AN237">
        <v>224</v>
      </c>
      <c r="AO237" t="s">
        <v>5687</v>
      </c>
      <c r="AP237" t="s">
        <v>1625</v>
      </c>
    </row>
    <row r="238" spans="1:42" x14ac:dyDescent="0.25">
      <c r="A238">
        <v>237</v>
      </c>
      <c r="B238" t="s">
        <v>3733</v>
      </c>
      <c r="C238" t="s">
        <v>3733</v>
      </c>
      <c r="D238" t="s">
        <v>3905</v>
      </c>
      <c r="E238" t="s">
        <v>137</v>
      </c>
      <c r="F238" t="s">
        <v>138</v>
      </c>
      <c r="G238" t="s">
        <v>139</v>
      </c>
      <c r="H238" t="s">
        <v>140</v>
      </c>
      <c r="I238" t="s">
        <v>3904</v>
      </c>
      <c r="J238" t="s">
        <v>296</v>
      </c>
      <c r="K238" t="s">
        <v>297</v>
      </c>
      <c r="L238" t="s">
        <v>4741</v>
      </c>
      <c r="M238" t="s">
        <v>4742</v>
      </c>
      <c r="O238" t="s">
        <v>3906</v>
      </c>
      <c r="P238" t="s">
        <v>3907</v>
      </c>
      <c r="Q238">
        <v>11</v>
      </c>
      <c r="R238" t="s">
        <v>2409</v>
      </c>
      <c r="S238" t="s">
        <v>2410</v>
      </c>
      <c r="T238">
        <v>2</v>
      </c>
      <c r="U238" t="s">
        <v>2434</v>
      </c>
      <c r="V238" t="s">
        <v>2435</v>
      </c>
      <c r="W238">
        <v>8</v>
      </c>
      <c r="X238" t="s">
        <v>2440</v>
      </c>
      <c r="Y238" t="s">
        <v>2441</v>
      </c>
      <c r="Z238">
        <v>2</v>
      </c>
      <c r="AA238" t="s">
        <v>73</v>
      </c>
      <c r="AB238" t="s">
        <v>73</v>
      </c>
      <c r="AE238" t="s">
        <v>3909</v>
      </c>
      <c r="AF238">
        <v>484.62576098651118</v>
      </c>
      <c r="AG238">
        <v>7.1666666666666998</v>
      </c>
      <c r="AH238">
        <v>11</v>
      </c>
      <c r="AI238">
        <v>225</v>
      </c>
      <c r="AJ238">
        <v>194.65825294797355</v>
      </c>
      <c r="AK238">
        <v>718.86666666666997</v>
      </c>
      <c r="AM238">
        <v>272.52155412716297</v>
      </c>
      <c r="AN238">
        <v>0</v>
      </c>
      <c r="AO238" t="s">
        <v>5688</v>
      </c>
      <c r="AP238" t="s">
        <v>3905</v>
      </c>
    </row>
    <row r="239" spans="1:42" x14ac:dyDescent="0.25">
      <c r="A239">
        <v>238</v>
      </c>
      <c r="B239" t="s">
        <v>1575</v>
      </c>
      <c r="C239" t="s">
        <v>1575</v>
      </c>
      <c r="D239" t="s">
        <v>1576</v>
      </c>
      <c r="E239" t="s">
        <v>199</v>
      </c>
      <c r="F239" t="s">
        <v>200</v>
      </c>
      <c r="I239" t="s">
        <v>446</v>
      </c>
      <c r="J239" t="s">
        <v>447</v>
      </c>
      <c r="K239" t="s">
        <v>448</v>
      </c>
      <c r="L239" t="s">
        <v>5163</v>
      </c>
      <c r="M239" t="s">
        <v>5164</v>
      </c>
      <c r="O239" t="s">
        <v>1561</v>
      </c>
      <c r="P239" t="s">
        <v>1562</v>
      </c>
      <c r="Q239">
        <v>12</v>
      </c>
      <c r="R239" t="s">
        <v>2420</v>
      </c>
      <c r="S239" t="s">
        <v>2421</v>
      </c>
      <c r="T239">
        <v>5</v>
      </c>
      <c r="U239" t="s">
        <v>2430</v>
      </c>
      <c r="V239" t="s">
        <v>2431</v>
      </c>
      <c r="W239">
        <v>6</v>
      </c>
      <c r="X239" t="s">
        <v>2449</v>
      </c>
      <c r="Y239" t="s">
        <v>2450</v>
      </c>
      <c r="Z239">
        <v>5</v>
      </c>
      <c r="AA239" t="s">
        <v>1577</v>
      </c>
      <c r="AB239" t="s">
        <v>1578</v>
      </c>
      <c r="AC239" t="s">
        <v>1579</v>
      </c>
      <c r="AD239" t="s">
        <v>1579</v>
      </c>
      <c r="AF239">
        <v>484.62465905799922</v>
      </c>
      <c r="AG239">
        <v>7.6521739130434998</v>
      </c>
      <c r="AH239">
        <v>114</v>
      </c>
      <c r="AI239">
        <v>337</v>
      </c>
      <c r="AJ239">
        <v>156.23995933980476</v>
      </c>
      <c r="AK239">
        <v>788.01739130434999</v>
      </c>
      <c r="AL239">
        <v>2005</v>
      </c>
      <c r="AM239">
        <v>218.73594307572665</v>
      </c>
      <c r="AN239">
        <v>0</v>
      </c>
      <c r="AO239" t="s">
        <v>5689</v>
      </c>
      <c r="AP239" t="s">
        <v>1576</v>
      </c>
    </row>
    <row r="240" spans="1:42" x14ac:dyDescent="0.25">
      <c r="A240">
        <v>239</v>
      </c>
      <c r="B240" t="s">
        <v>1174</v>
      </c>
      <c r="C240" t="s">
        <v>1174</v>
      </c>
      <c r="D240" t="s">
        <v>1175</v>
      </c>
      <c r="E240" t="s">
        <v>161</v>
      </c>
      <c r="F240" t="s">
        <v>161</v>
      </c>
      <c r="G240" t="s">
        <v>3167</v>
      </c>
      <c r="H240" t="s">
        <v>3166</v>
      </c>
      <c r="J240" t="s">
        <v>1176</v>
      </c>
      <c r="K240" t="s">
        <v>951</v>
      </c>
      <c r="L240" t="s">
        <v>5153</v>
      </c>
      <c r="M240" t="s">
        <v>5154</v>
      </c>
      <c r="O240" t="s">
        <v>166</v>
      </c>
      <c r="P240" t="s">
        <v>167</v>
      </c>
      <c r="Q240">
        <v>13</v>
      </c>
      <c r="R240" t="s">
        <v>2417</v>
      </c>
      <c r="S240" t="s">
        <v>2418</v>
      </c>
      <c r="T240">
        <v>4</v>
      </c>
      <c r="U240" t="s">
        <v>2434</v>
      </c>
      <c r="V240" t="s">
        <v>2435</v>
      </c>
      <c r="W240">
        <v>8</v>
      </c>
      <c r="X240" t="s">
        <v>2446</v>
      </c>
      <c r="Y240" t="s">
        <v>2447</v>
      </c>
      <c r="Z240">
        <v>4</v>
      </c>
      <c r="AE240" t="s">
        <v>1177</v>
      </c>
      <c r="AF240">
        <v>484.49825879377579</v>
      </c>
      <c r="AG240">
        <v>4.5862068965517002</v>
      </c>
      <c r="AH240">
        <v>28</v>
      </c>
      <c r="AI240">
        <v>80</v>
      </c>
      <c r="AJ240">
        <v>335.98657107354529</v>
      </c>
      <c r="AK240">
        <v>464.22068965517002</v>
      </c>
      <c r="AM240">
        <v>470.38119950296334</v>
      </c>
      <c r="AN240">
        <v>0</v>
      </c>
      <c r="AO240" t="s">
        <v>5690</v>
      </c>
      <c r="AP240" t="s">
        <v>1175</v>
      </c>
    </row>
    <row r="241" spans="1:42" x14ac:dyDescent="0.25">
      <c r="A241">
        <v>240</v>
      </c>
      <c r="B241" t="s">
        <v>3805</v>
      </c>
      <c r="C241" t="s">
        <v>4088</v>
      </c>
      <c r="D241" t="s">
        <v>4824</v>
      </c>
      <c r="E241" t="s">
        <v>318</v>
      </c>
      <c r="F241" t="s">
        <v>319</v>
      </c>
      <c r="G241" t="s">
        <v>75</v>
      </c>
      <c r="H241" t="s">
        <v>76</v>
      </c>
      <c r="Q241">
        <v>15</v>
      </c>
      <c r="R241" t="s">
        <v>2409</v>
      </c>
      <c r="S241" t="s">
        <v>2410</v>
      </c>
      <c r="T241">
        <v>2</v>
      </c>
      <c r="U241" t="s">
        <v>73</v>
      </c>
      <c r="V241" t="s">
        <v>73</v>
      </c>
      <c r="X241" t="s">
        <v>2446</v>
      </c>
      <c r="Y241" t="s">
        <v>2447</v>
      </c>
      <c r="Z241">
        <v>4</v>
      </c>
      <c r="AA241" t="s">
        <v>73</v>
      </c>
      <c r="AB241" t="s">
        <v>73</v>
      </c>
      <c r="AF241">
        <v>484.05825454678234</v>
      </c>
      <c r="AG241">
        <v>7.2</v>
      </c>
      <c r="AH241">
        <v>4</v>
      </c>
      <c r="AI241">
        <v>231</v>
      </c>
      <c r="AJ241">
        <v>192.95361616309151</v>
      </c>
      <c r="AK241">
        <v>720.8</v>
      </c>
      <c r="AM241">
        <v>186.13506262832811</v>
      </c>
      <c r="AN241">
        <v>336</v>
      </c>
      <c r="AO241" t="s">
        <v>5691</v>
      </c>
      <c r="AP241" t="s">
        <v>4824</v>
      </c>
    </row>
    <row r="242" spans="1:42" x14ac:dyDescent="0.25">
      <c r="A242">
        <v>241</v>
      </c>
      <c r="B242" t="s">
        <v>2186</v>
      </c>
      <c r="C242" t="s">
        <v>2186</v>
      </c>
      <c r="D242" t="s">
        <v>3345</v>
      </c>
      <c r="E242" t="s">
        <v>169</v>
      </c>
      <c r="F242" t="s">
        <v>170</v>
      </c>
      <c r="G242" t="s">
        <v>79</v>
      </c>
      <c r="H242" t="s">
        <v>80</v>
      </c>
      <c r="R242" t="s">
        <v>73</v>
      </c>
      <c r="S242" t="s">
        <v>73</v>
      </c>
      <c r="U242" t="s">
        <v>73</v>
      </c>
      <c r="V242" t="s">
        <v>73</v>
      </c>
      <c r="X242" t="s">
        <v>73</v>
      </c>
      <c r="Y242" t="s">
        <v>73</v>
      </c>
      <c r="AA242" t="s">
        <v>73</v>
      </c>
      <c r="AB242" t="s">
        <v>73</v>
      </c>
      <c r="AF242">
        <v>481.32196043053273</v>
      </c>
      <c r="AG242">
        <v>7.625</v>
      </c>
      <c r="AH242">
        <v>7</v>
      </c>
      <c r="AI242">
        <v>304</v>
      </c>
      <c r="AJ242">
        <v>165.96884492281418</v>
      </c>
      <c r="AK242">
        <v>763.9</v>
      </c>
      <c r="AM242">
        <v>148.35638289193986</v>
      </c>
      <c r="AN242">
        <v>336</v>
      </c>
      <c r="AO242" t="s">
        <v>5692</v>
      </c>
      <c r="AP242" t="s">
        <v>3345</v>
      </c>
    </row>
    <row r="243" spans="1:42" x14ac:dyDescent="0.25">
      <c r="A243">
        <v>242</v>
      </c>
      <c r="B243" t="s">
        <v>2728</v>
      </c>
      <c r="C243" t="s">
        <v>2728</v>
      </c>
      <c r="D243" t="s">
        <v>588</v>
      </c>
      <c r="E243" t="s">
        <v>199</v>
      </c>
      <c r="F243" t="s">
        <v>200</v>
      </c>
      <c r="I243" t="s">
        <v>589</v>
      </c>
      <c r="J243" t="s">
        <v>452</v>
      </c>
      <c r="K243" t="s">
        <v>453</v>
      </c>
      <c r="L243" t="s">
        <v>5165</v>
      </c>
      <c r="M243" t="s">
        <v>5166</v>
      </c>
      <c r="O243" t="s">
        <v>73</v>
      </c>
      <c r="P243" t="s">
        <v>73</v>
      </c>
      <c r="R243" t="s">
        <v>2406</v>
      </c>
      <c r="S243" t="s">
        <v>2407</v>
      </c>
      <c r="T243">
        <v>1</v>
      </c>
      <c r="U243" t="s">
        <v>73</v>
      </c>
      <c r="V243" t="s">
        <v>73</v>
      </c>
      <c r="X243" t="s">
        <v>2443</v>
      </c>
      <c r="Y243" t="s">
        <v>2444</v>
      </c>
      <c r="Z243">
        <v>3</v>
      </c>
      <c r="AA243" t="s">
        <v>73</v>
      </c>
      <c r="AB243" t="s">
        <v>73</v>
      </c>
      <c r="AF243">
        <v>480.72389293622894</v>
      </c>
      <c r="AG243">
        <v>6.6511627906977004</v>
      </c>
      <c r="AH243">
        <v>42</v>
      </c>
      <c r="AI243">
        <v>188</v>
      </c>
      <c r="AJ243">
        <v>215.51750377927101</v>
      </c>
      <c r="AK243">
        <v>673.51627906977001</v>
      </c>
      <c r="AM243">
        <v>301.72450529097938</v>
      </c>
      <c r="AN243">
        <v>0</v>
      </c>
      <c r="AO243" t="s">
        <v>5693</v>
      </c>
      <c r="AP243" t="s">
        <v>588</v>
      </c>
    </row>
    <row r="244" spans="1:42" x14ac:dyDescent="0.25">
      <c r="A244">
        <v>243</v>
      </c>
      <c r="B244" t="s">
        <v>2327</v>
      </c>
      <c r="C244" t="s">
        <v>2327</v>
      </c>
      <c r="D244" t="s">
        <v>2328</v>
      </c>
      <c r="E244" t="s">
        <v>67</v>
      </c>
      <c r="F244" t="s">
        <v>68</v>
      </c>
      <c r="G244" t="s">
        <v>3845</v>
      </c>
      <c r="H244" t="s">
        <v>3846</v>
      </c>
      <c r="J244" t="s">
        <v>1293</v>
      </c>
      <c r="K244" t="s">
        <v>1294</v>
      </c>
      <c r="L244" t="s">
        <v>5334</v>
      </c>
      <c r="M244" t="s">
        <v>5335</v>
      </c>
      <c r="R244" t="s">
        <v>73</v>
      </c>
      <c r="S244" t="s">
        <v>73</v>
      </c>
      <c r="U244" t="s">
        <v>73</v>
      </c>
      <c r="V244" t="s">
        <v>73</v>
      </c>
      <c r="X244" t="s">
        <v>73</v>
      </c>
      <c r="Y244" t="s">
        <v>73</v>
      </c>
      <c r="AA244" t="s">
        <v>73</v>
      </c>
      <c r="AB244" t="s">
        <v>73</v>
      </c>
      <c r="AF244">
        <v>480.60448428541849</v>
      </c>
      <c r="AG244">
        <v>6.7142857142857002</v>
      </c>
      <c r="AH244">
        <v>6</v>
      </c>
      <c r="AI244">
        <v>187</v>
      </c>
      <c r="AJ244">
        <v>215.87799841237057</v>
      </c>
      <c r="AK244">
        <v>672.62857142857001</v>
      </c>
      <c r="AM244">
        <v>274.2291977773188</v>
      </c>
      <c r="AN244">
        <v>112</v>
      </c>
      <c r="AO244" t="s">
        <v>5694</v>
      </c>
      <c r="AP244" t="s">
        <v>2328</v>
      </c>
    </row>
    <row r="245" spans="1:42" x14ac:dyDescent="0.25">
      <c r="A245">
        <v>244</v>
      </c>
      <c r="B245" t="s">
        <v>1099</v>
      </c>
      <c r="C245" t="s">
        <v>4150</v>
      </c>
      <c r="D245" t="s">
        <v>4976</v>
      </c>
      <c r="E245" t="s">
        <v>218</v>
      </c>
      <c r="F245" t="s">
        <v>219</v>
      </c>
      <c r="G245" t="s">
        <v>69</v>
      </c>
      <c r="H245" t="s">
        <v>70</v>
      </c>
      <c r="I245" t="s">
        <v>4977</v>
      </c>
      <c r="J245" t="s">
        <v>241</v>
      </c>
      <c r="K245" t="s">
        <v>242</v>
      </c>
      <c r="L245" t="s">
        <v>4974</v>
      </c>
      <c r="M245" t="s">
        <v>4975</v>
      </c>
      <c r="R245" t="s">
        <v>73</v>
      </c>
      <c r="S245" t="s">
        <v>73</v>
      </c>
      <c r="U245" t="s">
        <v>73</v>
      </c>
      <c r="V245" t="s">
        <v>73</v>
      </c>
      <c r="X245" t="s">
        <v>73</v>
      </c>
      <c r="Y245" t="s">
        <v>73</v>
      </c>
      <c r="AA245" t="s">
        <v>73</v>
      </c>
      <c r="AB245" t="s">
        <v>73</v>
      </c>
      <c r="AF245">
        <v>480.54558740060713</v>
      </c>
      <c r="AG245">
        <v>8.0434782608696</v>
      </c>
      <c r="AH245">
        <v>22</v>
      </c>
      <c r="AI245">
        <v>410</v>
      </c>
      <c r="AJ245">
        <v>140.19074928569685</v>
      </c>
      <c r="AK245">
        <v>808.74782608696</v>
      </c>
      <c r="AM245">
        <v>140.2670489999756</v>
      </c>
      <c r="AN245">
        <v>224</v>
      </c>
      <c r="AO245" t="s">
        <v>5695</v>
      </c>
      <c r="AP245" t="s">
        <v>4976</v>
      </c>
    </row>
    <row r="246" spans="1:42" x14ac:dyDescent="0.25">
      <c r="A246">
        <v>245</v>
      </c>
      <c r="B246" t="s">
        <v>2077</v>
      </c>
      <c r="C246" t="s">
        <v>2077</v>
      </c>
      <c r="D246" t="s">
        <v>2078</v>
      </c>
      <c r="E246" t="s">
        <v>229</v>
      </c>
      <c r="F246" t="s">
        <v>229</v>
      </c>
      <c r="G246" t="s">
        <v>69</v>
      </c>
      <c r="H246" t="s">
        <v>70</v>
      </c>
      <c r="J246" t="s">
        <v>2079</v>
      </c>
      <c r="K246" t="s">
        <v>2080</v>
      </c>
      <c r="R246" t="s">
        <v>73</v>
      </c>
      <c r="S246" t="s">
        <v>73</v>
      </c>
      <c r="U246" t="s">
        <v>73</v>
      </c>
      <c r="V246" t="s">
        <v>73</v>
      </c>
      <c r="X246" t="s">
        <v>73</v>
      </c>
      <c r="Y246" t="s">
        <v>73</v>
      </c>
      <c r="AA246" t="s">
        <v>73</v>
      </c>
      <c r="AB246" t="s">
        <v>73</v>
      </c>
      <c r="AF246">
        <v>480.48721138976839</v>
      </c>
      <c r="AG246">
        <v>7.3913043478261002</v>
      </c>
      <c r="AH246">
        <v>22</v>
      </c>
      <c r="AI246">
        <v>280</v>
      </c>
      <c r="AJ246">
        <v>176.3577711094037</v>
      </c>
      <c r="AK246">
        <v>743.53043478260997</v>
      </c>
      <c r="AM246">
        <v>134.90087955316517</v>
      </c>
      <c r="AN246">
        <v>448</v>
      </c>
      <c r="AO246" t="s">
        <v>5696</v>
      </c>
      <c r="AP246" t="s">
        <v>2078</v>
      </c>
    </row>
    <row r="247" spans="1:42" x14ac:dyDescent="0.25">
      <c r="A247">
        <v>246</v>
      </c>
      <c r="B247" t="s">
        <v>2162</v>
      </c>
      <c r="C247" t="s">
        <v>2162</v>
      </c>
      <c r="D247" t="s">
        <v>2163</v>
      </c>
      <c r="E247" t="s">
        <v>595</v>
      </c>
      <c r="F247" t="s">
        <v>596</v>
      </c>
      <c r="G247" t="s">
        <v>3167</v>
      </c>
      <c r="H247" t="s">
        <v>3166</v>
      </c>
      <c r="I247" t="s">
        <v>4125</v>
      </c>
      <c r="J247" t="s">
        <v>607</v>
      </c>
      <c r="K247" t="s">
        <v>608</v>
      </c>
      <c r="O247" t="s">
        <v>2648</v>
      </c>
      <c r="P247" t="s">
        <v>2648</v>
      </c>
      <c r="Q247">
        <v>14</v>
      </c>
      <c r="R247" t="s">
        <v>2409</v>
      </c>
      <c r="S247" t="s">
        <v>2410</v>
      </c>
      <c r="T247">
        <v>2</v>
      </c>
      <c r="U247" t="s">
        <v>3137</v>
      </c>
      <c r="V247" t="s">
        <v>3136</v>
      </c>
      <c r="W247">
        <v>5</v>
      </c>
      <c r="X247" t="s">
        <v>2443</v>
      </c>
      <c r="Y247" t="s">
        <v>2444</v>
      </c>
      <c r="Z247">
        <v>3</v>
      </c>
      <c r="AA247" t="s">
        <v>73</v>
      </c>
      <c r="AB247" t="s">
        <v>73</v>
      </c>
      <c r="AF247">
        <v>480.3982742100053</v>
      </c>
      <c r="AG247">
        <v>6.4</v>
      </c>
      <c r="AH247">
        <v>49</v>
      </c>
      <c r="AI247">
        <v>168</v>
      </c>
      <c r="AJ247">
        <v>228.33141578889476</v>
      </c>
      <c r="AK247">
        <v>649.79999999999995</v>
      </c>
      <c r="AM247">
        <v>263.66398210445266</v>
      </c>
      <c r="AN247">
        <v>224</v>
      </c>
      <c r="AO247" t="s">
        <v>5697</v>
      </c>
      <c r="AP247" t="s">
        <v>2163</v>
      </c>
    </row>
    <row r="248" spans="1:42" x14ac:dyDescent="0.25">
      <c r="A248">
        <v>247</v>
      </c>
      <c r="B248" t="s">
        <v>2881</v>
      </c>
      <c r="C248" t="s">
        <v>2881</v>
      </c>
      <c r="D248" t="s">
        <v>2882</v>
      </c>
      <c r="E248" t="s">
        <v>209</v>
      </c>
      <c r="F248" t="s">
        <v>210</v>
      </c>
      <c r="G248" t="s">
        <v>151</v>
      </c>
      <c r="H248" t="s">
        <v>152</v>
      </c>
      <c r="R248" t="s">
        <v>73</v>
      </c>
      <c r="S248" t="s">
        <v>73</v>
      </c>
      <c r="U248" t="s">
        <v>73</v>
      </c>
      <c r="V248" t="s">
        <v>73</v>
      </c>
      <c r="X248" t="s">
        <v>73</v>
      </c>
      <c r="Y248" t="s">
        <v>73</v>
      </c>
      <c r="AA248" t="s">
        <v>73</v>
      </c>
      <c r="AB248" t="s">
        <v>73</v>
      </c>
      <c r="AF248">
        <v>479.93867341210751</v>
      </c>
      <c r="AG248">
        <v>6.0769230769230997</v>
      </c>
      <c r="AH248">
        <v>12</v>
      </c>
      <c r="AI248">
        <v>142</v>
      </c>
      <c r="AJ248">
        <v>249.88057729550277</v>
      </c>
      <c r="AK248">
        <v>610.09230769230999</v>
      </c>
      <c r="AM248">
        <v>237.83280821370388</v>
      </c>
      <c r="AN248">
        <v>448</v>
      </c>
      <c r="AO248" t="s">
        <v>5698</v>
      </c>
      <c r="AP248" t="s">
        <v>2882</v>
      </c>
    </row>
    <row r="249" spans="1:42" x14ac:dyDescent="0.25">
      <c r="A249">
        <v>248</v>
      </c>
      <c r="B249" t="s">
        <v>2262</v>
      </c>
      <c r="C249" t="s">
        <v>4117</v>
      </c>
      <c r="D249" t="s">
        <v>3826</v>
      </c>
      <c r="E249" t="s">
        <v>199</v>
      </c>
      <c r="F249" t="s">
        <v>200</v>
      </c>
      <c r="G249" t="s">
        <v>139</v>
      </c>
      <c r="H249" t="s">
        <v>140</v>
      </c>
      <c r="I249" t="s">
        <v>3827</v>
      </c>
      <c r="J249" t="s">
        <v>326</v>
      </c>
      <c r="K249" t="s">
        <v>327</v>
      </c>
      <c r="L249" t="s">
        <v>4613</v>
      </c>
      <c r="M249" t="s">
        <v>4614</v>
      </c>
      <c r="R249" t="s">
        <v>2409</v>
      </c>
      <c r="S249" t="s">
        <v>2410</v>
      </c>
      <c r="T249">
        <v>2</v>
      </c>
      <c r="U249" t="s">
        <v>73</v>
      </c>
      <c r="V249" t="s">
        <v>73</v>
      </c>
      <c r="X249" t="s">
        <v>73</v>
      </c>
      <c r="Y249" t="s">
        <v>73</v>
      </c>
      <c r="AA249" t="s">
        <v>73</v>
      </c>
      <c r="AB249" t="s">
        <v>73</v>
      </c>
      <c r="AF249">
        <v>479.60223237096602</v>
      </c>
      <c r="AG249">
        <v>6.6904761904761996</v>
      </c>
      <c r="AH249">
        <v>41</v>
      </c>
      <c r="AI249">
        <v>193</v>
      </c>
      <c r="AJ249">
        <v>212.19824760795117</v>
      </c>
      <c r="AK249">
        <v>677.24761904761999</v>
      </c>
      <c r="AL249">
        <v>2002</v>
      </c>
      <c r="AM249">
        <v>297.07754665113163</v>
      </c>
      <c r="AN249">
        <v>0</v>
      </c>
      <c r="AO249" t="s">
        <v>5699</v>
      </c>
      <c r="AP249" t="s">
        <v>3826</v>
      </c>
    </row>
    <row r="250" spans="1:42" x14ac:dyDescent="0.25">
      <c r="A250">
        <v>249</v>
      </c>
      <c r="B250" t="s">
        <v>604</v>
      </c>
      <c r="C250" t="s">
        <v>604</v>
      </c>
      <c r="D250" t="s">
        <v>605</v>
      </c>
      <c r="E250" t="s">
        <v>595</v>
      </c>
      <c r="F250" t="s">
        <v>596</v>
      </c>
      <c r="G250" t="s">
        <v>3167</v>
      </c>
      <c r="H250" t="s">
        <v>3166</v>
      </c>
      <c r="I250" t="s">
        <v>606</v>
      </c>
      <c r="J250" t="s">
        <v>607</v>
      </c>
      <c r="K250" t="s">
        <v>608</v>
      </c>
      <c r="R250" t="s">
        <v>73</v>
      </c>
      <c r="S250" t="s">
        <v>73</v>
      </c>
      <c r="U250" t="s">
        <v>73</v>
      </c>
      <c r="V250" t="s">
        <v>73</v>
      </c>
      <c r="X250" t="s">
        <v>73</v>
      </c>
      <c r="Y250" t="s">
        <v>73</v>
      </c>
      <c r="AA250" t="s">
        <v>73</v>
      </c>
      <c r="AB250" t="s">
        <v>73</v>
      </c>
      <c r="AF250">
        <v>479.35638628348477</v>
      </c>
      <c r="AG250">
        <v>6.36</v>
      </c>
      <c r="AH250">
        <v>24</v>
      </c>
      <c r="AI250">
        <v>163</v>
      </c>
      <c r="AJ250">
        <v>232.17376253720531</v>
      </c>
      <c r="AK250">
        <v>640.79999999999995</v>
      </c>
      <c r="AM250">
        <v>269.0432675520874</v>
      </c>
      <c r="AN250">
        <v>224</v>
      </c>
      <c r="AO250" t="s">
        <v>5700</v>
      </c>
      <c r="AP250" t="s">
        <v>605</v>
      </c>
    </row>
    <row r="251" spans="1:42" x14ac:dyDescent="0.25">
      <c r="A251">
        <v>250</v>
      </c>
      <c r="B251" t="s">
        <v>2248</v>
      </c>
      <c r="C251" t="s">
        <v>4149</v>
      </c>
      <c r="D251" t="s">
        <v>2249</v>
      </c>
      <c r="E251" t="s">
        <v>218</v>
      </c>
      <c r="F251" t="s">
        <v>219</v>
      </c>
      <c r="G251" t="s">
        <v>69</v>
      </c>
      <c r="H251" t="s">
        <v>70</v>
      </c>
      <c r="I251" t="s">
        <v>3591</v>
      </c>
      <c r="J251" t="s">
        <v>408</v>
      </c>
      <c r="K251" t="s">
        <v>409</v>
      </c>
      <c r="L251" t="s">
        <v>4940</v>
      </c>
      <c r="M251" t="s">
        <v>4941</v>
      </c>
      <c r="R251" t="s">
        <v>73</v>
      </c>
      <c r="S251" t="s">
        <v>73</v>
      </c>
      <c r="U251" t="s">
        <v>73</v>
      </c>
      <c r="V251" t="s">
        <v>73</v>
      </c>
      <c r="X251" t="s">
        <v>73</v>
      </c>
      <c r="Y251" t="s">
        <v>73</v>
      </c>
      <c r="AA251" t="s">
        <v>73</v>
      </c>
      <c r="AB251" t="s">
        <v>73</v>
      </c>
      <c r="AF251">
        <v>478.83138135966465</v>
      </c>
      <c r="AG251">
        <v>7.88</v>
      </c>
      <c r="AH251">
        <v>24</v>
      </c>
      <c r="AI251">
        <v>375</v>
      </c>
      <c r="AJ251">
        <v>147.14597928851637</v>
      </c>
      <c r="AK251">
        <v>792.8</v>
      </c>
      <c r="AM251">
        <v>150.00437100392293</v>
      </c>
      <c r="AN251">
        <v>224</v>
      </c>
      <c r="AO251" t="s">
        <v>5701</v>
      </c>
      <c r="AP251" t="s">
        <v>2249</v>
      </c>
    </row>
    <row r="252" spans="1:42" x14ac:dyDescent="0.25">
      <c r="A252">
        <v>251</v>
      </c>
      <c r="B252" t="s">
        <v>2189</v>
      </c>
      <c r="C252" t="s">
        <v>2189</v>
      </c>
      <c r="D252" t="s">
        <v>3778</v>
      </c>
      <c r="E252" t="s">
        <v>5312</v>
      </c>
      <c r="F252" t="s">
        <v>157</v>
      </c>
      <c r="G252" t="s">
        <v>158</v>
      </c>
      <c r="H252" t="s">
        <v>159</v>
      </c>
      <c r="I252" t="s">
        <v>5321</v>
      </c>
      <c r="J252" t="s">
        <v>3094</v>
      </c>
      <c r="K252" t="s">
        <v>3095</v>
      </c>
      <c r="L252" t="s">
        <v>5266</v>
      </c>
      <c r="M252" t="s">
        <v>5267</v>
      </c>
      <c r="O252" t="s">
        <v>2655</v>
      </c>
      <c r="P252" t="s">
        <v>2656</v>
      </c>
      <c r="Q252">
        <v>12</v>
      </c>
      <c r="R252" t="s">
        <v>2417</v>
      </c>
      <c r="S252" t="s">
        <v>2418</v>
      </c>
      <c r="T252">
        <v>4</v>
      </c>
      <c r="U252" t="s">
        <v>2432</v>
      </c>
      <c r="V252" t="s">
        <v>2433</v>
      </c>
      <c r="W252">
        <v>7</v>
      </c>
      <c r="X252" t="s">
        <v>2437</v>
      </c>
      <c r="Y252" t="s">
        <v>2438</v>
      </c>
      <c r="Z252">
        <v>1</v>
      </c>
      <c r="AA252" t="s">
        <v>73</v>
      </c>
      <c r="AB252" t="s">
        <v>73</v>
      </c>
      <c r="AE252" t="s">
        <v>2190</v>
      </c>
      <c r="AF252">
        <v>478.62834299219162</v>
      </c>
      <c r="AG252">
        <v>6.9791666666666998</v>
      </c>
      <c r="AH252">
        <v>47</v>
      </c>
      <c r="AI252">
        <v>227</v>
      </c>
      <c r="AJ252">
        <v>194.41112184317402</v>
      </c>
      <c r="AK252">
        <v>707.3166666666699</v>
      </c>
      <c r="AM252">
        <v>272.1755705804436</v>
      </c>
      <c r="AN252">
        <v>0</v>
      </c>
      <c r="AO252" t="s">
        <v>5702</v>
      </c>
      <c r="AP252" t="s">
        <v>3778</v>
      </c>
    </row>
    <row r="253" spans="1:42" x14ac:dyDescent="0.25">
      <c r="A253">
        <v>252</v>
      </c>
      <c r="B253" t="s">
        <v>1028</v>
      </c>
      <c r="C253" t="s">
        <v>1028</v>
      </c>
      <c r="D253" t="s">
        <v>1029</v>
      </c>
      <c r="E253" t="s">
        <v>3165</v>
      </c>
      <c r="F253" t="s">
        <v>3168</v>
      </c>
      <c r="G253" t="s">
        <v>3167</v>
      </c>
      <c r="H253" t="s">
        <v>3166</v>
      </c>
      <c r="J253" t="s">
        <v>758</v>
      </c>
      <c r="K253" t="s">
        <v>759</v>
      </c>
      <c r="R253" t="s">
        <v>2409</v>
      </c>
      <c r="S253" t="s">
        <v>2410</v>
      </c>
      <c r="T253">
        <v>2</v>
      </c>
      <c r="U253" t="s">
        <v>73</v>
      </c>
      <c r="V253" t="s">
        <v>73</v>
      </c>
      <c r="X253" t="s">
        <v>73</v>
      </c>
      <c r="Y253" t="s">
        <v>73</v>
      </c>
      <c r="AA253" t="s">
        <v>73</v>
      </c>
      <c r="AB253" t="s">
        <v>73</v>
      </c>
      <c r="AF253">
        <v>478.36508273115362</v>
      </c>
      <c r="AG253">
        <v>6.75</v>
      </c>
      <c r="AH253">
        <v>15</v>
      </c>
      <c r="AI253">
        <v>196</v>
      </c>
      <c r="AJ253">
        <v>210.40564747905958</v>
      </c>
      <c r="AK253">
        <v>678</v>
      </c>
      <c r="AM253">
        <v>188.5679064706834</v>
      </c>
      <c r="AN253">
        <v>424</v>
      </c>
      <c r="AO253" t="s">
        <v>5703</v>
      </c>
      <c r="AP253" t="s">
        <v>1029</v>
      </c>
    </row>
    <row r="254" spans="1:42" x14ac:dyDescent="0.25">
      <c r="A254">
        <v>253</v>
      </c>
      <c r="B254" t="s">
        <v>618</v>
      </c>
      <c r="C254" t="s">
        <v>618</v>
      </c>
      <c r="D254" t="s">
        <v>619</v>
      </c>
      <c r="E254" t="s">
        <v>459</v>
      </c>
      <c r="F254" t="s">
        <v>459</v>
      </c>
      <c r="G254" t="s">
        <v>257</v>
      </c>
      <c r="H254" t="s">
        <v>258</v>
      </c>
      <c r="J254" t="s">
        <v>620</v>
      </c>
      <c r="K254" t="s">
        <v>621</v>
      </c>
      <c r="R254" t="s">
        <v>2409</v>
      </c>
      <c r="S254" t="s">
        <v>2410</v>
      </c>
      <c r="T254">
        <v>2</v>
      </c>
      <c r="U254" t="s">
        <v>2430</v>
      </c>
      <c r="V254" t="s">
        <v>2431</v>
      </c>
      <c r="W254">
        <v>6</v>
      </c>
      <c r="X254" t="s">
        <v>2443</v>
      </c>
      <c r="Y254" t="s">
        <v>2444</v>
      </c>
      <c r="Z254">
        <v>3</v>
      </c>
      <c r="AA254" t="s">
        <v>73</v>
      </c>
      <c r="AB254" t="s">
        <v>73</v>
      </c>
      <c r="AF254">
        <v>478.23636948139051</v>
      </c>
      <c r="AG254">
        <v>7.8857142857143003</v>
      </c>
      <c r="AH254">
        <v>34</v>
      </c>
      <c r="AI254">
        <v>391</v>
      </c>
      <c r="AJ254">
        <v>145.05628355075058</v>
      </c>
      <c r="AK254">
        <v>795.37142857142999</v>
      </c>
      <c r="AL254">
        <v>2004</v>
      </c>
      <c r="AM254">
        <v>175.07879697105079</v>
      </c>
      <c r="AN254">
        <v>112</v>
      </c>
      <c r="AO254" t="s">
        <v>5704</v>
      </c>
      <c r="AP254" t="s">
        <v>619</v>
      </c>
    </row>
    <row r="255" spans="1:42" x14ac:dyDescent="0.25">
      <c r="A255">
        <v>254</v>
      </c>
      <c r="B255" t="s">
        <v>1806</v>
      </c>
      <c r="C255" t="s">
        <v>1806</v>
      </c>
      <c r="D255" t="s">
        <v>4822</v>
      </c>
      <c r="E255" t="s">
        <v>556</v>
      </c>
      <c r="F255" t="s">
        <v>557</v>
      </c>
      <c r="G255" t="s">
        <v>60</v>
      </c>
      <c r="H255" t="s">
        <v>61</v>
      </c>
      <c r="I255" t="s">
        <v>4788</v>
      </c>
      <c r="J255" t="s">
        <v>3764</v>
      </c>
      <c r="K255" t="s">
        <v>3765</v>
      </c>
      <c r="L255" t="s">
        <v>4789</v>
      </c>
      <c r="M255" t="s">
        <v>4790</v>
      </c>
      <c r="R255" t="s">
        <v>73</v>
      </c>
      <c r="S255" t="s">
        <v>73</v>
      </c>
      <c r="U255" t="s">
        <v>73</v>
      </c>
      <c r="V255" t="s">
        <v>73</v>
      </c>
      <c r="X255" t="s">
        <v>73</v>
      </c>
      <c r="Y255" t="s">
        <v>73</v>
      </c>
      <c r="AA255" t="s">
        <v>73</v>
      </c>
      <c r="AB255" t="s">
        <v>73</v>
      </c>
      <c r="AF255">
        <v>477.85917045020233</v>
      </c>
      <c r="AG255">
        <v>8.3943661971830998</v>
      </c>
      <c r="AH255">
        <v>70</v>
      </c>
      <c r="AI255">
        <v>544</v>
      </c>
      <c r="AJ255">
        <v>112.37873399005257</v>
      </c>
      <c r="AK255">
        <v>853.43661971831</v>
      </c>
      <c r="AM255">
        <v>101.3302275860736</v>
      </c>
      <c r="AN255">
        <v>224</v>
      </c>
      <c r="AO255" t="s">
        <v>5705</v>
      </c>
      <c r="AP255" t="s">
        <v>4822</v>
      </c>
    </row>
    <row r="256" spans="1:42" x14ac:dyDescent="0.25">
      <c r="A256">
        <v>255</v>
      </c>
      <c r="B256" t="s">
        <v>515</v>
      </c>
      <c r="C256" t="s">
        <v>515</v>
      </c>
      <c r="D256" t="s">
        <v>516</v>
      </c>
      <c r="E256" t="s">
        <v>282</v>
      </c>
      <c r="F256" t="s">
        <v>283</v>
      </c>
      <c r="G256" t="s">
        <v>3167</v>
      </c>
      <c r="H256" t="s">
        <v>3166</v>
      </c>
      <c r="I256" t="s">
        <v>517</v>
      </c>
      <c r="J256" t="s">
        <v>518</v>
      </c>
      <c r="K256" t="s">
        <v>519</v>
      </c>
      <c r="Q256">
        <v>11</v>
      </c>
      <c r="R256" t="s">
        <v>73</v>
      </c>
      <c r="S256" t="s">
        <v>73</v>
      </c>
      <c r="U256" t="s">
        <v>73</v>
      </c>
      <c r="V256" t="s">
        <v>73</v>
      </c>
      <c r="X256" t="s">
        <v>73</v>
      </c>
      <c r="Y256" t="s">
        <v>73</v>
      </c>
      <c r="AA256" t="s">
        <v>73</v>
      </c>
      <c r="AB256" t="s">
        <v>73</v>
      </c>
      <c r="AF256">
        <v>477.82837075488067</v>
      </c>
      <c r="AG256">
        <v>7.3636363636363997</v>
      </c>
      <c r="AH256">
        <v>21</v>
      </c>
      <c r="AI256">
        <v>283</v>
      </c>
      <c r="AJ256">
        <v>175.05172508117846</v>
      </c>
      <c r="AK256">
        <v>740.56363636364006</v>
      </c>
      <c r="AM256">
        <v>189.07241511364984</v>
      </c>
      <c r="AN256">
        <v>224</v>
      </c>
      <c r="AO256" t="s">
        <v>5706</v>
      </c>
      <c r="AP256" t="s">
        <v>516</v>
      </c>
    </row>
    <row r="257" spans="1:42" x14ac:dyDescent="0.25">
      <c r="A257">
        <v>256</v>
      </c>
      <c r="B257" t="s">
        <v>1499</v>
      </c>
      <c r="C257" t="s">
        <v>1499</v>
      </c>
      <c r="D257" t="s">
        <v>3766</v>
      </c>
      <c r="E257" t="s">
        <v>183</v>
      </c>
      <c r="F257" t="s">
        <v>184</v>
      </c>
      <c r="G257" t="s">
        <v>158</v>
      </c>
      <c r="H257" t="s">
        <v>159</v>
      </c>
      <c r="J257" t="s">
        <v>663</v>
      </c>
      <c r="K257" t="s">
        <v>664</v>
      </c>
      <c r="R257" t="s">
        <v>73</v>
      </c>
      <c r="S257" t="s">
        <v>73</v>
      </c>
      <c r="U257" t="s">
        <v>73</v>
      </c>
      <c r="V257" t="s">
        <v>73</v>
      </c>
      <c r="X257" t="s">
        <v>2440</v>
      </c>
      <c r="Y257" t="s">
        <v>2441</v>
      </c>
      <c r="Z257">
        <v>2</v>
      </c>
      <c r="AA257" t="s">
        <v>73</v>
      </c>
      <c r="AB257" t="s">
        <v>73</v>
      </c>
      <c r="AF257">
        <v>477.68681606565406</v>
      </c>
      <c r="AG257">
        <v>6.7272727272727</v>
      </c>
      <c r="AH257">
        <v>32</v>
      </c>
      <c r="AI257">
        <v>199</v>
      </c>
      <c r="AJ257">
        <v>209.02575522446554</v>
      </c>
      <c r="AK257">
        <v>679.12727272727</v>
      </c>
      <c r="AM257">
        <v>292.63605731425173</v>
      </c>
      <c r="AN257">
        <v>0</v>
      </c>
      <c r="AO257" t="s">
        <v>5707</v>
      </c>
      <c r="AP257" t="s">
        <v>3766</v>
      </c>
    </row>
    <row r="258" spans="1:42" x14ac:dyDescent="0.25">
      <c r="A258">
        <v>257</v>
      </c>
      <c r="B258" t="s">
        <v>2394</v>
      </c>
      <c r="C258" t="s">
        <v>2394</v>
      </c>
      <c r="D258" t="s">
        <v>2395</v>
      </c>
      <c r="E258" t="s">
        <v>67</v>
      </c>
      <c r="F258" t="s">
        <v>68</v>
      </c>
      <c r="G258" t="s">
        <v>69</v>
      </c>
      <c r="H258" t="s">
        <v>70</v>
      </c>
      <c r="I258" t="s">
        <v>2396</v>
      </c>
      <c r="J258" t="s">
        <v>1241</v>
      </c>
      <c r="K258" t="s">
        <v>1242</v>
      </c>
      <c r="L258" t="s">
        <v>5336</v>
      </c>
      <c r="M258" t="s">
        <v>5337</v>
      </c>
      <c r="O258" t="s">
        <v>2397</v>
      </c>
      <c r="P258" t="s">
        <v>2397</v>
      </c>
      <c r="Q258">
        <v>12</v>
      </c>
      <c r="R258" t="s">
        <v>2420</v>
      </c>
      <c r="S258" t="s">
        <v>2421</v>
      </c>
      <c r="T258">
        <v>5</v>
      </c>
      <c r="U258" t="s">
        <v>3139</v>
      </c>
      <c r="V258" t="s">
        <v>3140</v>
      </c>
      <c r="W258">
        <v>4</v>
      </c>
      <c r="X258" t="s">
        <v>2437</v>
      </c>
      <c r="Y258" t="s">
        <v>2438</v>
      </c>
      <c r="Z258">
        <v>1</v>
      </c>
      <c r="AA258" t="s">
        <v>2398</v>
      </c>
      <c r="AB258" t="s">
        <v>2398</v>
      </c>
      <c r="AC258" t="s">
        <v>2399</v>
      </c>
      <c r="AD258" t="s">
        <v>2399</v>
      </c>
      <c r="AF258">
        <v>477.24955621203003</v>
      </c>
      <c r="AG258">
        <v>7.1764705882352997</v>
      </c>
      <c r="AH258">
        <v>16</v>
      </c>
      <c r="AI258">
        <v>254</v>
      </c>
      <c r="AJ258">
        <v>185.36225200029449</v>
      </c>
      <c r="AK258">
        <v>720.84705882353001</v>
      </c>
      <c r="AM258">
        <v>231.50715280041226</v>
      </c>
      <c r="AN258">
        <v>112</v>
      </c>
      <c r="AO258" t="s">
        <v>5708</v>
      </c>
      <c r="AP258" t="s">
        <v>2395</v>
      </c>
    </row>
    <row r="259" spans="1:42" x14ac:dyDescent="0.25">
      <c r="A259">
        <v>258</v>
      </c>
      <c r="B259" t="s">
        <v>1938</v>
      </c>
      <c r="C259" t="s">
        <v>1938</v>
      </c>
      <c r="D259" t="s">
        <v>1939</v>
      </c>
      <c r="E259" t="s">
        <v>282</v>
      </c>
      <c r="F259" t="s">
        <v>283</v>
      </c>
      <c r="G259" t="s">
        <v>3167</v>
      </c>
      <c r="H259" t="s">
        <v>3166</v>
      </c>
      <c r="I259" t="s">
        <v>726</v>
      </c>
      <c r="J259" t="s">
        <v>473</v>
      </c>
      <c r="K259" t="s">
        <v>474</v>
      </c>
      <c r="O259" t="s">
        <v>2620</v>
      </c>
      <c r="P259" t="s">
        <v>2621</v>
      </c>
      <c r="Q259">
        <v>12</v>
      </c>
      <c r="R259" t="s">
        <v>2406</v>
      </c>
      <c r="S259" t="s">
        <v>2407</v>
      </c>
      <c r="T259">
        <v>1</v>
      </c>
      <c r="U259" t="s">
        <v>2430</v>
      </c>
      <c r="V259" t="s">
        <v>2431</v>
      </c>
      <c r="W259">
        <v>6</v>
      </c>
      <c r="X259" t="s">
        <v>2443</v>
      </c>
      <c r="Y259" t="s">
        <v>2444</v>
      </c>
      <c r="Z259">
        <v>3</v>
      </c>
      <c r="AA259" t="s">
        <v>73</v>
      </c>
      <c r="AB259" t="s">
        <v>73</v>
      </c>
      <c r="AF259">
        <v>477.19247059378961</v>
      </c>
      <c r="AG259">
        <v>6.35</v>
      </c>
      <c r="AH259">
        <v>19</v>
      </c>
      <c r="AI259">
        <v>164</v>
      </c>
      <c r="AJ259">
        <v>230.88052288198844</v>
      </c>
      <c r="AK259">
        <v>638.79999999999995</v>
      </c>
      <c r="AM259">
        <v>267.23273203478379</v>
      </c>
      <c r="AN259">
        <v>224</v>
      </c>
      <c r="AO259" t="s">
        <v>5709</v>
      </c>
      <c r="AP259" t="s">
        <v>1939</v>
      </c>
    </row>
    <row r="260" spans="1:42" x14ac:dyDescent="0.25">
      <c r="A260">
        <v>259</v>
      </c>
      <c r="B260" t="s">
        <v>1979</v>
      </c>
      <c r="C260" t="s">
        <v>4118</v>
      </c>
      <c r="D260" t="s">
        <v>1980</v>
      </c>
      <c r="E260" t="s">
        <v>137</v>
      </c>
      <c r="F260" t="s">
        <v>138</v>
      </c>
      <c r="G260" t="s">
        <v>139</v>
      </c>
      <c r="H260" t="s">
        <v>140</v>
      </c>
      <c r="I260" t="s">
        <v>1980</v>
      </c>
      <c r="J260" t="s">
        <v>1981</v>
      </c>
      <c r="K260" t="s">
        <v>1982</v>
      </c>
      <c r="L260" t="s">
        <v>4589</v>
      </c>
      <c r="M260" t="s">
        <v>4590</v>
      </c>
      <c r="R260" t="s">
        <v>73</v>
      </c>
      <c r="S260" t="s">
        <v>73</v>
      </c>
      <c r="U260" t="s">
        <v>73</v>
      </c>
      <c r="V260" t="s">
        <v>73</v>
      </c>
      <c r="X260" t="s">
        <v>73</v>
      </c>
      <c r="Y260" t="s">
        <v>73</v>
      </c>
      <c r="AF260">
        <v>476.33372726155017</v>
      </c>
      <c r="AG260">
        <v>6.9</v>
      </c>
      <c r="AH260">
        <v>9</v>
      </c>
      <c r="AI260">
        <v>214</v>
      </c>
      <c r="AJ260">
        <v>200.48191917950027</v>
      </c>
      <c r="AK260">
        <v>691.8</v>
      </c>
      <c r="AM260">
        <v>280.67468685130035</v>
      </c>
      <c r="AN260">
        <v>0</v>
      </c>
      <c r="AO260" t="s">
        <v>5710</v>
      </c>
      <c r="AP260" t="s">
        <v>1980</v>
      </c>
    </row>
    <row r="261" spans="1:42" x14ac:dyDescent="0.25">
      <c r="A261">
        <v>260</v>
      </c>
      <c r="B261" t="s">
        <v>1990</v>
      </c>
      <c r="C261" t="s">
        <v>1991</v>
      </c>
      <c r="D261" t="s">
        <v>3647</v>
      </c>
      <c r="E261" t="s">
        <v>666</v>
      </c>
      <c r="F261" t="s">
        <v>667</v>
      </c>
      <c r="G261" t="s">
        <v>60</v>
      </c>
      <c r="H261" t="s">
        <v>61</v>
      </c>
      <c r="I261" t="s">
        <v>1991</v>
      </c>
      <c r="J261" t="s">
        <v>3619</v>
      </c>
      <c r="K261" t="s">
        <v>3616</v>
      </c>
      <c r="L261" t="s">
        <v>4464</v>
      </c>
      <c r="M261" t="s">
        <v>4465</v>
      </c>
      <c r="R261" t="s">
        <v>73</v>
      </c>
      <c r="S261" t="s">
        <v>73</v>
      </c>
      <c r="U261" t="s">
        <v>73</v>
      </c>
      <c r="V261" t="s">
        <v>73</v>
      </c>
      <c r="X261" t="s">
        <v>73</v>
      </c>
      <c r="Y261" t="s">
        <v>73</v>
      </c>
      <c r="AA261" t="s">
        <v>73</v>
      </c>
      <c r="AB261" t="s">
        <v>73</v>
      </c>
      <c r="AE261" t="s">
        <v>1992</v>
      </c>
      <c r="AF261">
        <v>475.28978735793908</v>
      </c>
      <c r="AG261">
        <v>7.3953488372093004</v>
      </c>
      <c r="AH261">
        <v>42</v>
      </c>
      <c r="AI261">
        <v>301</v>
      </c>
      <c r="AJ261">
        <v>168.13593944163793</v>
      </c>
      <c r="AK261">
        <v>747.93488372092997</v>
      </c>
      <c r="AM261">
        <v>151.39031521829307</v>
      </c>
      <c r="AN261">
        <v>336</v>
      </c>
      <c r="AO261" t="s">
        <v>5711</v>
      </c>
      <c r="AP261" t="s">
        <v>3647</v>
      </c>
    </row>
    <row r="262" spans="1:42" x14ac:dyDescent="0.25">
      <c r="A262">
        <v>261</v>
      </c>
      <c r="B262" t="s">
        <v>1454</v>
      </c>
      <c r="C262" t="s">
        <v>1454</v>
      </c>
      <c r="D262" t="s">
        <v>2878</v>
      </c>
      <c r="E262" t="s">
        <v>1455</v>
      </c>
      <c r="F262" t="s">
        <v>1456</v>
      </c>
      <c r="G262" t="s">
        <v>75</v>
      </c>
      <c r="H262" t="s">
        <v>76</v>
      </c>
      <c r="I262" t="s">
        <v>1457</v>
      </c>
      <c r="R262" t="s">
        <v>73</v>
      </c>
      <c r="S262" t="s">
        <v>73</v>
      </c>
      <c r="U262" t="s">
        <v>73</v>
      </c>
      <c r="V262" t="s">
        <v>73</v>
      </c>
      <c r="X262" t="s">
        <v>73</v>
      </c>
      <c r="Y262" t="s">
        <v>73</v>
      </c>
      <c r="AA262" t="s">
        <v>73</v>
      </c>
      <c r="AB262" t="s">
        <v>73</v>
      </c>
      <c r="AF262">
        <v>475.00436592792028</v>
      </c>
      <c r="AG262">
        <v>7.4347826086957003</v>
      </c>
      <c r="AH262">
        <v>22</v>
      </c>
      <c r="AI262">
        <v>302</v>
      </c>
      <c r="AJ262">
        <v>167.85026165903915</v>
      </c>
      <c r="AK262">
        <v>747.87826086957</v>
      </c>
      <c r="AM262">
        <v>178.99036632265481</v>
      </c>
      <c r="AN262">
        <v>224</v>
      </c>
      <c r="AO262" t="s">
        <v>5712</v>
      </c>
      <c r="AP262" t="s">
        <v>2878</v>
      </c>
    </row>
    <row r="263" spans="1:42" x14ac:dyDescent="0.25">
      <c r="A263">
        <v>262</v>
      </c>
      <c r="B263" t="s">
        <v>691</v>
      </c>
      <c r="C263" t="s">
        <v>691</v>
      </c>
      <c r="D263" t="s">
        <v>692</v>
      </c>
      <c r="E263" t="s">
        <v>137</v>
      </c>
      <c r="F263" t="s">
        <v>138</v>
      </c>
      <c r="G263" t="s">
        <v>139</v>
      </c>
      <c r="H263" t="s">
        <v>140</v>
      </c>
      <c r="I263" t="s">
        <v>693</v>
      </c>
      <c r="J263" t="s">
        <v>651</v>
      </c>
      <c r="K263" t="s">
        <v>652</v>
      </c>
      <c r="L263" t="s">
        <v>4654</v>
      </c>
      <c r="M263" t="s">
        <v>4655</v>
      </c>
      <c r="R263" t="s">
        <v>73</v>
      </c>
      <c r="S263" t="s">
        <v>73</v>
      </c>
      <c r="U263" t="s">
        <v>73</v>
      </c>
      <c r="V263" t="s">
        <v>73</v>
      </c>
      <c r="X263" t="s">
        <v>73</v>
      </c>
      <c r="Y263" t="s">
        <v>73</v>
      </c>
      <c r="AF263">
        <v>474.8101154344447</v>
      </c>
      <c r="AG263">
        <v>7.3913043478261002</v>
      </c>
      <c r="AH263">
        <v>22</v>
      </c>
      <c r="AI263">
        <v>297</v>
      </c>
      <c r="AJ263">
        <v>170.04988671459972</v>
      </c>
      <c r="AK263">
        <v>743.53043478260997</v>
      </c>
      <c r="AM263">
        <v>238.0698414004396</v>
      </c>
      <c r="AN263">
        <v>0</v>
      </c>
      <c r="AO263" t="s">
        <v>5713</v>
      </c>
      <c r="AP263" t="s">
        <v>692</v>
      </c>
    </row>
    <row r="264" spans="1:42" x14ac:dyDescent="0.25">
      <c r="A264">
        <v>263</v>
      </c>
      <c r="B264" t="s">
        <v>1629</v>
      </c>
      <c r="C264" t="s">
        <v>1629</v>
      </c>
      <c r="D264" t="s">
        <v>1630</v>
      </c>
      <c r="E264" t="s">
        <v>137</v>
      </c>
      <c r="F264" t="s">
        <v>138</v>
      </c>
      <c r="G264" t="s">
        <v>139</v>
      </c>
      <c r="H264" t="s">
        <v>140</v>
      </c>
      <c r="I264" t="s">
        <v>1451</v>
      </c>
      <c r="J264" t="s">
        <v>426</v>
      </c>
      <c r="K264" t="s">
        <v>427</v>
      </c>
      <c r="L264" t="s">
        <v>4680</v>
      </c>
      <c r="M264" t="s">
        <v>4681</v>
      </c>
      <c r="R264" t="s">
        <v>73</v>
      </c>
      <c r="S264" t="s">
        <v>73</v>
      </c>
      <c r="U264" t="s">
        <v>73</v>
      </c>
      <c r="V264" t="s">
        <v>73</v>
      </c>
      <c r="X264" t="s">
        <v>73</v>
      </c>
      <c r="Y264" t="s">
        <v>73</v>
      </c>
      <c r="AA264" t="s">
        <v>73</v>
      </c>
      <c r="AB264" t="s">
        <v>73</v>
      </c>
      <c r="AF264">
        <v>474.45936650081819</v>
      </c>
      <c r="AG264">
        <v>7.5151515151514996</v>
      </c>
      <c r="AH264">
        <v>32</v>
      </c>
      <c r="AI264">
        <v>319</v>
      </c>
      <c r="AJ264">
        <v>161.66865638138142</v>
      </c>
      <c r="AK264">
        <v>757.91515151514989</v>
      </c>
      <c r="AL264">
        <v>2004</v>
      </c>
      <c r="AM264">
        <v>226.33611893393396</v>
      </c>
      <c r="AN264">
        <v>0</v>
      </c>
      <c r="AO264" t="s">
        <v>5714</v>
      </c>
      <c r="AP264" t="s">
        <v>1630</v>
      </c>
    </row>
    <row r="265" spans="1:42" x14ac:dyDescent="0.25">
      <c r="A265">
        <v>264</v>
      </c>
      <c r="B265" t="s">
        <v>1580</v>
      </c>
      <c r="C265" t="s">
        <v>1580</v>
      </c>
      <c r="D265" t="s">
        <v>2717</v>
      </c>
      <c r="E265" t="s">
        <v>954</v>
      </c>
      <c r="F265" t="s">
        <v>955</v>
      </c>
      <c r="G265" t="s">
        <v>632</v>
      </c>
      <c r="H265" t="s">
        <v>633</v>
      </c>
      <c r="I265" t="s">
        <v>1581</v>
      </c>
      <c r="J265" t="s">
        <v>1582</v>
      </c>
      <c r="O265" t="s">
        <v>2575</v>
      </c>
      <c r="P265" t="s">
        <v>2575</v>
      </c>
      <c r="Q265">
        <v>13</v>
      </c>
      <c r="R265" t="s">
        <v>2406</v>
      </c>
      <c r="S265" t="s">
        <v>2407</v>
      </c>
      <c r="T265">
        <v>1</v>
      </c>
      <c r="U265" t="s">
        <v>73</v>
      </c>
      <c r="V265" t="s">
        <v>73</v>
      </c>
      <c r="X265" t="s">
        <v>2437</v>
      </c>
      <c r="Y265" t="s">
        <v>2438</v>
      </c>
      <c r="Z265">
        <v>1</v>
      </c>
      <c r="AE265" t="s">
        <v>1583</v>
      </c>
      <c r="AF265">
        <v>474.04265402843498</v>
      </c>
      <c r="AG265">
        <v>8.6208530805687005</v>
      </c>
      <c r="AH265">
        <v>210</v>
      </c>
      <c r="AI265">
        <v>669</v>
      </c>
      <c r="AJ265">
        <v>80</v>
      </c>
      <c r="AK265">
        <v>904.08530805687008</v>
      </c>
      <c r="AM265">
        <v>0</v>
      </c>
      <c r="AN265">
        <v>448</v>
      </c>
      <c r="AO265" t="s">
        <v>5715</v>
      </c>
      <c r="AP265" t="s">
        <v>2717</v>
      </c>
    </row>
    <row r="266" spans="1:42" x14ac:dyDescent="0.25">
      <c r="A266">
        <v>265</v>
      </c>
      <c r="B266" t="s">
        <v>3334</v>
      </c>
      <c r="C266" t="s">
        <v>3334</v>
      </c>
      <c r="D266" t="s">
        <v>3494</v>
      </c>
      <c r="E266" t="s">
        <v>3169</v>
      </c>
      <c r="F266" t="s">
        <v>379</v>
      </c>
      <c r="G266" t="s">
        <v>162</v>
      </c>
      <c r="H266" t="s">
        <v>163</v>
      </c>
      <c r="I266" t="s">
        <v>3495</v>
      </c>
      <c r="J266" t="s">
        <v>3497</v>
      </c>
      <c r="K266" t="s">
        <v>3496</v>
      </c>
      <c r="R266" t="s">
        <v>73</v>
      </c>
      <c r="S266" t="s">
        <v>73</v>
      </c>
      <c r="U266" t="s">
        <v>73</v>
      </c>
      <c r="V266" t="s">
        <v>73</v>
      </c>
      <c r="X266" t="s">
        <v>73</v>
      </c>
      <c r="Y266" t="s">
        <v>73</v>
      </c>
      <c r="AA266" t="s">
        <v>73</v>
      </c>
      <c r="AB266" t="s">
        <v>73</v>
      </c>
      <c r="AF266">
        <v>473.76097807252404</v>
      </c>
      <c r="AG266">
        <v>7.3333333333333002</v>
      </c>
      <c r="AH266">
        <v>5</v>
      </c>
      <c r="AI266">
        <v>286</v>
      </c>
      <c r="AJ266">
        <v>173.99367933984325</v>
      </c>
      <c r="AK266">
        <v>734.33333333333007</v>
      </c>
      <c r="AM266">
        <v>137.59115107578054</v>
      </c>
      <c r="AN266">
        <v>424</v>
      </c>
      <c r="AO266" t="s">
        <v>5716</v>
      </c>
      <c r="AP266" t="s">
        <v>3494</v>
      </c>
    </row>
    <row r="267" spans="1:42" x14ac:dyDescent="0.25">
      <c r="A267">
        <v>266</v>
      </c>
      <c r="B267" t="s">
        <v>937</v>
      </c>
      <c r="C267" t="s">
        <v>937</v>
      </c>
      <c r="D267" t="s">
        <v>938</v>
      </c>
      <c r="E267" t="s">
        <v>91</v>
      </c>
      <c r="F267" t="s">
        <v>92</v>
      </c>
      <c r="G267" t="s">
        <v>632</v>
      </c>
      <c r="H267" t="s">
        <v>633</v>
      </c>
      <c r="I267" t="s">
        <v>938</v>
      </c>
      <c r="J267" t="s">
        <v>3072</v>
      </c>
      <c r="K267" t="s">
        <v>3065</v>
      </c>
      <c r="L267" t="s">
        <v>4504</v>
      </c>
      <c r="M267" t="s">
        <v>4505</v>
      </c>
      <c r="O267" t="s">
        <v>2817</v>
      </c>
      <c r="P267" t="s">
        <v>2816</v>
      </c>
      <c r="Q267">
        <v>14</v>
      </c>
      <c r="R267" t="s">
        <v>2420</v>
      </c>
      <c r="S267" t="s">
        <v>2421</v>
      </c>
      <c r="T267">
        <v>5</v>
      </c>
      <c r="U267" t="s">
        <v>3137</v>
      </c>
      <c r="V267" t="s">
        <v>3136</v>
      </c>
      <c r="W267">
        <v>5</v>
      </c>
      <c r="X267" t="s">
        <v>2446</v>
      </c>
      <c r="Y267" t="s">
        <v>2447</v>
      </c>
      <c r="Z267">
        <v>4</v>
      </c>
      <c r="AA267" t="s">
        <v>73</v>
      </c>
      <c r="AB267" t="s">
        <v>73</v>
      </c>
      <c r="AC267" t="s">
        <v>2818</v>
      </c>
      <c r="AD267" t="s">
        <v>2818</v>
      </c>
      <c r="AF267">
        <v>473.69869596490753</v>
      </c>
      <c r="AG267">
        <v>6.8095238095238004</v>
      </c>
      <c r="AH267">
        <v>20</v>
      </c>
      <c r="AI267">
        <v>212</v>
      </c>
      <c r="AJ267">
        <v>201.35833943190841</v>
      </c>
      <c r="AK267">
        <v>684.95238095238005</v>
      </c>
      <c r="AM267">
        <v>225.90167520467176</v>
      </c>
      <c r="AN267">
        <v>224</v>
      </c>
      <c r="AO267" t="s">
        <v>5717</v>
      </c>
      <c r="AP267" t="s">
        <v>938</v>
      </c>
    </row>
    <row r="268" spans="1:42" x14ac:dyDescent="0.25">
      <c r="A268">
        <v>267</v>
      </c>
      <c r="B268" t="s">
        <v>2207</v>
      </c>
      <c r="C268" t="s">
        <v>2207</v>
      </c>
      <c r="D268" t="s">
        <v>2208</v>
      </c>
      <c r="E268" t="s">
        <v>218</v>
      </c>
      <c r="F268" t="s">
        <v>219</v>
      </c>
      <c r="G268" t="s">
        <v>69</v>
      </c>
      <c r="H268" t="s">
        <v>70</v>
      </c>
      <c r="I268" t="s">
        <v>2209</v>
      </c>
      <c r="J268" t="s">
        <v>408</v>
      </c>
      <c r="K268" t="s">
        <v>409</v>
      </c>
      <c r="L268" t="s">
        <v>4936</v>
      </c>
      <c r="M268" t="s">
        <v>4937</v>
      </c>
      <c r="R268" t="s">
        <v>73</v>
      </c>
      <c r="S268" t="s">
        <v>73</v>
      </c>
      <c r="U268" t="s">
        <v>73</v>
      </c>
      <c r="V268" t="s">
        <v>73</v>
      </c>
      <c r="X268" t="s">
        <v>73</v>
      </c>
      <c r="Y268" t="s">
        <v>73</v>
      </c>
      <c r="AA268" t="s">
        <v>73</v>
      </c>
      <c r="AB268" t="s">
        <v>73</v>
      </c>
      <c r="AF268">
        <v>473.63909669462237</v>
      </c>
      <c r="AG268">
        <v>8</v>
      </c>
      <c r="AH268">
        <v>6</v>
      </c>
      <c r="AI268">
        <v>434</v>
      </c>
      <c r="AJ268">
        <v>136.71010743846927</v>
      </c>
      <c r="AK268">
        <v>801.2</v>
      </c>
      <c r="AM268">
        <v>135.39415041385698</v>
      </c>
      <c r="AN268">
        <v>224</v>
      </c>
      <c r="AO268" t="s">
        <v>5718</v>
      </c>
      <c r="AP268" t="s">
        <v>2208</v>
      </c>
    </row>
    <row r="269" spans="1:42" x14ac:dyDescent="0.25">
      <c r="A269">
        <v>268</v>
      </c>
      <c r="B269" t="s">
        <v>2243</v>
      </c>
      <c r="C269" t="s">
        <v>2243</v>
      </c>
      <c r="D269" t="s">
        <v>3831</v>
      </c>
      <c r="E269" t="s">
        <v>67</v>
      </c>
      <c r="F269" t="s">
        <v>68</v>
      </c>
      <c r="G269" t="s">
        <v>3843</v>
      </c>
      <c r="H269" t="s">
        <v>3844</v>
      </c>
      <c r="I269" t="s">
        <v>2244</v>
      </c>
      <c r="J269" t="s">
        <v>580</v>
      </c>
      <c r="K269" t="s">
        <v>581</v>
      </c>
      <c r="L269" t="s">
        <v>5087</v>
      </c>
      <c r="M269" t="s">
        <v>5088</v>
      </c>
      <c r="Q269">
        <v>12</v>
      </c>
      <c r="R269" t="s">
        <v>73</v>
      </c>
      <c r="S269" t="s">
        <v>73</v>
      </c>
      <c r="U269" t="s">
        <v>73</v>
      </c>
      <c r="V269" t="s">
        <v>73</v>
      </c>
      <c r="X269" t="s">
        <v>2437</v>
      </c>
      <c r="Y269" t="s">
        <v>2438</v>
      </c>
      <c r="Z269">
        <v>1</v>
      </c>
      <c r="AE269" t="s">
        <v>2245</v>
      </c>
      <c r="AF269">
        <v>473.53292682921676</v>
      </c>
      <c r="AG269">
        <v>7.6129032258064999</v>
      </c>
      <c r="AH269">
        <v>30</v>
      </c>
      <c r="AI269">
        <v>339</v>
      </c>
      <c r="AJ269">
        <v>155.43085059876859</v>
      </c>
      <c r="AK269">
        <v>767.29032258065001</v>
      </c>
      <c r="AL269">
        <v>2007</v>
      </c>
      <c r="AM269">
        <v>217.60319083827602</v>
      </c>
      <c r="AN269">
        <v>0</v>
      </c>
      <c r="AO269" t="s">
        <v>5719</v>
      </c>
      <c r="AP269" t="s">
        <v>3831</v>
      </c>
    </row>
    <row r="270" spans="1:42" x14ac:dyDescent="0.25">
      <c r="A270">
        <v>269</v>
      </c>
      <c r="B270" t="s">
        <v>989</v>
      </c>
      <c r="C270" t="s">
        <v>989</v>
      </c>
      <c r="D270" t="s">
        <v>990</v>
      </c>
      <c r="E270" t="s">
        <v>595</v>
      </c>
      <c r="F270" t="s">
        <v>596</v>
      </c>
      <c r="G270" t="s">
        <v>3167</v>
      </c>
      <c r="H270" t="s">
        <v>3166</v>
      </c>
      <c r="I270" t="s">
        <v>991</v>
      </c>
      <c r="J270" t="s">
        <v>607</v>
      </c>
      <c r="K270" t="s">
        <v>608</v>
      </c>
      <c r="R270" t="s">
        <v>73</v>
      </c>
      <c r="S270" t="s">
        <v>73</v>
      </c>
      <c r="U270" t="s">
        <v>73</v>
      </c>
      <c r="V270" t="s">
        <v>73</v>
      </c>
      <c r="X270" t="s">
        <v>73</v>
      </c>
      <c r="Y270" t="s">
        <v>73</v>
      </c>
      <c r="AA270" t="s">
        <v>73</v>
      </c>
      <c r="AB270" t="s">
        <v>73</v>
      </c>
      <c r="AF270">
        <v>473.0486586581153</v>
      </c>
      <c r="AG270">
        <v>8.2682926829268002</v>
      </c>
      <c r="AH270">
        <v>40</v>
      </c>
      <c r="AI270">
        <v>523</v>
      </c>
      <c r="AJ270">
        <v>117.37113834641703</v>
      </c>
      <c r="AK270">
        <v>834.82926829268001</v>
      </c>
      <c r="AM270">
        <v>108.31959368498383</v>
      </c>
      <c r="AN270">
        <v>224</v>
      </c>
      <c r="AO270" t="s">
        <v>5720</v>
      </c>
      <c r="AP270" t="s">
        <v>990</v>
      </c>
    </row>
    <row r="271" spans="1:42" x14ac:dyDescent="0.25">
      <c r="A271">
        <v>270</v>
      </c>
      <c r="B271" t="s">
        <v>2265</v>
      </c>
      <c r="C271" t="s">
        <v>2265</v>
      </c>
      <c r="D271" t="s">
        <v>2266</v>
      </c>
      <c r="E271" t="s">
        <v>67</v>
      </c>
      <c r="F271" t="s">
        <v>68</v>
      </c>
      <c r="G271" t="s">
        <v>69</v>
      </c>
      <c r="H271" t="s">
        <v>70</v>
      </c>
      <c r="I271" t="s">
        <v>2267</v>
      </c>
      <c r="J271" t="s">
        <v>1241</v>
      </c>
      <c r="K271" t="s">
        <v>1242</v>
      </c>
      <c r="L271" t="s">
        <v>5338</v>
      </c>
      <c r="M271" t="s">
        <v>5339</v>
      </c>
      <c r="O271" t="s">
        <v>439</v>
      </c>
      <c r="P271" t="s">
        <v>440</v>
      </c>
      <c r="R271" t="s">
        <v>73</v>
      </c>
      <c r="S271" t="s">
        <v>73</v>
      </c>
      <c r="U271" t="s">
        <v>73</v>
      </c>
      <c r="V271" t="s">
        <v>73</v>
      </c>
      <c r="X271" t="s">
        <v>73</v>
      </c>
      <c r="Y271" t="s">
        <v>73</v>
      </c>
      <c r="AA271" t="s">
        <v>73</v>
      </c>
      <c r="AB271" t="s">
        <v>73</v>
      </c>
      <c r="AE271" t="s">
        <v>5340</v>
      </c>
      <c r="AF271">
        <v>472.57533204018489</v>
      </c>
      <c r="AG271">
        <v>7</v>
      </c>
      <c r="AH271">
        <v>13</v>
      </c>
      <c r="AI271">
        <v>238</v>
      </c>
      <c r="AJ271">
        <v>190.30592448909431</v>
      </c>
      <c r="AK271">
        <v>702.6</v>
      </c>
      <c r="AM271">
        <v>238.42829428473203</v>
      </c>
      <c r="AN271">
        <v>112</v>
      </c>
      <c r="AO271" t="s">
        <v>5721</v>
      </c>
      <c r="AP271" t="s">
        <v>2266</v>
      </c>
    </row>
    <row r="272" spans="1:42" x14ac:dyDescent="0.25">
      <c r="A272">
        <v>271</v>
      </c>
      <c r="B272" t="s">
        <v>2727</v>
      </c>
      <c r="C272" t="s">
        <v>2727</v>
      </c>
      <c r="D272" t="s">
        <v>435</v>
      </c>
      <c r="E272" t="s">
        <v>67</v>
      </c>
      <c r="F272" t="s">
        <v>68</v>
      </c>
      <c r="G272" t="s">
        <v>69</v>
      </c>
      <c r="H272" t="s">
        <v>70</v>
      </c>
      <c r="I272" t="s">
        <v>436</v>
      </c>
      <c r="J272" t="s">
        <v>437</v>
      </c>
      <c r="K272" t="s">
        <v>438</v>
      </c>
      <c r="L272" t="s">
        <v>5341</v>
      </c>
      <c r="M272" t="s">
        <v>5342</v>
      </c>
      <c r="O272" t="s">
        <v>439</v>
      </c>
      <c r="P272" t="s">
        <v>440</v>
      </c>
      <c r="R272" t="s">
        <v>73</v>
      </c>
      <c r="S272" t="s">
        <v>73</v>
      </c>
      <c r="U272" t="s">
        <v>73</v>
      </c>
      <c r="V272" t="s">
        <v>73</v>
      </c>
      <c r="X272" t="s">
        <v>73</v>
      </c>
      <c r="Y272" t="s">
        <v>73</v>
      </c>
      <c r="AA272" t="s">
        <v>73</v>
      </c>
      <c r="AB272" t="s">
        <v>73</v>
      </c>
      <c r="AF272">
        <v>471.66875878951691</v>
      </c>
      <c r="AG272">
        <v>6.5294117647059</v>
      </c>
      <c r="AH272">
        <v>16</v>
      </c>
      <c r="AI272">
        <v>189</v>
      </c>
      <c r="AJ272">
        <v>215.10907839357984</v>
      </c>
      <c r="AK272">
        <v>656.14117647059004</v>
      </c>
      <c r="AM272">
        <v>273.15270975101174</v>
      </c>
      <c r="AN272">
        <v>112</v>
      </c>
      <c r="AO272" t="s">
        <v>5722</v>
      </c>
      <c r="AP272" t="s">
        <v>435</v>
      </c>
    </row>
    <row r="273" spans="1:42" x14ac:dyDescent="0.25">
      <c r="A273">
        <v>272</v>
      </c>
      <c r="B273" t="s">
        <v>2074</v>
      </c>
      <c r="C273" t="s">
        <v>2074</v>
      </c>
      <c r="D273" t="s">
        <v>3832</v>
      </c>
      <c r="E273" t="s">
        <v>67</v>
      </c>
      <c r="F273" t="s">
        <v>68</v>
      </c>
      <c r="G273" t="s">
        <v>3843</v>
      </c>
      <c r="H273" t="s">
        <v>3844</v>
      </c>
      <c r="J273" t="s">
        <v>580</v>
      </c>
      <c r="K273" t="s">
        <v>581</v>
      </c>
      <c r="L273" t="s">
        <v>5094</v>
      </c>
      <c r="M273" t="s">
        <v>5095</v>
      </c>
      <c r="R273" t="s">
        <v>73</v>
      </c>
      <c r="S273" t="s">
        <v>73</v>
      </c>
      <c r="U273" t="s">
        <v>73</v>
      </c>
      <c r="V273" t="s">
        <v>73</v>
      </c>
      <c r="X273" t="s">
        <v>2443</v>
      </c>
      <c r="Y273" t="s">
        <v>2444</v>
      </c>
      <c r="Z273">
        <v>3</v>
      </c>
      <c r="AA273" t="s">
        <v>73</v>
      </c>
      <c r="AB273" t="s">
        <v>73</v>
      </c>
      <c r="AF273">
        <v>471.12997504968234</v>
      </c>
      <c r="AG273">
        <v>6.2727272727273</v>
      </c>
      <c r="AH273">
        <v>10</v>
      </c>
      <c r="AI273">
        <v>165</v>
      </c>
      <c r="AJ273">
        <v>229.43734601479699</v>
      </c>
      <c r="AK273">
        <v>629.27272727272998</v>
      </c>
      <c r="AM273">
        <v>321.21228442071578</v>
      </c>
      <c r="AN273">
        <v>0</v>
      </c>
      <c r="AO273" t="s">
        <v>5723</v>
      </c>
      <c r="AP273" t="s">
        <v>3832</v>
      </c>
    </row>
    <row r="274" spans="1:42" x14ac:dyDescent="0.25">
      <c r="A274">
        <v>273</v>
      </c>
      <c r="B274" t="s">
        <v>3724</v>
      </c>
      <c r="C274" t="s">
        <v>3724</v>
      </c>
      <c r="D274" t="s">
        <v>3866</v>
      </c>
      <c r="E274" t="s">
        <v>183</v>
      </c>
      <c r="F274" t="s">
        <v>184</v>
      </c>
      <c r="G274" t="s">
        <v>158</v>
      </c>
      <c r="H274" t="s">
        <v>159</v>
      </c>
      <c r="I274" t="s">
        <v>3867</v>
      </c>
      <c r="J274" t="s">
        <v>1511</v>
      </c>
      <c r="K274" t="s">
        <v>3020</v>
      </c>
      <c r="Q274">
        <v>12</v>
      </c>
      <c r="R274" t="s">
        <v>2409</v>
      </c>
      <c r="S274" t="s">
        <v>2410</v>
      </c>
      <c r="T274">
        <v>2</v>
      </c>
      <c r="U274" t="s">
        <v>2432</v>
      </c>
      <c r="V274" t="s">
        <v>2433</v>
      </c>
      <c r="W274">
        <v>7</v>
      </c>
      <c r="X274" t="s">
        <v>2440</v>
      </c>
      <c r="Y274" t="s">
        <v>2441</v>
      </c>
      <c r="Z274">
        <v>2</v>
      </c>
      <c r="AA274" t="s">
        <v>73</v>
      </c>
      <c r="AB274" t="s">
        <v>73</v>
      </c>
      <c r="AF274">
        <v>469.97271879456775</v>
      </c>
      <c r="AG274">
        <v>6.5714285714285996</v>
      </c>
      <c r="AH274">
        <v>6</v>
      </c>
      <c r="AI274">
        <v>194</v>
      </c>
      <c r="AJ274">
        <v>212.00143358126411</v>
      </c>
      <c r="AK274">
        <v>658.34285714286</v>
      </c>
      <c r="AM274">
        <v>296.80200701376975</v>
      </c>
      <c r="AN274">
        <v>0</v>
      </c>
      <c r="AO274" t="s">
        <v>5724</v>
      </c>
      <c r="AP274" t="s">
        <v>3866</v>
      </c>
    </row>
    <row r="275" spans="1:42" x14ac:dyDescent="0.25">
      <c r="A275">
        <v>274</v>
      </c>
      <c r="B275" t="s">
        <v>2142</v>
      </c>
      <c r="C275" t="s">
        <v>2142</v>
      </c>
      <c r="D275" t="s">
        <v>2143</v>
      </c>
      <c r="E275" t="s">
        <v>199</v>
      </c>
      <c r="F275" t="s">
        <v>200</v>
      </c>
      <c r="I275" t="s">
        <v>2144</v>
      </c>
      <c r="J275" t="s">
        <v>411</v>
      </c>
      <c r="K275" t="s">
        <v>412</v>
      </c>
      <c r="L275" t="s">
        <v>5183</v>
      </c>
      <c r="M275" t="s">
        <v>5184</v>
      </c>
      <c r="O275" t="s">
        <v>2647</v>
      </c>
      <c r="P275" t="s">
        <v>2647</v>
      </c>
      <c r="Q275">
        <v>14</v>
      </c>
      <c r="R275" t="s">
        <v>2414</v>
      </c>
      <c r="S275" t="s">
        <v>2415</v>
      </c>
      <c r="T275">
        <v>3</v>
      </c>
      <c r="U275" t="s">
        <v>2432</v>
      </c>
      <c r="V275" t="s">
        <v>2433</v>
      </c>
      <c r="W275">
        <v>7</v>
      </c>
      <c r="X275" t="s">
        <v>2437</v>
      </c>
      <c r="Y275" t="s">
        <v>2438</v>
      </c>
      <c r="Z275">
        <v>1</v>
      </c>
      <c r="AA275" t="s">
        <v>2145</v>
      </c>
      <c r="AB275" t="s">
        <v>2145</v>
      </c>
      <c r="AE275" t="s">
        <v>2146</v>
      </c>
      <c r="AF275">
        <v>469.43773642805081</v>
      </c>
      <c r="AG275">
        <v>8.4385964912281004</v>
      </c>
      <c r="AH275">
        <v>113</v>
      </c>
      <c r="AI275">
        <v>609</v>
      </c>
      <c r="AJ275">
        <v>95.786568740717541</v>
      </c>
      <c r="AK275">
        <v>866.45964912281011</v>
      </c>
      <c r="AL275">
        <v>2005</v>
      </c>
      <c r="AM275">
        <v>134.10119623700456</v>
      </c>
      <c r="AN275">
        <v>0</v>
      </c>
      <c r="AO275" t="s">
        <v>5725</v>
      </c>
      <c r="AP275" t="s">
        <v>2143</v>
      </c>
    </row>
    <row r="276" spans="1:42" x14ac:dyDescent="0.25">
      <c r="A276">
        <v>275</v>
      </c>
      <c r="B276" t="s">
        <v>2905</v>
      </c>
      <c r="C276" t="s">
        <v>4076</v>
      </c>
      <c r="D276" t="s">
        <v>1083</v>
      </c>
      <c r="E276" t="s">
        <v>595</v>
      </c>
      <c r="F276" t="s">
        <v>596</v>
      </c>
      <c r="G276" t="s">
        <v>3167</v>
      </c>
      <c r="H276" t="s">
        <v>3166</v>
      </c>
      <c r="I276" t="s">
        <v>1084</v>
      </c>
      <c r="J276" t="s">
        <v>1037</v>
      </c>
      <c r="K276" t="s">
        <v>1038</v>
      </c>
      <c r="Q276">
        <v>13</v>
      </c>
      <c r="R276" t="s">
        <v>2414</v>
      </c>
      <c r="S276" t="s">
        <v>2415</v>
      </c>
      <c r="T276">
        <v>3</v>
      </c>
      <c r="U276" t="s">
        <v>2430</v>
      </c>
      <c r="V276" t="s">
        <v>2431</v>
      </c>
      <c r="W276">
        <v>6</v>
      </c>
      <c r="X276" t="s">
        <v>2440</v>
      </c>
      <c r="Y276" t="s">
        <v>2441</v>
      </c>
      <c r="Z276">
        <v>2</v>
      </c>
      <c r="AA276" t="s">
        <v>73</v>
      </c>
      <c r="AB276" t="s">
        <v>73</v>
      </c>
      <c r="AF276">
        <v>469.35055366487188</v>
      </c>
      <c r="AG276">
        <v>8.3431372549020004</v>
      </c>
      <c r="AH276">
        <v>101</v>
      </c>
      <c r="AI276">
        <v>581</v>
      </c>
      <c r="AJ276">
        <v>102.3263232441909</v>
      </c>
      <c r="AK276">
        <v>854.51372549020004</v>
      </c>
      <c r="AM276">
        <v>87.256852541867261</v>
      </c>
      <c r="AN276">
        <v>224</v>
      </c>
      <c r="AO276" t="s">
        <v>5726</v>
      </c>
      <c r="AP276" t="s">
        <v>1083</v>
      </c>
    </row>
    <row r="277" spans="1:42" x14ac:dyDescent="0.25">
      <c r="A277">
        <v>276</v>
      </c>
      <c r="B277" t="s">
        <v>1097</v>
      </c>
      <c r="C277" t="s">
        <v>1097</v>
      </c>
      <c r="D277" t="s">
        <v>1098</v>
      </c>
      <c r="E277" t="s">
        <v>229</v>
      </c>
      <c r="F277" t="s">
        <v>229</v>
      </c>
      <c r="G277" t="s">
        <v>69</v>
      </c>
      <c r="H277" t="s">
        <v>70</v>
      </c>
      <c r="R277" t="s">
        <v>73</v>
      </c>
      <c r="S277" t="s">
        <v>73</v>
      </c>
      <c r="U277" t="s">
        <v>73</v>
      </c>
      <c r="V277" t="s">
        <v>73</v>
      </c>
      <c r="X277" t="s">
        <v>73</v>
      </c>
      <c r="Y277" t="s">
        <v>73</v>
      </c>
      <c r="AA277" t="s">
        <v>73</v>
      </c>
      <c r="AB277" t="s">
        <v>73</v>
      </c>
      <c r="AF277">
        <v>469.3191010523251</v>
      </c>
      <c r="AG277">
        <v>7.0833333333333002</v>
      </c>
      <c r="AH277">
        <v>23</v>
      </c>
      <c r="AI277">
        <v>268</v>
      </c>
      <c r="AJ277">
        <v>180.9471493174</v>
      </c>
      <c r="AK277">
        <v>712.9333333333301</v>
      </c>
      <c r="AM277">
        <v>141.32600904436001</v>
      </c>
      <c r="AN277">
        <v>448</v>
      </c>
      <c r="AO277" t="s">
        <v>5727</v>
      </c>
      <c r="AP277" t="s">
        <v>1098</v>
      </c>
    </row>
    <row r="278" spans="1:42" x14ac:dyDescent="0.25">
      <c r="A278">
        <v>277</v>
      </c>
      <c r="B278" t="s">
        <v>3354</v>
      </c>
      <c r="C278" t="s">
        <v>3354</v>
      </c>
      <c r="D278" t="s">
        <v>4876</v>
      </c>
      <c r="E278" t="s">
        <v>3377</v>
      </c>
      <c r="F278" t="s">
        <v>3355</v>
      </c>
      <c r="G278" t="s">
        <v>60</v>
      </c>
      <c r="H278" t="s">
        <v>61</v>
      </c>
      <c r="I278" t="s">
        <v>3704</v>
      </c>
      <c r="R278" t="s">
        <v>73</v>
      </c>
      <c r="S278" t="s">
        <v>73</v>
      </c>
      <c r="U278" t="s">
        <v>73</v>
      </c>
      <c r="V278" t="s">
        <v>73</v>
      </c>
      <c r="X278" t="s">
        <v>73</v>
      </c>
      <c r="Y278" t="s">
        <v>73</v>
      </c>
      <c r="AA278" t="s">
        <v>73</v>
      </c>
      <c r="AB278" t="s">
        <v>73</v>
      </c>
      <c r="AF278">
        <v>469.24846869155544</v>
      </c>
      <c r="AG278">
        <v>7.8666666666667</v>
      </c>
      <c r="AH278">
        <v>14</v>
      </c>
      <c r="AI278">
        <v>420</v>
      </c>
      <c r="AJ278">
        <v>138.35015039802269</v>
      </c>
      <c r="AK278">
        <v>789.46666666666999</v>
      </c>
      <c r="AM278">
        <v>81.690210557231737</v>
      </c>
      <c r="AN278">
        <v>448</v>
      </c>
      <c r="AO278" t="s">
        <v>5728</v>
      </c>
      <c r="AP278" t="s">
        <v>4876</v>
      </c>
    </row>
    <row r="279" spans="1:42" x14ac:dyDescent="0.25">
      <c r="A279">
        <v>278</v>
      </c>
      <c r="B279" t="s">
        <v>1598</v>
      </c>
      <c r="C279" t="s">
        <v>1598</v>
      </c>
      <c r="D279" t="s">
        <v>1599</v>
      </c>
      <c r="E279" t="s">
        <v>218</v>
      </c>
      <c r="F279" t="s">
        <v>219</v>
      </c>
      <c r="G279" t="s">
        <v>69</v>
      </c>
      <c r="H279" t="s">
        <v>70</v>
      </c>
      <c r="I279" t="s">
        <v>1600</v>
      </c>
      <c r="J279" t="s">
        <v>241</v>
      </c>
      <c r="K279" t="s">
        <v>242</v>
      </c>
      <c r="L279" t="s">
        <v>4964</v>
      </c>
      <c r="M279" t="s">
        <v>4965</v>
      </c>
      <c r="R279" t="s">
        <v>73</v>
      </c>
      <c r="S279" t="s">
        <v>73</v>
      </c>
      <c r="U279" t="s">
        <v>73</v>
      </c>
      <c r="V279" t="s">
        <v>73</v>
      </c>
      <c r="X279" t="s">
        <v>73</v>
      </c>
      <c r="Y279" t="s">
        <v>73</v>
      </c>
      <c r="AA279" t="s">
        <v>73</v>
      </c>
      <c r="AB279" t="s">
        <v>73</v>
      </c>
      <c r="AF279">
        <v>469.14159775408916</v>
      </c>
      <c r="AG279">
        <v>7.4482758620689999</v>
      </c>
      <c r="AH279">
        <v>28</v>
      </c>
      <c r="AI279">
        <v>327</v>
      </c>
      <c r="AJ279">
        <v>159.91978294515462</v>
      </c>
      <c r="AK279">
        <v>750.42758620690006</v>
      </c>
      <c r="AM279">
        <v>167.88769612321647</v>
      </c>
      <c r="AN279">
        <v>224</v>
      </c>
      <c r="AO279" t="s">
        <v>5729</v>
      </c>
      <c r="AP279" t="s">
        <v>1599</v>
      </c>
    </row>
    <row r="280" spans="1:42" x14ac:dyDescent="0.25">
      <c r="A280">
        <v>279</v>
      </c>
      <c r="B280" t="s">
        <v>1332</v>
      </c>
      <c r="C280" t="s">
        <v>1332</v>
      </c>
      <c r="D280" t="s">
        <v>1333</v>
      </c>
      <c r="E280" t="s">
        <v>282</v>
      </c>
      <c r="F280" t="s">
        <v>283</v>
      </c>
      <c r="G280" t="s">
        <v>3167</v>
      </c>
      <c r="H280" t="s">
        <v>3166</v>
      </c>
      <c r="I280" t="s">
        <v>1334</v>
      </c>
      <c r="J280" t="s">
        <v>473</v>
      </c>
      <c r="K280" t="s">
        <v>474</v>
      </c>
      <c r="O280" t="s">
        <v>2557</v>
      </c>
      <c r="P280" t="s">
        <v>2558</v>
      </c>
      <c r="Q280">
        <v>12</v>
      </c>
      <c r="R280" t="s">
        <v>2406</v>
      </c>
      <c r="S280" t="s">
        <v>2407</v>
      </c>
      <c r="T280">
        <v>1</v>
      </c>
      <c r="U280" t="s">
        <v>2430</v>
      </c>
      <c r="V280" t="s">
        <v>2431</v>
      </c>
      <c r="W280">
        <v>6</v>
      </c>
      <c r="X280" t="s">
        <v>2443</v>
      </c>
      <c r="Y280" t="s">
        <v>2444</v>
      </c>
      <c r="Z280">
        <v>3</v>
      </c>
      <c r="AA280" t="s">
        <v>1335</v>
      </c>
      <c r="AB280" t="s">
        <v>1335</v>
      </c>
      <c r="AC280" t="s">
        <v>1336</v>
      </c>
      <c r="AD280" t="s">
        <v>1336</v>
      </c>
      <c r="AF280">
        <v>469.07961411303029</v>
      </c>
      <c r="AG280">
        <v>6.4285714285714004</v>
      </c>
      <c r="AH280">
        <v>27</v>
      </c>
      <c r="AI280">
        <v>184</v>
      </c>
      <c r="AJ280">
        <v>216.61226964940028</v>
      </c>
      <c r="AK280">
        <v>648.25714285714002</v>
      </c>
      <c r="AL280">
        <v>2009</v>
      </c>
      <c r="AM280">
        <v>247.25717750916039</v>
      </c>
      <c r="AN280">
        <v>224</v>
      </c>
      <c r="AO280" t="s">
        <v>5730</v>
      </c>
      <c r="AP280" t="s">
        <v>1333</v>
      </c>
    </row>
    <row r="281" spans="1:42" x14ac:dyDescent="0.25">
      <c r="A281">
        <v>280</v>
      </c>
      <c r="B281" t="s">
        <v>2883</v>
      </c>
      <c r="C281" t="s">
        <v>2883</v>
      </c>
      <c r="D281" t="s">
        <v>2884</v>
      </c>
      <c r="E281" t="s">
        <v>3169</v>
      </c>
      <c r="F281" t="s">
        <v>379</v>
      </c>
      <c r="G281" t="s">
        <v>162</v>
      </c>
      <c r="H281" t="s">
        <v>163</v>
      </c>
      <c r="I281" t="s">
        <v>428</v>
      </c>
      <c r="J281" t="s">
        <v>428</v>
      </c>
      <c r="K281" t="s">
        <v>429</v>
      </c>
      <c r="O281" t="s">
        <v>430</v>
      </c>
      <c r="P281" t="s">
        <v>430</v>
      </c>
      <c r="R281" t="s">
        <v>73</v>
      </c>
      <c r="S281" t="s">
        <v>73</v>
      </c>
      <c r="U281" t="s">
        <v>73</v>
      </c>
      <c r="V281" t="s">
        <v>73</v>
      </c>
      <c r="X281" t="s">
        <v>73</v>
      </c>
      <c r="Y281" t="s">
        <v>73</v>
      </c>
      <c r="AA281" t="s">
        <v>73</v>
      </c>
      <c r="AB281" t="s">
        <v>73</v>
      </c>
      <c r="AF281">
        <v>468.57051033153982</v>
      </c>
      <c r="AG281">
        <v>6.5</v>
      </c>
      <c r="AH281">
        <v>5</v>
      </c>
      <c r="AI281">
        <v>191</v>
      </c>
      <c r="AJ281">
        <v>214.52278925726645</v>
      </c>
      <c r="AK281">
        <v>651</v>
      </c>
      <c r="AM281">
        <v>194.33190496017301</v>
      </c>
      <c r="AN281">
        <v>424</v>
      </c>
      <c r="AO281" t="s">
        <v>5731</v>
      </c>
      <c r="AP281" t="s">
        <v>2884</v>
      </c>
    </row>
    <row r="282" spans="1:42" x14ac:dyDescent="0.25">
      <c r="A282">
        <v>281</v>
      </c>
      <c r="B282" t="s">
        <v>215</v>
      </c>
      <c r="C282" t="s">
        <v>215</v>
      </c>
      <c r="D282" t="s">
        <v>216</v>
      </c>
      <c r="E282" t="s">
        <v>169</v>
      </c>
      <c r="F282" t="s">
        <v>170</v>
      </c>
      <c r="G282" t="s">
        <v>79</v>
      </c>
      <c r="H282" t="s">
        <v>80</v>
      </c>
      <c r="R282" t="s">
        <v>73</v>
      </c>
      <c r="S282" t="s">
        <v>73</v>
      </c>
      <c r="U282" t="s">
        <v>73</v>
      </c>
      <c r="V282" t="s">
        <v>73</v>
      </c>
      <c r="X282" t="s">
        <v>73</v>
      </c>
      <c r="Y282" t="s">
        <v>73</v>
      </c>
      <c r="AA282" t="s">
        <v>73</v>
      </c>
      <c r="AB282" t="s">
        <v>73</v>
      </c>
      <c r="AF282">
        <v>467.59753716924365</v>
      </c>
      <c r="AG282">
        <v>7.3</v>
      </c>
      <c r="AH282">
        <v>9</v>
      </c>
      <c r="AI282">
        <v>300</v>
      </c>
      <c r="AJ282">
        <v>168.55281907693745</v>
      </c>
      <c r="AK282">
        <v>731.8</v>
      </c>
      <c r="AM282">
        <v>151.97394670771243</v>
      </c>
      <c r="AN282">
        <v>336</v>
      </c>
      <c r="AO282" t="s">
        <v>5732</v>
      </c>
      <c r="AP282" t="s">
        <v>216</v>
      </c>
    </row>
    <row r="283" spans="1:42" x14ac:dyDescent="0.25">
      <c r="A283">
        <v>282</v>
      </c>
      <c r="B283" t="s">
        <v>1372</v>
      </c>
      <c r="C283" t="s">
        <v>1372</v>
      </c>
      <c r="D283" t="s">
        <v>3829</v>
      </c>
      <c r="E283" t="s">
        <v>67</v>
      </c>
      <c r="F283" t="s">
        <v>68</v>
      </c>
      <c r="G283" t="s">
        <v>3843</v>
      </c>
      <c r="H283" t="s">
        <v>3844</v>
      </c>
      <c r="J283" t="s">
        <v>580</v>
      </c>
      <c r="K283" t="s">
        <v>581</v>
      </c>
      <c r="L283" t="s">
        <v>5090</v>
      </c>
      <c r="M283" t="s">
        <v>5091</v>
      </c>
      <c r="R283" t="s">
        <v>2406</v>
      </c>
      <c r="S283" t="s">
        <v>2407</v>
      </c>
      <c r="T283">
        <v>1</v>
      </c>
      <c r="U283" t="s">
        <v>73</v>
      </c>
      <c r="V283" t="s">
        <v>73</v>
      </c>
      <c r="X283" t="s">
        <v>2437</v>
      </c>
      <c r="Y283" t="s">
        <v>2438</v>
      </c>
      <c r="Z283">
        <v>1</v>
      </c>
      <c r="AE283" t="s">
        <v>5089</v>
      </c>
      <c r="AF283">
        <v>466.54737334472634</v>
      </c>
      <c r="AG283">
        <v>6.8461538461537996</v>
      </c>
      <c r="AH283">
        <v>12</v>
      </c>
      <c r="AI283">
        <v>232</v>
      </c>
      <c r="AJ283">
        <v>192.26631226337369</v>
      </c>
      <c r="AK283">
        <v>687.01538461537996</v>
      </c>
      <c r="AM283">
        <v>269.17283716872316</v>
      </c>
      <c r="AN283">
        <v>0</v>
      </c>
      <c r="AO283" t="s">
        <v>5733</v>
      </c>
      <c r="AP283" t="s">
        <v>3829</v>
      </c>
    </row>
    <row r="284" spans="1:42" x14ac:dyDescent="0.25">
      <c r="A284">
        <v>283</v>
      </c>
      <c r="B284" t="s">
        <v>1971</v>
      </c>
      <c r="C284" t="s">
        <v>1971</v>
      </c>
      <c r="D284" t="s">
        <v>1972</v>
      </c>
      <c r="E284" t="s">
        <v>595</v>
      </c>
      <c r="F284" t="s">
        <v>596</v>
      </c>
      <c r="G284" t="s">
        <v>3167</v>
      </c>
      <c r="H284" t="s">
        <v>3166</v>
      </c>
      <c r="I284" t="s">
        <v>930</v>
      </c>
      <c r="J284" t="s">
        <v>607</v>
      </c>
      <c r="K284" t="s">
        <v>608</v>
      </c>
      <c r="R284" t="s">
        <v>2414</v>
      </c>
      <c r="S284" t="s">
        <v>2415</v>
      </c>
      <c r="T284">
        <v>3</v>
      </c>
      <c r="U284" t="s">
        <v>73</v>
      </c>
      <c r="V284" t="s">
        <v>73</v>
      </c>
      <c r="X284" t="s">
        <v>73</v>
      </c>
      <c r="Y284" t="s">
        <v>73</v>
      </c>
      <c r="AA284" t="s">
        <v>73</v>
      </c>
      <c r="AB284" t="s">
        <v>73</v>
      </c>
      <c r="AF284">
        <v>466.48471985911704</v>
      </c>
      <c r="AG284">
        <v>7.2352941176470997</v>
      </c>
      <c r="AH284">
        <v>16</v>
      </c>
      <c r="AI284">
        <v>296</v>
      </c>
      <c r="AJ284">
        <v>170.13334886306893</v>
      </c>
      <c r="AK284">
        <v>726.72941176470999</v>
      </c>
      <c r="AM284">
        <v>182.18668840829648</v>
      </c>
      <c r="AN284">
        <v>224</v>
      </c>
      <c r="AO284" t="s">
        <v>5734</v>
      </c>
      <c r="AP284" t="s">
        <v>1972</v>
      </c>
    </row>
    <row r="285" spans="1:42" x14ac:dyDescent="0.25">
      <c r="A285">
        <v>284</v>
      </c>
      <c r="B285" t="s">
        <v>2200</v>
      </c>
      <c r="C285" t="s">
        <v>2200</v>
      </c>
      <c r="D285" t="s">
        <v>3637</v>
      </c>
      <c r="E285" t="s">
        <v>666</v>
      </c>
      <c r="F285" t="s">
        <v>667</v>
      </c>
      <c r="G285" t="s">
        <v>60</v>
      </c>
      <c r="H285" t="s">
        <v>61</v>
      </c>
      <c r="I285" t="s">
        <v>2015</v>
      </c>
      <c r="J285" t="s">
        <v>3619</v>
      </c>
      <c r="K285" t="s">
        <v>3616</v>
      </c>
      <c r="L285" t="s">
        <v>4452</v>
      </c>
      <c r="M285" t="s">
        <v>4453</v>
      </c>
      <c r="R285" t="s">
        <v>2414</v>
      </c>
      <c r="S285" t="s">
        <v>2415</v>
      </c>
      <c r="T285">
        <v>3</v>
      </c>
      <c r="U285" t="s">
        <v>73</v>
      </c>
      <c r="V285" t="s">
        <v>73</v>
      </c>
      <c r="X285" t="s">
        <v>73</v>
      </c>
      <c r="Y285" t="s">
        <v>73</v>
      </c>
      <c r="AA285" t="s">
        <v>73</v>
      </c>
      <c r="AB285" t="s">
        <v>73</v>
      </c>
      <c r="AE285" t="s">
        <v>2201</v>
      </c>
      <c r="AF285">
        <v>466.13256394213954</v>
      </c>
      <c r="AG285">
        <v>7.6153846153845999</v>
      </c>
      <c r="AH285">
        <v>25</v>
      </c>
      <c r="AI285">
        <v>371</v>
      </c>
      <c r="AJ285">
        <v>147.62592574767729</v>
      </c>
      <c r="AK285">
        <v>766.53846153845996</v>
      </c>
      <c r="AM285">
        <v>122.67629604674818</v>
      </c>
      <c r="AN285">
        <v>336</v>
      </c>
      <c r="AO285" t="s">
        <v>5735</v>
      </c>
      <c r="AP285" t="s">
        <v>3637</v>
      </c>
    </row>
    <row r="286" spans="1:42" x14ac:dyDescent="0.25">
      <c r="A286">
        <v>285</v>
      </c>
      <c r="B286" t="s">
        <v>2017</v>
      </c>
      <c r="C286" t="s">
        <v>2017</v>
      </c>
      <c r="D286" t="s">
        <v>3812</v>
      </c>
      <c r="E286" t="s">
        <v>67</v>
      </c>
      <c r="F286" t="s">
        <v>68</v>
      </c>
      <c r="G286" t="s">
        <v>3845</v>
      </c>
      <c r="H286" t="s">
        <v>3846</v>
      </c>
      <c r="I286" t="s">
        <v>2018</v>
      </c>
      <c r="J286" t="s">
        <v>225</v>
      </c>
      <c r="K286" t="s">
        <v>226</v>
      </c>
      <c r="L286" t="s">
        <v>5343</v>
      </c>
      <c r="M286" t="s">
        <v>5344</v>
      </c>
      <c r="R286" t="s">
        <v>73</v>
      </c>
      <c r="S286" t="s">
        <v>73</v>
      </c>
      <c r="U286" t="s">
        <v>73</v>
      </c>
      <c r="V286" t="s">
        <v>73</v>
      </c>
      <c r="X286" t="s">
        <v>2440</v>
      </c>
      <c r="Y286" t="s">
        <v>2441</v>
      </c>
      <c r="Z286">
        <v>2</v>
      </c>
      <c r="AA286" t="s">
        <v>73</v>
      </c>
      <c r="AB286" t="s">
        <v>73</v>
      </c>
      <c r="AF286">
        <v>465.84338370756541</v>
      </c>
      <c r="AG286">
        <v>6.1666666666666998</v>
      </c>
      <c r="AH286">
        <v>11</v>
      </c>
      <c r="AI286">
        <v>167</v>
      </c>
      <c r="AJ286">
        <v>229.34450041581152</v>
      </c>
      <c r="AK286">
        <v>618.86666666666997</v>
      </c>
      <c r="AM286">
        <v>293.0823005821361</v>
      </c>
      <c r="AN286">
        <v>112</v>
      </c>
      <c r="AO286" t="s">
        <v>5736</v>
      </c>
      <c r="AP286" t="s">
        <v>3812</v>
      </c>
    </row>
    <row r="287" spans="1:42" x14ac:dyDescent="0.25">
      <c r="A287">
        <v>286</v>
      </c>
      <c r="B287" t="s">
        <v>1450</v>
      </c>
      <c r="C287" t="s">
        <v>1450</v>
      </c>
      <c r="D287" t="s">
        <v>2505</v>
      </c>
      <c r="E287" t="s">
        <v>137</v>
      </c>
      <c r="F287" t="s">
        <v>138</v>
      </c>
      <c r="G287" t="s">
        <v>139</v>
      </c>
      <c r="H287" t="s">
        <v>140</v>
      </c>
      <c r="I287" t="s">
        <v>1451</v>
      </c>
      <c r="J287" t="s">
        <v>426</v>
      </c>
      <c r="K287" t="s">
        <v>427</v>
      </c>
      <c r="L287" t="s">
        <v>4684</v>
      </c>
      <c r="M287" t="s">
        <v>4685</v>
      </c>
      <c r="R287" t="s">
        <v>2406</v>
      </c>
      <c r="S287" t="s">
        <v>2407</v>
      </c>
      <c r="T287">
        <v>1</v>
      </c>
      <c r="U287" t="s">
        <v>73</v>
      </c>
      <c r="V287" t="s">
        <v>73</v>
      </c>
      <c r="X287" t="s">
        <v>73</v>
      </c>
      <c r="Y287" t="s">
        <v>73</v>
      </c>
      <c r="AA287" t="s">
        <v>73</v>
      </c>
      <c r="AB287" t="s">
        <v>73</v>
      </c>
      <c r="AF287">
        <v>465.63205101546566</v>
      </c>
      <c r="AG287">
        <v>7.5357142857142998</v>
      </c>
      <c r="AH287">
        <v>27</v>
      </c>
      <c r="AI287">
        <v>356</v>
      </c>
      <c r="AJ287">
        <v>151.27370747750069</v>
      </c>
      <c r="AK287">
        <v>758.97142857143001</v>
      </c>
      <c r="AL287">
        <v>2004</v>
      </c>
      <c r="AM287">
        <v>211.78319046850095</v>
      </c>
      <c r="AN287">
        <v>0</v>
      </c>
      <c r="AO287" t="s">
        <v>5737</v>
      </c>
      <c r="AP287" t="s">
        <v>2505</v>
      </c>
    </row>
    <row r="288" spans="1:42" x14ac:dyDescent="0.25">
      <c r="A288">
        <v>287</v>
      </c>
      <c r="B288" t="s">
        <v>829</v>
      </c>
      <c r="C288" t="s">
        <v>829</v>
      </c>
      <c r="D288" t="s">
        <v>3129</v>
      </c>
      <c r="E288" t="s">
        <v>830</v>
      </c>
      <c r="F288" t="s">
        <v>831</v>
      </c>
      <c r="G288" t="s">
        <v>632</v>
      </c>
      <c r="H288" t="s">
        <v>633</v>
      </c>
      <c r="J288" t="s">
        <v>5045</v>
      </c>
      <c r="K288" t="s">
        <v>5046</v>
      </c>
      <c r="Q288">
        <v>14</v>
      </c>
      <c r="R288" t="s">
        <v>2406</v>
      </c>
      <c r="S288" t="s">
        <v>2407</v>
      </c>
      <c r="T288">
        <v>1</v>
      </c>
      <c r="U288" t="s">
        <v>2430</v>
      </c>
      <c r="V288" t="s">
        <v>2431</v>
      </c>
      <c r="W288">
        <v>6</v>
      </c>
      <c r="X288" t="s">
        <v>2446</v>
      </c>
      <c r="Y288" t="s">
        <v>2447</v>
      </c>
      <c r="Z288">
        <v>4</v>
      </c>
      <c r="AA288" t="s">
        <v>73</v>
      </c>
      <c r="AB288" t="s">
        <v>73</v>
      </c>
      <c r="AF288">
        <v>465.30227012563</v>
      </c>
      <c r="AG288">
        <v>8.25</v>
      </c>
      <c r="AH288">
        <v>7</v>
      </c>
      <c r="AI288">
        <v>537</v>
      </c>
      <c r="AJ288">
        <v>113.44696680625553</v>
      </c>
      <c r="AK288">
        <v>826.4</v>
      </c>
      <c r="AM288">
        <v>46.825753528757723</v>
      </c>
      <c r="AN288">
        <v>448</v>
      </c>
      <c r="AO288" t="s">
        <v>5738</v>
      </c>
      <c r="AP288" t="s">
        <v>3129</v>
      </c>
    </row>
    <row r="289" spans="1:42" x14ac:dyDescent="0.25">
      <c r="A289">
        <v>288</v>
      </c>
      <c r="B289" t="s">
        <v>2675</v>
      </c>
      <c r="C289" t="s">
        <v>2675</v>
      </c>
      <c r="D289" t="s">
        <v>3289</v>
      </c>
      <c r="E289" t="s">
        <v>300</v>
      </c>
      <c r="F289" t="s">
        <v>301</v>
      </c>
      <c r="G289" t="s">
        <v>151</v>
      </c>
      <c r="H289" t="s">
        <v>152</v>
      </c>
      <c r="I289" t="s">
        <v>3293</v>
      </c>
      <c r="J289" t="s">
        <v>3291</v>
      </c>
      <c r="K289" t="s">
        <v>3292</v>
      </c>
      <c r="O289" t="s">
        <v>3294</v>
      </c>
      <c r="P289" t="s">
        <v>3294</v>
      </c>
      <c r="Q289">
        <v>15</v>
      </c>
      <c r="R289" t="s">
        <v>2417</v>
      </c>
      <c r="S289" t="s">
        <v>2418</v>
      </c>
      <c r="T289">
        <v>4</v>
      </c>
      <c r="U289" t="s">
        <v>3137</v>
      </c>
      <c r="V289" t="s">
        <v>3136</v>
      </c>
      <c r="W289">
        <v>5</v>
      </c>
      <c r="X289" t="s">
        <v>2437</v>
      </c>
      <c r="Y289" t="s">
        <v>2438</v>
      </c>
      <c r="Z289">
        <v>1</v>
      </c>
      <c r="AE289" t="s">
        <v>3290</v>
      </c>
      <c r="AF289">
        <v>464.92219852538994</v>
      </c>
      <c r="AG289">
        <v>7.3</v>
      </c>
      <c r="AH289">
        <v>9</v>
      </c>
      <c r="AI289">
        <v>305</v>
      </c>
      <c r="AJ289">
        <v>165.58022058376659</v>
      </c>
      <c r="AK289">
        <v>731.8</v>
      </c>
      <c r="AM289">
        <v>119.81230881727322</v>
      </c>
      <c r="AN289">
        <v>448</v>
      </c>
      <c r="AO289" t="s">
        <v>5739</v>
      </c>
      <c r="AP289" t="s">
        <v>3289</v>
      </c>
    </row>
    <row r="290" spans="1:42" x14ac:dyDescent="0.25">
      <c r="A290">
        <v>289</v>
      </c>
      <c r="B290" t="s">
        <v>2768</v>
      </c>
      <c r="C290" t="s">
        <v>2768</v>
      </c>
      <c r="D290" t="s">
        <v>3301</v>
      </c>
      <c r="E290" t="s">
        <v>300</v>
      </c>
      <c r="F290" t="s">
        <v>301</v>
      </c>
      <c r="G290" t="s">
        <v>151</v>
      </c>
      <c r="H290" t="s">
        <v>152</v>
      </c>
      <c r="I290" t="s">
        <v>3302</v>
      </c>
      <c r="J290" t="s">
        <v>3291</v>
      </c>
      <c r="K290" t="s">
        <v>3292</v>
      </c>
      <c r="O290" t="s">
        <v>3304</v>
      </c>
      <c r="P290" t="s">
        <v>3303</v>
      </c>
      <c r="Q290">
        <v>14</v>
      </c>
      <c r="R290" t="s">
        <v>2409</v>
      </c>
      <c r="S290" t="s">
        <v>2410</v>
      </c>
      <c r="T290">
        <v>2</v>
      </c>
      <c r="U290" t="s">
        <v>3137</v>
      </c>
      <c r="V290" t="s">
        <v>3136</v>
      </c>
      <c r="W290">
        <v>5</v>
      </c>
      <c r="X290" t="s">
        <v>2446</v>
      </c>
      <c r="Y290" t="s">
        <v>2447</v>
      </c>
      <c r="Z290">
        <v>4</v>
      </c>
      <c r="AC290" t="s">
        <v>3306</v>
      </c>
      <c r="AD290" t="s">
        <v>3305</v>
      </c>
      <c r="AF290">
        <v>464.40401007610183</v>
      </c>
      <c r="AG290">
        <v>6.1666666666666998</v>
      </c>
      <c r="AH290">
        <v>11</v>
      </c>
      <c r="AI290">
        <v>169</v>
      </c>
      <c r="AJ290">
        <v>227.74519638085201</v>
      </c>
      <c r="AK290">
        <v>618.86666666666997</v>
      </c>
      <c r="AM290">
        <v>206.84327493319282</v>
      </c>
      <c r="AN290">
        <v>448</v>
      </c>
      <c r="AO290" t="s">
        <v>5740</v>
      </c>
      <c r="AP290" t="s">
        <v>3301</v>
      </c>
    </row>
    <row r="291" spans="1:42" x14ac:dyDescent="0.25">
      <c r="A291">
        <v>290</v>
      </c>
      <c r="B291" t="s">
        <v>2263</v>
      </c>
      <c r="C291" t="s">
        <v>2263</v>
      </c>
      <c r="D291" t="s">
        <v>2264</v>
      </c>
      <c r="E291" t="s">
        <v>595</v>
      </c>
      <c r="F291" t="s">
        <v>596</v>
      </c>
      <c r="G291" t="s">
        <v>3167</v>
      </c>
      <c r="H291" t="s">
        <v>3166</v>
      </c>
      <c r="J291" t="s">
        <v>1037</v>
      </c>
      <c r="K291" t="s">
        <v>1038</v>
      </c>
      <c r="R291" t="s">
        <v>73</v>
      </c>
      <c r="S291" t="s">
        <v>73</v>
      </c>
      <c r="U291" t="s">
        <v>73</v>
      </c>
      <c r="V291" t="s">
        <v>73</v>
      </c>
      <c r="X291" t="s">
        <v>73</v>
      </c>
      <c r="Y291" t="s">
        <v>73</v>
      </c>
      <c r="AA291" t="s">
        <v>73</v>
      </c>
      <c r="AB291" t="s">
        <v>73</v>
      </c>
      <c r="AF291">
        <v>463.90852133275428</v>
      </c>
      <c r="AG291">
        <v>7.6923076923076996</v>
      </c>
      <c r="AH291">
        <v>51</v>
      </c>
      <c r="AI291">
        <v>426</v>
      </c>
      <c r="AJ291">
        <v>137.99237413041033</v>
      </c>
      <c r="AK291">
        <v>779.43076923077001</v>
      </c>
      <c r="AM291">
        <v>137.18932378257446</v>
      </c>
      <c r="AN291">
        <v>224</v>
      </c>
      <c r="AO291" t="s">
        <v>5741</v>
      </c>
      <c r="AP291" t="s">
        <v>2264</v>
      </c>
    </row>
    <row r="292" spans="1:42" x14ac:dyDescent="0.25">
      <c r="A292">
        <v>291</v>
      </c>
      <c r="B292" t="s">
        <v>2663</v>
      </c>
      <c r="C292" t="s">
        <v>2663</v>
      </c>
      <c r="D292" t="s">
        <v>3376</v>
      </c>
      <c r="E292" t="s">
        <v>300</v>
      </c>
      <c r="F292" t="s">
        <v>301</v>
      </c>
      <c r="G292" t="s">
        <v>151</v>
      </c>
      <c r="H292" t="s">
        <v>152</v>
      </c>
      <c r="I292" t="s">
        <v>4127</v>
      </c>
      <c r="J292" t="s">
        <v>3251</v>
      </c>
      <c r="K292" t="s">
        <v>3253</v>
      </c>
      <c r="O292" t="s">
        <v>3284</v>
      </c>
      <c r="P292" t="s">
        <v>3284</v>
      </c>
      <c r="Q292">
        <v>16</v>
      </c>
      <c r="R292" t="s">
        <v>2414</v>
      </c>
      <c r="S292" t="s">
        <v>2415</v>
      </c>
      <c r="T292">
        <v>3</v>
      </c>
      <c r="U292" t="s">
        <v>3137</v>
      </c>
      <c r="V292" t="s">
        <v>3136</v>
      </c>
      <c r="W292">
        <v>5</v>
      </c>
      <c r="X292" t="s">
        <v>2437</v>
      </c>
      <c r="Y292" t="s">
        <v>2438</v>
      </c>
      <c r="Z292">
        <v>1</v>
      </c>
      <c r="AA292" t="s">
        <v>73</v>
      </c>
      <c r="AB292" t="s">
        <v>73</v>
      </c>
      <c r="AF292">
        <v>463.85657991313565</v>
      </c>
      <c r="AG292">
        <v>6.8947368421053001</v>
      </c>
      <c r="AH292">
        <v>18</v>
      </c>
      <c r="AI292">
        <v>253</v>
      </c>
      <c r="AJ292">
        <v>185.91081978652289</v>
      </c>
      <c r="AK292">
        <v>693.07368421053002</v>
      </c>
      <c r="AM292">
        <v>148.27514770113203</v>
      </c>
      <c r="AN292">
        <v>448</v>
      </c>
      <c r="AO292" t="s">
        <v>5742</v>
      </c>
      <c r="AP292" t="s">
        <v>3376</v>
      </c>
    </row>
    <row r="293" spans="1:42" x14ac:dyDescent="0.25">
      <c r="A293">
        <v>292</v>
      </c>
      <c r="B293" t="s">
        <v>1710</v>
      </c>
      <c r="C293" t="s">
        <v>1710</v>
      </c>
      <c r="D293" t="s">
        <v>2955</v>
      </c>
      <c r="E293" t="s">
        <v>169</v>
      </c>
      <c r="F293" t="s">
        <v>170</v>
      </c>
      <c r="G293" t="s">
        <v>79</v>
      </c>
      <c r="H293" t="s">
        <v>80</v>
      </c>
      <c r="I293" t="s">
        <v>2956</v>
      </c>
      <c r="J293" t="s">
        <v>171</v>
      </c>
      <c r="K293" t="s">
        <v>172</v>
      </c>
      <c r="R293" t="s">
        <v>73</v>
      </c>
      <c r="S293" t="s">
        <v>73</v>
      </c>
      <c r="U293" t="s">
        <v>73</v>
      </c>
      <c r="V293" t="s">
        <v>73</v>
      </c>
      <c r="X293" t="s">
        <v>73</v>
      </c>
      <c r="Y293" t="s">
        <v>73</v>
      </c>
      <c r="AA293" t="s">
        <v>73</v>
      </c>
      <c r="AB293" t="s">
        <v>73</v>
      </c>
      <c r="AF293">
        <v>462.85472786898504</v>
      </c>
      <c r="AG293">
        <v>6.3333333333333002</v>
      </c>
      <c r="AH293">
        <v>8</v>
      </c>
      <c r="AI293">
        <v>183</v>
      </c>
      <c r="AJ293">
        <v>217.09784578035553</v>
      </c>
      <c r="AK293">
        <v>634.9333333333301</v>
      </c>
      <c r="AM293">
        <v>219.93698409249774</v>
      </c>
      <c r="AN293">
        <v>336</v>
      </c>
      <c r="AO293" t="s">
        <v>5743</v>
      </c>
      <c r="AP293" t="s">
        <v>2955</v>
      </c>
    </row>
    <row r="294" spans="1:42" x14ac:dyDescent="0.25">
      <c r="A294">
        <v>293</v>
      </c>
      <c r="B294" t="s">
        <v>2732</v>
      </c>
      <c r="C294" t="s">
        <v>2732</v>
      </c>
      <c r="D294" t="s">
        <v>4889</v>
      </c>
      <c r="E294" t="s">
        <v>218</v>
      </c>
      <c r="F294" t="s">
        <v>219</v>
      </c>
      <c r="G294" t="s">
        <v>69</v>
      </c>
      <c r="H294" t="s">
        <v>70</v>
      </c>
      <c r="I294" t="s">
        <v>384</v>
      </c>
      <c r="J294" t="s">
        <v>291</v>
      </c>
      <c r="K294" t="s">
        <v>292</v>
      </c>
      <c r="L294" t="s">
        <v>4902</v>
      </c>
      <c r="M294" t="s">
        <v>4903</v>
      </c>
      <c r="R294" t="s">
        <v>73</v>
      </c>
      <c r="S294" t="s">
        <v>73</v>
      </c>
      <c r="U294" t="s">
        <v>73</v>
      </c>
      <c r="V294" t="s">
        <v>73</v>
      </c>
      <c r="X294" t="s">
        <v>73</v>
      </c>
      <c r="Y294" t="s">
        <v>73</v>
      </c>
      <c r="AF294">
        <v>462.2491231571754</v>
      </c>
      <c r="AG294">
        <v>7.6521739130434998</v>
      </c>
      <c r="AH294">
        <v>22</v>
      </c>
      <c r="AI294">
        <v>403</v>
      </c>
      <c r="AJ294">
        <v>141.60047500555601</v>
      </c>
      <c r="AK294">
        <v>769.61739130435001</v>
      </c>
      <c r="AM294">
        <v>142.2406650077784</v>
      </c>
      <c r="AN294">
        <v>224</v>
      </c>
      <c r="AO294" t="s">
        <v>5744</v>
      </c>
      <c r="AP294" t="s">
        <v>4889</v>
      </c>
    </row>
    <row r="295" spans="1:42" x14ac:dyDescent="0.25">
      <c r="A295">
        <v>294</v>
      </c>
      <c r="B295" t="s">
        <v>728</v>
      </c>
      <c r="C295" t="s">
        <v>728</v>
      </c>
      <c r="D295" t="s">
        <v>729</v>
      </c>
      <c r="E295" t="s">
        <v>218</v>
      </c>
      <c r="F295" t="s">
        <v>219</v>
      </c>
      <c r="G295" t="s">
        <v>69</v>
      </c>
      <c r="H295" t="s">
        <v>70</v>
      </c>
      <c r="I295" t="s">
        <v>730</v>
      </c>
      <c r="J295" t="s">
        <v>251</v>
      </c>
      <c r="K295" t="s">
        <v>252</v>
      </c>
      <c r="L295" t="s">
        <v>4900</v>
      </c>
      <c r="M295" t="s">
        <v>4901</v>
      </c>
      <c r="R295" t="s">
        <v>73</v>
      </c>
      <c r="S295" t="s">
        <v>73</v>
      </c>
      <c r="U295" t="s">
        <v>73</v>
      </c>
      <c r="V295" t="s">
        <v>73</v>
      </c>
      <c r="X295" t="s">
        <v>73</v>
      </c>
      <c r="Y295" t="s">
        <v>73</v>
      </c>
      <c r="AA295" t="s">
        <v>73</v>
      </c>
      <c r="AB295" t="s">
        <v>73</v>
      </c>
      <c r="AF295">
        <v>462.03974222798968</v>
      </c>
      <c r="AG295">
        <v>7.5833333333333002</v>
      </c>
      <c r="AH295">
        <v>11</v>
      </c>
      <c r="AI295">
        <v>378</v>
      </c>
      <c r="AJ295">
        <v>146.41452840147178</v>
      </c>
      <c r="AK295">
        <v>760.53333333333012</v>
      </c>
      <c r="AM295">
        <v>148.98033976206048</v>
      </c>
      <c r="AN295">
        <v>224</v>
      </c>
      <c r="AO295" t="s">
        <v>5745</v>
      </c>
      <c r="AP295" t="s">
        <v>729</v>
      </c>
    </row>
    <row r="296" spans="1:42" x14ac:dyDescent="0.25">
      <c r="A296">
        <v>295</v>
      </c>
      <c r="B296" t="s">
        <v>2332</v>
      </c>
      <c r="C296" t="s">
        <v>2332</v>
      </c>
      <c r="D296" t="s">
        <v>4251</v>
      </c>
      <c r="E296" t="s">
        <v>351</v>
      </c>
      <c r="F296" t="s">
        <v>352</v>
      </c>
      <c r="G296" t="s">
        <v>257</v>
      </c>
      <c r="H296" t="s">
        <v>258</v>
      </c>
      <c r="I296" t="s">
        <v>2333</v>
      </c>
      <c r="J296" t="s">
        <v>602</v>
      </c>
      <c r="K296" t="s">
        <v>603</v>
      </c>
      <c r="L296">
        <v>51.213272802699997</v>
      </c>
      <c r="M296">
        <v>4.7780066804499999</v>
      </c>
      <c r="O296" t="s">
        <v>2334</v>
      </c>
      <c r="P296" t="s">
        <v>2335</v>
      </c>
      <c r="Q296">
        <v>13</v>
      </c>
      <c r="R296" t="s">
        <v>2414</v>
      </c>
      <c r="S296" t="s">
        <v>2415</v>
      </c>
      <c r="T296">
        <v>3</v>
      </c>
      <c r="U296" t="s">
        <v>3137</v>
      </c>
      <c r="V296" t="s">
        <v>3136</v>
      </c>
      <c r="W296">
        <v>5</v>
      </c>
      <c r="X296" t="s">
        <v>2437</v>
      </c>
      <c r="Y296" t="s">
        <v>2438</v>
      </c>
      <c r="Z296">
        <v>1</v>
      </c>
      <c r="AA296" t="s">
        <v>2336</v>
      </c>
      <c r="AB296" t="s">
        <v>2336</v>
      </c>
      <c r="AC296" t="s">
        <v>2337</v>
      </c>
      <c r="AD296" t="s">
        <v>2337</v>
      </c>
      <c r="AF296">
        <v>461.91691569131132</v>
      </c>
      <c r="AG296">
        <v>8.6411149825784008</v>
      </c>
      <c r="AH296">
        <v>286</v>
      </c>
      <c r="AI296">
        <v>805</v>
      </c>
      <c r="AJ296">
        <v>56.956851735990234</v>
      </c>
      <c r="AK296">
        <v>921.31149825784019</v>
      </c>
      <c r="AL296">
        <v>2004</v>
      </c>
      <c r="AM296">
        <v>79.739592430386324</v>
      </c>
      <c r="AN296">
        <v>0</v>
      </c>
      <c r="AO296" t="s">
        <v>5746</v>
      </c>
      <c r="AP296" t="s">
        <v>4251</v>
      </c>
    </row>
    <row r="297" spans="1:42" x14ac:dyDescent="0.25">
      <c r="A297">
        <v>296</v>
      </c>
      <c r="B297" t="s">
        <v>2071</v>
      </c>
      <c r="C297" t="s">
        <v>2071</v>
      </c>
      <c r="D297" t="s">
        <v>2072</v>
      </c>
      <c r="E297" t="s">
        <v>67</v>
      </c>
      <c r="F297" t="s">
        <v>68</v>
      </c>
      <c r="G297" t="s">
        <v>3845</v>
      </c>
      <c r="H297" t="s">
        <v>3846</v>
      </c>
      <c r="I297" t="s">
        <v>2073</v>
      </c>
      <c r="J297" t="s">
        <v>1293</v>
      </c>
      <c r="K297" t="s">
        <v>1294</v>
      </c>
      <c r="L297" t="s">
        <v>5409</v>
      </c>
      <c r="M297" t="s">
        <v>5410</v>
      </c>
      <c r="Q297">
        <v>14</v>
      </c>
      <c r="R297" t="s">
        <v>2406</v>
      </c>
      <c r="S297" t="s">
        <v>2407</v>
      </c>
      <c r="T297">
        <v>1</v>
      </c>
      <c r="U297" t="s">
        <v>3137</v>
      </c>
      <c r="V297" t="s">
        <v>3136</v>
      </c>
      <c r="W297">
        <v>5</v>
      </c>
      <c r="X297" t="s">
        <v>2437</v>
      </c>
      <c r="Y297" t="s">
        <v>2438</v>
      </c>
      <c r="Z297">
        <v>1</v>
      </c>
      <c r="AA297" t="s">
        <v>73</v>
      </c>
      <c r="AB297" t="s">
        <v>73</v>
      </c>
      <c r="AF297">
        <v>461.82164340577401</v>
      </c>
      <c r="AG297">
        <v>5.3846153846154001</v>
      </c>
      <c r="AH297">
        <v>12</v>
      </c>
      <c r="AI297">
        <v>122</v>
      </c>
      <c r="AJ297">
        <v>268.21208241667108</v>
      </c>
      <c r="AK297">
        <v>540.86153846154002</v>
      </c>
      <c r="AM297">
        <v>347.49691538333946</v>
      </c>
      <c r="AN297">
        <v>112</v>
      </c>
      <c r="AO297" t="s">
        <v>5747</v>
      </c>
      <c r="AP297" t="s">
        <v>2072</v>
      </c>
    </row>
    <row r="298" spans="1:42" x14ac:dyDescent="0.25">
      <c r="A298">
        <v>297</v>
      </c>
      <c r="B298" t="s">
        <v>248</v>
      </c>
      <c r="C298" t="s">
        <v>248</v>
      </c>
      <c r="D298" t="s">
        <v>249</v>
      </c>
      <c r="E298" t="s">
        <v>218</v>
      </c>
      <c r="F298" t="s">
        <v>219</v>
      </c>
      <c r="G298" t="s">
        <v>69</v>
      </c>
      <c r="H298" t="s">
        <v>70</v>
      </c>
      <c r="I298" t="s">
        <v>250</v>
      </c>
      <c r="J298" t="s">
        <v>251</v>
      </c>
      <c r="K298" t="s">
        <v>252</v>
      </c>
      <c r="L298" t="s">
        <v>4893</v>
      </c>
      <c r="M298" t="s">
        <v>4894</v>
      </c>
      <c r="R298" t="s">
        <v>73</v>
      </c>
      <c r="S298" t="s">
        <v>73</v>
      </c>
      <c r="U298" t="s">
        <v>73</v>
      </c>
      <c r="V298" t="s">
        <v>73</v>
      </c>
      <c r="X298" t="s">
        <v>2440</v>
      </c>
      <c r="Y298" t="s">
        <v>2441</v>
      </c>
      <c r="Z298">
        <v>2</v>
      </c>
      <c r="AF298">
        <v>461.71755637262538</v>
      </c>
      <c r="AG298">
        <v>7.8780487804878003</v>
      </c>
      <c r="AH298">
        <v>40</v>
      </c>
      <c r="AI298">
        <v>475</v>
      </c>
      <c r="AJ298">
        <v>126.46124149803936</v>
      </c>
      <c r="AK298">
        <v>795.80487804877998</v>
      </c>
      <c r="AM298">
        <v>121.04573809725508</v>
      </c>
      <c r="AN298">
        <v>224</v>
      </c>
      <c r="AO298" t="s">
        <v>5748</v>
      </c>
      <c r="AP298" t="s">
        <v>249</v>
      </c>
    </row>
    <row r="299" spans="1:42" x14ac:dyDescent="0.25">
      <c r="A299">
        <v>298</v>
      </c>
      <c r="B299" t="s">
        <v>3443</v>
      </c>
      <c r="C299" t="s">
        <v>4169</v>
      </c>
      <c r="D299" t="s">
        <v>3450</v>
      </c>
      <c r="E299" t="s">
        <v>471</v>
      </c>
      <c r="F299" t="s">
        <v>472</v>
      </c>
      <c r="G299" t="s">
        <v>93</v>
      </c>
      <c r="H299" t="s">
        <v>94</v>
      </c>
      <c r="I299" t="s">
        <v>3446</v>
      </c>
      <c r="J299" t="s">
        <v>3445</v>
      </c>
      <c r="K299" t="s">
        <v>3444</v>
      </c>
      <c r="O299" t="s">
        <v>3447</v>
      </c>
      <c r="P299" t="s">
        <v>3448</v>
      </c>
      <c r="Q299">
        <v>14</v>
      </c>
      <c r="R299" t="s">
        <v>2409</v>
      </c>
      <c r="S299" t="s">
        <v>2410</v>
      </c>
      <c r="T299">
        <v>2</v>
      </c>
      <c r="U299" t="s">
        <v>3137</v>
      </c>
      <c r="V299" t="s">
        <v>3136</v>
      </c>
      <c r="W299">
        <v>5</v>
      </c>
      <c r="X299" t="s">
        <v>2443</v>
      </c>
      <c r="Y299" t="s">
        <v>2444</v>
      </c>
      <c r="Z299">
        <v>3</v>
      </c>
      <c r="AA299" t="s">
        <v>73</v>
      </c>
      <c r="AB299" t="s">
        <v>73</v>
      </c>
      <c r="AE299" t="s">
        <v>3449</v>
      </c>
      <c r="AF299">
        <v>461.47812722029937</v>
      </c>
      <c r="AG299">
        <v>7</v>
      </c>
      <c r="AH299">
        <v>10</v>
      </c>
      <c r="AI299">
        <v>275</v>
      </c>
      <c r="AJ299">
        <v>178.30903024477709</v>
      </c>
      <c r="AK299">
        <v>702</v>
      </c>
      <c r="AM299">
        <v>221.63264234268792</v>
      </c>
      <c r="AN299">
        <v>112</v>
      </c>
      <c r="AO299" t="s">
        <v>5749</v>
      </c>
      <c r="AP299" t="s">
        <v>3450</v>
      </c>
    </row>
    <row r="300" spans="1:42" x14ac:dyDescent="0.25">
      <c r="A300">
        <v>299</v>
      </c>
      <c r="B300" t="s">
        <v>1715</v>
      </c>
      <c r="C300" t="s">
        <v>4147</v>
      </c>
      <c r="D300" t="s">
        <v>3648</v>
      </c>
      <c r="E300" t="s">
        <v>666</v>
      </c>
      <c r="F300" t="s">
        <v>667</v>
      </c>
      <c r="G300" t="s">
        <v>60</v>
      </c>
      <c r="H300" t="s">
        <v>61</v>
      </c>
      <c r="I300" t="s">
        <v>4128</v>
      </c>
      <c r="J300" t="s">
        <v>3625</v>
      </c>
      <c r="K300" t="s">
        <v>3626</v>
      </c>
      <c r="L300" t="s">
        <v>4482</v>
      </c>
      <c r="M300" t="s">
        <v>4483</v>
      </c>
      <c r="R300" t="s">
        <v>73</v>
      </c>
      <c r="S300" t="s">
        <v>73</v>
      </c>
      <c r="U300" t="s">
        <v>73</v>
      </c>
      <c r="V300" t="s">
        <v>73</v>
      </c>
      <c r="X300" t="s">
        <v>73</v>
      </c>
      <c r="Y300" t="s">
        <v>73</v>
      </c>
      <c r="AF300">
        <v>460.66499978089593</v>
      </c>
      <c r="AG300">
        <v>6</v>
      </c>
      <c r="AH300">
        <v>12</v>
      </c>
      <c r="AI300">
        <v>162</v>
      </c>
      <c r="AJ300">
        <v>232.73888864543991</v>
      </c>
      <c r="AK300">
        <v>602.4</v>
      </c>
      <c r="AM300">
        <v>241.83444410361588</v>
      </c>
      <c r="AN300">
        <v>336</v>
      </c>
      <c r="AO300" t="s">
        <v>5750</v>
      </c>
      <c r="AP300" t="s">
        <v>3648</v>
      </c>
    </row>
    <row r="301" spans="1:42" x14ac:dyDescent="0.25">
      <c r="A301">
        <v>300</v>
      </c>
      <c r="B301" t="s">
        <v>1346</v>
      </c>
      <c r="C301" t="s">
        <v>4060</v>
      </c>
      <c r="D301" t="s">
        <v>3810</v>
      </c>
      <c r="E301" t="s">
        <v>183</v>
      </c>
      <c r="F301" t="s">
        <v>184</v>
      </c>
      <c r="G301" t="s">
        <v>158</v>
      </c>
      <c r="H301" t="s">
        <v>159</v>
      </c>
      <c r="I301" t="s">
        <v>4061</v>
      </c>
      <c r="J301" t="s">
        <v>663</v>
      </c>
      <c r="K301" t="s">
        <v>664</v>
      </c>
      <c r="R301" t="s">
        <v>73</v>
      </c>
      <c r="S301" t="s">
        <v>73</v>
      </c>
      <c r="U301" t="s">
        <v>73</v>
      </c>
      <c r="V301" t="s">
        <v>73</v>
      </c>
      <c r="X301" t="s">
        <v>2437</v>
      </c>
      <c r="Y301" t="s">
        <v>2438</v>
      </c>
      <c r="Z301">
        <v>1</v>
      </c>
      <c r="AF301">
        <v>459.63168670027051</v>
      </c>
      <c r="AG301">
        <v>6.7777777777777999</v>
      </c>
      <c r="AH301">
        <v>8</v>
      </c>
      <c r="AI301">
        <v>243</v>
      </c>
      <c r="AJ301">
        <v>188.8253309015339</v>
      </c>
      <c r="AK301">
        <v>679.37777777778001</v>
      </c>
      <c r="AM301">
        <v>264.35546326214745</v>
      </c>
      <c r="AN301">
        <v>0</v>
      </c>
      <c r="AO301" t="s">
        <v>5751</v>
      </c>
      <c r="AP301" t="s">
        <v>3810</v>
      </c>
    </row>
    <row r="302" spans="1:42" x14ac:dyDescent="0.25">
      <c r="A302">
        <v>301</v>
      </c>
      <c r="B302" t="s">
        <v>2187</v>
      </c>
      <c r="C302" t="s">
        <v>2187</v>
      </c>
      <c r="D302" t="s">
        <v>2188</v>
      </c>
      <c r="E302" t="s">
        <v>595</v>
      </c>
      <c r="F302" t="s">
        <v>596</v>
      </c>
      <c r="G302" t="s">
        <v>3167</v>
      </c>
      <c r="H302" t="s">
        <v>3166</v>
      </c>
      <c r="I302" t="s">
        <v>4126</v>
      </c>
      <c r="J302" t="s">
        <v>707</v>
      </c>
      <c r="K302" t="s">
        <v>708</v>
      </c>
      <c r="O302" t="s">
        <v>2654</v>
      </c>
      <c r="P302" t="s">
        <v>2654</v>
      </c>
      <c r="Q302">
        <v>14</v>
      </c>
      <c r="R302" t="s">
        <v>2414</v>
      </c>
      <c r="S302" t="s">
        <v>2415</v>
      </c>
      <c r="T302">
        <v>3</v>
      </c>
      <c r="U302" t="s">
        <v>2430</v>
      </c>
      <c r="V302" t="s">
        <v>2431</v>
      </c>
      <c r="W302">
        <v>6</v>
      </c>
      <c r="X302" t="s">
        <v>2443</v>
      </c>
      <c r="Y302" t="s">
        <v>2444</v>
      </c>
      <c r="Z302">
        <v>3</v>
      </c>
      <c r="AA302" t="s">
        <v>73</v>
      </c>
      <c r="AB302" t="s">
        <v>73</v>
      </c>
      <c r="AF302">
        <v>459.3969832807183</v>
      </c>
      <c r="AG302">
        <v>6.8181818181817997</v>
      </c>
      <c r="AH302">
        <v>32</v>
      </c>
      <c r="AI302">
        <v>260</v>
      </c>
      <c r="AJ302">
        <v>183.6532137462537</v>
      </c>
      <c r="AK302">
        <v>688.21818181817991</v>
      </c>
      <c r="AM302">
        <v>201.11449924475517</v>
      </c>
      <c r="AN302">
        <v>224</v>
      </c>
      <c r="AO302" t="s">
        <v>5752</v>
      </c>
      <c r="AP302" t="s">
        <v>2188</v>
      </c>
    </row>
    <row r="303" spans="1:42" x14ac:dyDescent="0.25">
      <c r="A303">
        <v>302</v>
      </c>
      <c r="B303" t="s">
        <v>660</v>
      </c>
      <c r="C303" t="s">
        <v>4074</v>
      </c>
      <c r="D303" t="s">
        <v>661</v>
      </c>
      <c r="E303" t="s">
        <v>183</v>
      </c>
      <c r="F303" t="s">
        <v>184</v>
      </c>
      <c r="G303" t="s">
        <v>158</v>
      </c>
      <c r="H303" t="s">
        <v>159</v>
      </c>
      <c r="I303" t="s">
        <v>662</v>
      </c>
      <c r="J303" t="s">
        <v>663</v>
      </c>
      <c r="K303" t="s">
        <v>664</v>
      </c>
      <c r="L303" t="s">
        <v>5026</v>
      </c>
      <c r="M303" t="s">
        <v>5027</v>
      </c>
      <c r="R303" t="s">
        <v>73</v>
      </c>
      <c r="S303" t="s">
        <v>73</v>
      </c>
      <c r="U303" t="s">
        <v>73</v>
      </c>
      <c r="V303" t="s">
        <v>73</v>
      </c>
      <c r="X303" t="s">
        <v>2437</v>
      </c>
      <c r="Y303" t="s">
        <v>2438</v>
      </c>
      <c r="Z303">
        <v>1</v>
      </c>
      <c r="AA303" t="s">
        <v>73</v>
      </c>
      <c r="AB303" t="s">
        <v>73</v>
      </c>
      <c r="AF303">
        <v>459.34523014400622</v>
      </c>
      <c r="AG303">
        <v>5.9333333333332998</v>
      </c>
      <c r="AH303">
        <v>14</v>
      </c>
      <c r="AI303">
        <v>160</v>
      </c>
      <c r="AJ303">
        <v>234.75395941926809</v>
      </c>
      <c r="AK303">
        <v>596.13333333332992</v>
      </c>
      <c r="AM303">
        <v>328.65554318697531</v>
      </c>
      <c r="AN303">
        <v>0</v>
      </c>
      <c r="AO303" t="s">
        <v>5753</v>
      </c>
      <c r="AP303" t="s">
        <v>661</v>
      </c>
    </row>
    <row r="304" spans="1:42" x14ac:dyDescent="0.25">
      <c r="A304">
        <v>303</v>
      </c>
      <c r="B304" t="s">
        <v>1592</v>
      </c>
      <c r="C304" t="s">
        <v>1592</v>
      </c>
      <c r="D304" t="s">
        <v>1593</v>
      </c>
      <c r="E304" t="s">
        <v>67</v>
      </c>
      <c r="F304" t="s">
        <v>68</v>
      </c>
      <c r="G304" t="s">
        <v>69</v>
      </c>
      <c r="H304" t="s">
        <v>70</v>
      </c>
      <c r="I304" t="s">
        <v>1594</v>
      </c>
      <c r="J304" t="s">
        <v>1291</v>
      </c>
      <c r="K304" t="s">
        <v>1292</v>
      </c>
      <c r="L304" t="s">
        <v>5425</v>
      </c>
      <c r="M304" t="s">
        <v>5426</v>
      </c>
      <c r="O304" t="s">
        <v>73</v>
      </c>
      <c r="P304" t="s">
        <v>73</v>
      </c>
      <c r="Q304">
        <v>12</v>
      </c>
      <c r="R304" t="s">
        <v>2406</v>
      </c>
      <c r="S304" t="s">
        <v>2407</v>
      </c>
      <c r="T304">
        <v>1</v>
      </c>
      <c r="U304" t="s">
        <v>2432</v>
      </c>
      <c r="V304" t="s">
        <v>2433</v>
      </c>
      <c r="W304">
        <v>7</v>
      </c>
      <c r="X304" t="s">
        <v>2443</v>
      </c>
      <c r="Y304" t="s">
        <v>2444</v>
      </c>
      <c r="Z304">
        <v>3</v>
      </c>
      <c r="AF304">
        <v>459.25122033225642</v>
      </c>
      <c r="AG304">
        <v>6.8076923076923004</v>
      </c>
      <c r="AH304">
        <v>25</v>
      </c>
      <c r="AI304">
        <v>255</v>
      </c>
      <c r="AJ304">
        <v>184.85178327515712</v>
      </c>
      <c r="AK304">
        <v>685.76923076923003</v>
      </c>
      <c r="AM304">
        <v>230.79249658521999</v>
      </c>
      <c r="AN304">
        <v>112</v>
      </c>
      <c r="AO304" t="s">
        <v>5754</v>
      </c>
      <c r="AP304" t="s">
        <v>1593</v>
      </c>
    </row>
    <row r="305" spans="1:42" x14ac:dyDescent="0.25">
      <c r="A305">
        <v>304</v>
      </c>
      <c r="B305" t="s">
        <v>695</v>
      </c>
      <c r="C305" t="s">
        <v>4142</v>
      </c>
      <c r="D305" t="s">
        <v>3871</v>
      </c>
      <c r="E305" t="s">
        <v>137</v>
      </c>
      <c r="F305" t="s">
        <v>138</v>
      </c>
      <c r="G305" t="s">
        <v>139</v>
      </c>
      <c r="H305" t="s">
        <v>140</v>
      </c>
      <c r="I305" t="s">
        <v>696</v>
      </c>
      <c r="J305" t="s">
        <v>426</v>
      </c>
      <c r="K305" t="s">
        <v>427</v>
      </c>
      <c r="L305" t="s">
        <v>4698</v>
      </c>
      <c r="M305" t="s">
        <v>4699</v>
      </c>
      <c r="R305" t="s">
        <v>73</v>
      </c>
      <c r="S305" t="s">
        <v>73</v>
      </c>
      <c r="U305" t="s">
        <v>73</v>
      </c>
      <c r="V305" t="s">
        <v>73</v>
      </c>
      <c r="X305" t="s">
        <v>2440</v>
      </c>
      <c r="Y305" t="s">
        <v>2441</v>
      </c>
      <c r="Z305">
        <v>2</v>
      </c>
      <c r="AA305" t="s">
        <v>73</v>
      </c>
      <c r="AB305" t="s">
        <v>73</v>
      </c>
      <c r="AF305">
        <v>459.09128338082826</v>
      </c>
      <c r="AG305">
        <v>7.8431372549020004</v>
      </c>
      <c r="AH305">
        <v>50</v>
      </c>
      <c r="AI305">
        <v>485</v>
      </c>
      <c r="AJ305">
        <v>124.37157848414247</v>
      </c>
      <c r="AK305">
        <v>794.3137254902</v>
      </c>
      <c r="AL305">
        <v>2004</v>
      </c>
      <c r="AM305">
        <v>174.12020987779945</v>
      </c>
      <c r="AN305">
        <v>0</v>
      </c>
      <c r="AO305" t="s">
        <v>5755</v>
      </c>
      <c r="AP305" t="s">
        <v>3871</v>
      </c>
    </row>
    <row r="306" spans="1:42" x14ac:dyDescent="0.25">
      <c r="A306">
        <v>305</v>
      </c>
      <c r="B306" t="s">
        <v>2661</v>
      </c>
      <c r="C306" t="s">
        <v>2661</v>
      </c>
      <c r="D306" t="s">
        <v>3109</v>
      </c>
      <c r="E306" t="s">
        <v>1478</v>
      </c>
      <c r="F306" t="s">
        <v>1479</v>
      </c>
      <c r="G306" t="s">
        <v>632</v>
      </c>
      <c r="H306" t="s">
        <v>633</v>
      </c>
      <c r="I306" t="s">
        <v>3108</v>
      </c>
      <c r="R306" t="s">
        <v>73</v>
      </c>
      <c r="S306" t="s">
        <v>73</v>
      </c>
      <c r="U306" t="s">
        <v>73</v>
      </c>
      <c r="V306" t="s">
        <v>73</v>
      </c>
      <c r="X306" t="s">
        <v>73</v>
      </c>
      <c r="Y306" t="s">
        <v>73</v>
      </c>
      <c r="AA306" t="s">
        <v>73</v>
      </c>
      <c r="AB306" t="s">
        <v>73</v>
      </c>
      <c r="AF306">
        <v>459.01930175211817</v>
      </c>
      <c r="AG306">
        <v>7.4285714285714004</v>
      </c>
      <c r="AH306">
        <v>6</v>
      </c>
      <c r="AI306">
        <v>349</v>
      </c>
      <c r="AJ306">
        <v>152.21192258172016</v>
      </c>
      <c r="AK306">
        <v>744.05714285714009</v>
      </c>
      <c r="AM306">
        <v>101.0966916144082</v>
      </c>
      <c r="AN306">
        <v>448</v>
      </c>
      <c r="AO306" t="s">
        <v>5756</v>
      </c>
      <c r="AP306" t="s">
        <v>3109</v>
      </c>
    </row>
    <row r="307" spans="1:42" x14ac:dyDescent="0.25">
      <c r="A307">
        <v>306</v>
      </c>
      <c r="B307" t="s">
        <v>1385</v>
      </c>
      <c r="C307" t="s">
        <v>1385</v>
      </c>
      <c r="D307" t="s">
        <v>5268</v>
      </c>
      <c r="E307" t="s">
        <v>5312</v>
      </c>
      <c r="F307" t="s">
        <v>157</v>
      </c>
      <c r="G307" t="s">
        <v>158</v>
      </c>
      <c r="H307" t="s">
        <v>159</v>
      </c>
      <c r="I307" t="s">
        <v>3897</v>
      </c>
      <c r="J307" t="s">
        <v>3085</v>
      </c>
      <c r="K307" t="s">
        <v>3086</v>
      </c>
      <c r="L307" t="s">
        <v>5269</v>
      </c>
      <c r="M307" t="s">
        <v>5270</v>
      </c>
      <c r="R307" t="s">
        <v>73</v>
      </c>
      <c r="S307" t="s">
        <v>73</v>
      </c>
      <c r="U307" t="s">
        <v>73</v>
      </c>
      <c r="V307" t="s">
        <v>73</v>
      </c>
      <c r="X307" t="s">
        <v>73</v>
      </c>
      <c r="Y307" t="s">
        <v>73</v>
      </c>
      <c r="AF307">
        <v>458.96617161062022</v>
      </c>
      <c r="AG307">
        <v>6.5454545454544997</v>
      </c>
      <c r="AH307">
        <v>10</v>
      </c>
      <c r="AI307">
        <v>213</v>
      </c>
      <c r="AJ307">
        <v>200.77049370877251</v>
      </c>
      <c r="AK307">
        <v>656.54545454544996</v>
      </c>
      <c r="AM307">
        <v>281.0786911922815</v>
      </c>
      <c r="AN307">
        <v>0</v>
      </c>
      <c r="AO307" t="s">
        <v>5757</v>
      </c>
      <c r="AP307" t="s">
        <v>5268</v>
      </c>
    </row>
    <row r="308" spans="1:42" x14ac:dyDescent="0.25">
      <c r="A308">
        <v>307</v>
      </c>
      <c r="B308" t="s">
        <v>3348</v>
      </c>
      <c r="C308" t="s">
        <v>3348</v>
      </c>
      <c r="D308" t="s">
        <v>3349</v>
      </c>
      <c r="E308" t="s">
        <v>954</v>
      </c>
      <c r="F308" t="s">
        <v>955</v>
      </c>
      <c r="G308" t="s">
        <v>632</v>
      </c>
      <c r="H308" t="s">
        <v>633</v>
      </c>
      <c r="I308" t="s">
        <v>3349</v>
      </c>
      <c r="R308" t="s">
        <v>73</v>
      </c>
      <c r="S308" t="s">
        <v>73</v>
      </c>
      <c r="U308" t="s">
        <v>73</v>
      </c>
      <c r="V308" t="s">
        <v>73</v>
      </c>
      <c r="X308" t="s">
        <v>73</v>
      </c>
      <c r="Y308" t="s">
        <v>73</v>
      </c>
      <c r="AA308" t="s">
        <v>73</v>
      </c>
      <c r="AB308" t="s">
        <v>73</v>
      </c>
      <c r="AF308">
        <v>458.91513535822037</v>
      </c>
      <c r="AG308">
        <v>7.64</v>
      </c>
      <c r="AH308">
        <v>24</v>
      </c>
      <c r="AI308">
        <v>421</v>
      </c>
      <c r="AJ308">
        <v>138.35015039802269</v>
      </c>
      <c r="AK308">
        <v>768.8</v>
      </c>
      <c r="AM308">
        <v>81.690210557231737</v>
      </c>
      <c r="AN308">
        <v>448</v>
      </c>
      <c r="AO308" t="s">
        <v>5758</v>
      </c>
      <c r="AP308" t="s">
        <v>3349</v>
      </c>
    </row>
    <row r="309" spans="1:42" x14ac:dyDescent="0.25">
      <c r="A309">
        <v>308</v>
      </c>
      <c r="B309" t="s">
        <v>1610</v>
      </c>
      <c r="C309" t="s">
        <v>1610</v>
      </c>
      <c r="D309" t="s">
        <v>1611</v>
      </c>
      <c r="E309" t="s">
        <v>137</v>
      </c>
      <c r="F309" t="s">
        <v>138</v>
      </c>
      <c r="G309" t="s">
        <v>139</v>
      </c>
      <c r="H309" t="s">
        <v>140</v>
      </c>
      <c r="I309" t="s">
        <v>1612</v>
      </c>
      <c r="J309" t="s">
        <v>651</v>
      </c>
      <c r="K309" t="s">
        <v>652</v>
      </c>
      <c r="L309" t="s">
        <v>4734</v>
      </c>
      <c r="M309" t="s">
        <v>4735</v>
      </c>
      <c r="Q309">
        <v>12</v>
      </c>
      <c r="R309" t="s">
        <v>2406</v>
      </c>
      <c r="S309" t="s">
        <v>2407</v>
      </c>
      <c r="T309">
        <v>1</v>
      </c>
      <c r="U309" t="s">
        <v>3137</v>
      </c>
      <c r="V309" t="s">
        <v>3136</v>
      </c>
      <c r="W309">
        <v>5</v>
      </c>
      <c r="X309" t="s">
        <v>2437</v>
      </c>
      <c r="Y309" t="s">
        <v>2438</v>
      </c>
      <c r="Z309">
        <v>1</v>
      </c>
      <c r="AA309" t="s">
        <v>73</v>
      </c>
      <c r="AB309" t="s">
        <v>73</v>
      </c>
      <c r="AF309">
        <v>457.83349786129003</v>
      </c>
      <c r="AG309">
        <v>7.5714285714285996</v>
      </c>
      <c r="AH309">
        <v>27</v>
      </c>
      <c r="AI309">
        <v>409</v>
      </c>
      <c r="AJ309">
        <v>140.62452143317785</v>
      </c>
      <c r="AK309">
        <v>762.54285714285993</v>
      </c>
      <c r="AM309">
        <v>196.87433000644899</v>
      </c>
      <c r="AN309">
        <v>0</v>
      </c>
      <c r="AO309" t="s">
        <v>5759</v>
      </c>
      <c r="AP309" t="s">
        <v>1611</v>
      </c>
    </row>
    <row r="310" spans="1:42" x14ac:dyDescent="0.25">
      <c r="A310">
        <v>309</v>
      </c>
      <c r="B310" t="s">
        <v>1507</v>
      </c>
      <c r="C310" t="s">
        <v>1507</v>
      </c>
      <c r="D310" t="s">
        <v>2520</v>
      </c>
      <c r="E310" t="s">
        <v>300</v>
      </c>
      <c r="F310" t="s">
        <v>301</v>
      </c>
      <c r="G310" t="s">
        <v>151</v>
      </c>
      <c r="H310" t="s">
        <v>152</v>
      </c>
      <c r="I310" t="s">
        <v>3258</v>
      </c>
      <c r="J310" t="s">
        <v>3251</v>
      </c>
      <c r="K310" t="s">
        <v>3253</v>
      </c>
      <c r="O310" t="s">
        <v>3286</v>
      </c>
      <c r="P310" t="s">
        <v>3286</v>
      </c>
      <c r="Q310">
        <v>13</v>
      </c>
      <c r="R310" t="s">
        <v>2417</v>
      </c>
      <c r="S310" t="s">
        <v>2418</v>
      </c>
      <c r="T310">
        <v>4</v>
      </c>
      <c r="U310" t="s">
        <v>3137</v>
      </c>
      <c r="V310" t="s">
        <v>3136</v>
      </c>
      <c r="W310">
        <v>5</v>
      </c>
      <c r="X310" t="s">
        <v>2437</v>
      </c>
      <c r="Y310" t="s">
        <v>2438</v>
      </c>
      <c r="Z310">
        <v>1</v>
      </c>
      <c r="AA310" t="s">
        <v>73</v>
      </c>
      <c r="AB310" t="s">
        <v>73</v>
      </c>
      <c r="AE310" t="s">
        <v>3285</v>
      </c>
      <c r="AF310">
        <v>457.33890286375311</v>
      </c>
      <c r="AG310">
        <v>7.3538461538461997</v>
      </c>
      <c r="AH310">
        <v>64</v>
      </c>
      <c r="AI310">
        <v>367</v>
      </c>
      <c r="AJ310">
        <v>148.0517724127146</v>
      </c>
      <c r="AK310">
        <v>748.18461538461997</v>
      </c>
      <c r="AM310">
        <v>95.272481377800432</v>
      </c>
      <c r="AN310">
        <v>448</v>
      </c>
      <c r="AO310" t="s">
        <v>5760</v>
      </c>
      <c r="AP310" t="s">
        <v>2520</v>
      </c>
    </row>
    <row r="311" spans="1:42" x14ac:dyDescent="0.25">
      <c r="A311">
        <v>310</v>
      </c>
      <c r="B311" t="s">
        <v>454</v>
      </c>
      <c r="C311" t="s">
        <v>4153</v>
      </c>
      <c r="D311" t="s">
        <v>3044</v>
      </c>
      <c r="E311" t="s">
        <v>455</v>
      </c>
      <c r="F311" t="s">
        <v>456</v>
      </c>
      <c r="G311" t="s">
        <v>75</v>
      </c>
      <c r="H311" t="s">
        <v>76</v>
      </c>
      <c r="O311" t="s">
        <v>457</v>
      </c>
      <c r="P311" t="s">
        <v>457</v>
      </c>
      <c r="Q311">
        <v>12</v>
      </c>
      <c r="R311" t="s">
        <v>73</v>
      </c>
      <c r="S311" t="s">
        <v>73</v>
      </c>
      <c r="U311" t="s">
        <v>73</v>
      </c>
      <c r="V311" t="s">
        <v>73</v>
      </c>
      <c r="X311" t="s">
        <v>2446</v>
      </c>
      <c r="Y311" t="s">
        <v>2447</v>
      </c>
      <c r="Z311">
        <v>4</v>
      </c>
      <c r="AF311">
        <v>457.20068352931992</v>
      </c>
      <c r="AG311">
        <v>6.7272727272727</v>
      </c>
      <c r="AH311">
        <v>10</v>
      </c>
      <c r="AI311">
        <v>244</v>
      </c>
      <c r="AJ311">
        <v>188.70783018409429</v>
      </c>
      <c r="AK311">
        <v>674.72727272727002</v>
      </c>
      <c r="AM311">
        <v>208.190962257732</v>
      </c>
      <c r="AN311">
        <v>224</v>
      </c>
      <c r="AO311" t="s">
        <v>5761</v>
      </c>
      <c r="AP311" t="s">
        <v>3044</v>
      </c>
    </row>
    <row r="312" spans="1:42" x14ac:dyDescent="0.25">
      <c r="A312">
        <v>311</v>
      </c>
      <c r="B312" t="s">
        <v>924</v>
      </c>
      <c r="C312" t="s">
        <v>924</v>
      </c>
      <c r="D312" t="s">
        <v>925</v>
      </c>
      <c r="E312" t="s">
        <v>161</v>
      </c>
      <c r="F312" t="s">
        <v>161</v>
      </c>
      <c r="G312" t="s">
        <v>3167</v>
      </c>
      <c r="H312" t="s">
        <v>3166</v>
      </c>
      <c r="I312" t="s">
        <v>926</v>
      </c>
      <c r="J312" t="s">
        <v>463</v>
      </c>
      <c r="K312" t="s">
        <v>464</v>
      </c>
      <c r="L312">
        <v>52.915999999999997</v>
      </c>
      <c r="M312">
        <v>-4.2324999999999999</v>
      </c>
      <c r="N312" t="s">
        <v>4219</v>
      </c>
      <c r="O312" t="s">
        <v>927</v>
      </c>
      <c r="P312" t="s">
        <v>927</v>
      </c>
      <c r="Q312">
        <v>13</v>
      </c>
      <c r="R312" t="s">
        <v>2409</v>
      </c>
      <c r="S312" t="s">
        <v>2410</v>
      </c>
      <c r="T312">
        <v>2</v>
      </c>
      <c r="U312" t="s">
        <v>2432</v>
      </c>
      <c r="V312" t="s">
        <v>2433</v>
      </c>
      <c r="W312">
        <v>7</v>
      </c>
      <c r="X312" t="s">
        <v>2446</v>
      </c>
      <c r="Y312" t="s">
        <v>2447</v>
      </c>
      <c r="Z312">
        <v>4</v>
      </c>
      <c r="AA312" t="s">
        <v>73</v>
      </c>
      <c r="AB312" t="s">
        <v>73</v>
      </c>
      <c r="AF312">
        <v>456.80715364195351</v>
      </c>
      <c r="AG312">
        <v>7.2105263157895001</v>
      </c>
      <c r="AH312">
        <v>18</v>
      </c>
      <c r="AI312">
        <v>325</v>
      </c>
      <c r="AJ312">
        <v>160.5342642805316</v>
      </c>
      <c r="AK312">
        <v>724.65263157895004</v>
      </c>
      <c r="AM312">
        <v>224.74796999274423</v>
      </c>
      <c r="AN312">
        <v>0</v>
      </c>
      <c r="AO312" t="s">
        <v>5762</v>
      </c>
      <c r="AP312" t="s">
        <v>925</v>
      </c>
    </row>
    <row r="313" spans="1:42" x14ac:dyDescent="0.25">
      <c r="A313">
        <v>312</v>
      </c>
      <c r="B313" t="s">
        <v>2867</v>
      </c>
      <c r="C313" t="s">
        <v>2867</v>
      </c>
      <c r="D313" t="s">
        <v>3874</v>
      </c>
      <c r="E313" t="s">
        <v>5312</v>
      </c>
      <c r="F313" t="s">
        <v>157</v>
      </c>
      <c r="G313" t="s">
        <v>158</v>
      </c>
      <c r="H313" t="s">
        <v>159</v>
      </c>
      <c r="I313" t="s">
        <v>5318</v>
      </c>
      <c r="J313" t="s">
        <v>3093</v>
      </c>
      <c r="K313" t="s">
        <v>3092</v>
      </c>
      <c r="L313" t="s">
        <v>5092</v>
      </c>
      <c r="M313" t="s">
        <v>5093</v>
      </c>
      <c r="R313" t="s">
        <v>2414</v>
      </c>
      <c r="S313" t="s">
        <v>2415</v>
      </c>
      <c r="T313">
        <v>3</v>
      </c>
      <c r="U313" t="s">
        <v>73</v>
      </c>
      <c r="V313" t="s">
        <v>73</v>
      </c>
      <c r="X313" t="s">
        <v>73</v>
      </c>
      <c r="Y313" t="s">
        <v>73</v>
      </c>
      <c r="AA313" t="s">
        <v>73</v>
      </c>
      <c r="AB313" t="s">
        <v>73</v>
      </c>
      <c r="AF313">
        <v>455.91841109424763</v>
      </c>
      <c r="AG313">
        <v>7</v>
      </c>
      <c r="AH313">
        <v>11</v>
      </c>
      <c r="AI313">
        <v>291</v>
      </c>
      <c r="AJ313">
        <v>172.02045677138619</v>
      </c>
      <c r="AK313">
        <v>702.2</v>
      </c>
      <c r="AM313">
        <v>240.82863947994065</v>
      </c>
      <c r="AN313">
        <v>0</v>
      </c>
      <c r="AO313" t="s">
        <v>5763</v>
      </c>
      <c r="AP313" t="s">
        <v>3874</v>
      </c>
    </row>
    <row r="314" spans="1:42" x14ac:dyDescent="0.25">
      <c r="A314">
        <v>313</v>
      </c>
      <c r="B314" t="s">
        <v>2840</v>
      </c>
      <c r="C314" t="s">
        <v>2840</v>
      </c>
      <c r="D314" t="s">
        <v>2841</v>
      </c>
      <c r="E314" t="s">
        <v>1478</v>
      </c>
      <c r="F314" t="s">
        <v>1479</v>
      </c>
      <c r="G314" t="s">
        <v>632</v>
      </c>
      <c r="H314" t="s">
        <v>633</v>
      </c>
      <c r="R314" t="s">
        <v>73</v>
      </c>
      <c r="S314" t="s">
        <v>73</v>
      </c>
      <c r="U314" t="s">
        <v>73</v>
      </c>
      <c r="V314" t="s">
        <v>73</v>
      </c>
      <c r="X314" t="s">
        <v>73</v>
      </c>
      <c r="Y314" t="s">
        <v>73</v>
      </c>
      <c r="AF314">
        <v>455.88077004069828</v>
      </c>
      <c r="AG314">
        <v>7.1666666666666998</v>
      </c>
      <c r="AH314">
        <v>5</v>
      </c>
      <c r="AI314">
        <v>313</v>
      </c>
      <c r="AJ314">
        <v>163.38604078595921</v>
      </c>
      <c r="AK314">
        <v>717.66666666666993</v>
      </c>
      <c r="AM314">
        <v>116.74045710034288</v>
      </c>
      <c r="AN314">
        <v>448</v>
      </c>
      <c r="AO314" t="s">
        <v>5764</v>
      </c>
      <c r="AP314" t="s">
        <v>2841</v>
      </c>
    </row>
    <row r="315" spans="1:42" x14ac:dyDescent="0.25">
      <c r="A315">
        <v>314</v>
      </c>
      <c r="B315" t="s">
        <v>1253</v>
      </c>
      <c r="C315" t="s">
        <v>1253</v>
      </c>
      <c r="D315" t="s">
        <v>1254</v>
      </c>
      <c r="E315" t="s">
        <v>84</v>
      </c>
      <c r="F315" t="s">
        <v>84</v>
      </c>
      <c r="G315" t="s">
        <v>85</v>
      </c>
      <c r="H315" t="s">
        <v>86</v>
      </c>
      <c r="Q315">
        <v>15</v>
      </c>
      <c r="R315" t="s">
        <v>2409</v>
      </c>
      <c r="S315" t="s">
        <v>2410</v>
      </c>
      <c r="T315">
        <v>2</v>
      </c>
      <c r="U315" t="s">
        <v>2430</v>
      </c>
      <c r="V315" t="s">
        <v>2431</v>
      </c>
      <c r="W315">
        <v>6</v>
      </c>
      <c r="X315" t="s">
        <v>2446</v>
      </c>
      <c r="Y315" t="s">
        <v>2447</v>
      </c>
      <c r="Z315">
        <v>4</v>
      </c>
      <c r="AA315" t="s">
        <v>73</v>
      </c>
      <c r="AB315" t="s">
        <v>73</v>
      </c>
      <c r="AF315">
        <v>455.79318699677049</v>
      </c>
      <c r="AG315">
        <v>8.2857142857143007</v>
      </c>
      <c r="AH315">
        <v>6</v>
      </c>
      <c r="AI315">
        <v>585</v>
      </c>
      <c r="AJ315">
        <v>101.00830301228383</v>
      </c>
      <c r="AK315">
        <v>829.77142857143008</v>
      </c>
      <c r="AM315">
        <v>85.411624217197357</v>
      </c>
      <c r="AN315">
        <v>224</v>
      </c>
      <c r="AO315" t="s">
        <v>5765</v>
      </c>
      <c r="AP315" t="s">
        <v>1254</v>
      </c>
    </row>
    <row r="316" spans="1:42" x14ac:dyDescent="0.25">
      <c r="A316">
        <v>315</v>
      </c>
      <c r="B316" t="s">
        <v>2736</v>
      </c>
      <c r="C316" t="s">
        <v>2736</v>
      </c>
      <c r="D316" t="s">
        <v>1189</v>
      </c>
      <c r="E316" t="s">
        <v>199</v>
      </c>
      <c r="F316" t="s">
        <v>200</v>
      </c>
      <c r="I316" t="s">
        <v>1190</v>
      </c>
      <c r="J316" t="s">
        <v>649</v>
      </c>
      <c r="K316" t="s">
        <v>650</v>
      </c>
      <c r="L316" t="s">
        <v>5169</v>
      </c>
      <c r="M316" t="s">
        <v>5170</v>
      </c>
      <c r="R316" t="s">
        <v>2406</v>
      </c>
      <c r="S316" t="s">
        <v>2407</v>
      </c>
      <c r="T316">
        <v>1</v>
      </c>
      <c r="U316" t="s">
        <v>2432</v>
      </c>
      <c r="V316" t="s">
        <v>2433</v>
      </c>
      <c r="W316">
        <v>7</v>
      </c>
      <c r="X316" t="s">
        <v>2437</v>
      </c>
      <c r="Y316" t="s">
        <v>2438</v>
      </c>
      <c r="Z316">
        <v>1</v>
      </c>
      <c r="AA316" t="s">
        <v>73</v>
      </c>
      <c r="AB316" t="s">
        <v>73</v>
      </c>
      <c r="AE316" t="s">
        <v>1191</v>
      </c>
      <c r="AF316">
        <v>454.0571102221619</v>
      </c>
      <c r="AG316">
        <v>7.7457627118644004</v>
      </c>
      <c r="AH316">
        <v>58</v>
      </c>
      <c r="AI316">
        <v>487</v>
      </c>
      <c r="AJ316">
        <v>123.29886069882429</v>
      </c>
      <c r="AK316">
        <v>786.17627118644009</v>
      </c>
      <c r="AM316">
        <v>172.61840497835399</v>
      </c>
      <c r="AN316">
        <v>0</v>
      </c>
      <c r="AO316" t="s">
        <v>5766</v>
      </c>
      <c r="AP316" t="s">
        <v>1189</v>
      </c>
    </row>
    <row r="317" spans="1:42" x14ac:dyDescent="0.25">
      <c r="A317">
        <v>316</v>
      </c>
      <c r="B317" t="s">
        <v>1693</v>
      </c>
      <c r="C317" t="s">
        <v>1693</v>
      </c>
      <c r="D317" t="s">
        <v>1694</v>
      </c>
      <c r="E317" t="s">
        <v>3643</v>
      </c>
      <c r="F317" t="s">
        <v>786</v>
      </c>
      <c r="G317" t="s">
        <v>60</v>
      </c>
      <c r="H317" t="s">
        <v>61</v>
      </c>
      <c r="R317" t="s">
        <v>73</v>
      </c>
      <c r="S317" t="s">
        <v>73</v>
      </c>
      <c r="U317" t="s">
        <v>73</v>
      </c>
      <c r="V317" t="s">
        <v>73</v>
      </c>
      <c r="X317" t="s">
        <v>73</v>
      </c>
      <c r="Y317" t="s">
        <v>73</v>
      </c>
      <c r="AA317" t="s">
        <v>73</v>
      </c>
      <c r="AB317" t="s">
        <v>73</v>
      </c>
      <c r="AF317">
        <v>453.50080120517777</v>
      </c>
      <c r="AG317">
        <v>7.8205128205127998</v>
      </c>
      <c r="AH317">
        <v>38</v>
      </c>
      <c r="AI317">
        <v>497</v>
      </c>
      <c r="AJ317">
        <v>120.75017797726422</v>
      </c>
      <c r="AK317">
        <v>789.65128205127996</v>
      </c>
      <c r="AM317">
        <v>57.050249168169898</v>
      </c>
      <c r="AN317">
        <v>448</v>
      </c>
      <c r="AO317" t="s">
        <v>5767</v>
      </c>
      <c r="AP317" t="s">
        <v>1694</v>
      </c>
    </row>
    <row r="318" spans="1:42" x14ac:dyDescent="0.25">
      <c r="A318">
        <v>317</v>
      </c>
      <c r="B318" t="s">
        <v>2123</v>
      </c>
      <c r="C318" t="s">
        <v>2123</v>
      </c>
      <c r="D318" t="s">
        <v>2124</v>
      </c>
      <c r="E318" t="s">
        <v>183</v>
      </c>
      <c r="F318" t="s">
        <v>184</v>
      </c>
      <c r="G318" t="s">
        <v>158</v>
      </c>
      <c r="H318" t="s">
        <v>159</v>
      </c>
      <c r="J318" t="s">
        <v>185</v>
      </c>
      <c r="K318" t="s">
        <v>3021</v>
      </c>
      <c r="R318" t="s">
        <v>73</v>
      </c>
      <c r="S318" t="s">
        <v>73</v>
      </c>
      <c r="U318" t="s">
        <v>73</v>
      </c>
      <c r="V318" t="s">
        <v>73</v>
      </c>
      <c r="X318" t="s">
        <v>2446</v>
      </c>
      <c r="Y318" t="s">
        <v>2447</v>
      </c>
      <c r="Z318">
        <v>4</v>
      </c>
      <c r="AF318">
        <v>453.12283304982532</v>
      </c>
      <c r="AG318">
        <v>7.1</v>
      </c>
      <c r="AH318">
        <v>9</v>
      </c>
      <c r="AI318">
        <v>312</v>
      </c>
      <c r="AJ318">
        <v>163.58092561091703</v>
      </c>
      <c r="AK318">
        <v>711.8</v>
      </c>
      <c r="AM318">
        <v>229.01329585528381</v>
      </c>
      <c r="AN318">
        <v>0</v>
      </c>
      <c r="AO318" t="s">
        <v>5768</v>
      </c>
      <c r="AP318" t="s">
        <v>2124</v>
      </c>
    </row>
    <row r="319" spans="1:42" x14ac:dyDescent="0.25">
      <c r="A319">
        <v>318</v>
      </c>
      <c r="B319" t="s">
        <v>2107</v>
      </c>
      <c r="C319" t="s">
        <v>2107</v>
      </c>
      <c r="D319" t="s">
        <v>5427</v>
      </c>
      <c r="E319" t="s">
        <v>67</v>
      </c>
      <c r="F319" t="s">
        <v>68</v>
      </c>
      <c r="G319" t="s">
        <v>69</v>
      </c>
      <c r="H319" t="s">
        <v>70</v>
      </c>
      <c r="I319" t="s">
        <v>2108</v>
      </c>
      <c r="J319" t="s">
        <v>1291</v>
      </c>
      <c r="K319" t="s">
        <v>1292</v>
      </c>
      <c r="L319" t="s">
        <v>5428</v>
      </c>
      <c r="M319" t="s">
        <v>5429</v>
      </c>
      <c r="R319" t="s">
        <v>73</v>
      </c>
      <c r="S319" t="s">
        <v>73</v>
      </c>
      <c r="U319" t="s">
        <v>73</v>
      </c>
      <c r="V319" t="s">
        <v>73</v>
      </c>
      <c r="X319" t="s">
        <v>73</v>
      </c>
      <c r="Y319" t="s">
        <v>73</v>
      </c>
      <c r="AA319" t="s">
        <v>73</v>
      </c>
      <c r="AB319" t="s">
        <v>73</v>
      </c>
      <c r="AF319">
        <v>452.94267383186389</v>
      </c>
      <c r="AG319">
        <v>7</v>
      </c>
      <c r="AH319">
        <v>7</v>
      </c>
      <c r="AI319">
        <v>298</v>
      </c>
      <c r="AJ319">
        <v>169.15852647984877</v>
      </c>
      <c r="AK319">
        <v>701.4</v>
      </c>
      <c r="AM319">
        <v>208.82193707178826</v>
      </c>
      <c r="AN319">
        <v>112</v>
      </c>
      <c r="AO319" t="s">
        <v>5769</v>
      </c>
      <c r="AP319" t="s">
        <v>5427</v>
      </c>
    </row>
    <row r="320" spans="1:42" x14ac:dyDescent="0.25">
      <c r="A320">
        <v>319</v>
      </c>
      <c r="B320" t="s">
        <v>2948</v>
      </c>
      <c r="C320" t="s">
        <v>2948</v>
      </c>
      <c r="D320" t="s">
        <v>3000</v>
      </c>
      <c r="E320" t="s">
        <v>91</v>
      </c>
      <c r="F320" t="s">
        <v>92</v>
      </c>
      <c r="G320" t="s">
        <v>108</v>
      </c>
      <c r="H320" t="s">
        <v>109</v>
      </c>
      <c r="I320" t="s">
        <v>2999</v>
      </c>
      <c r="J320" t="s">
        <v>3064</v>
      </c>
      <c r="K320" t="s">
        <v>3065</v>
      </c>
      <c r="L320" t="s">
        <v>4514</v>
      </c>
      <c r="M320" t="s">
        <v>4515</v>
      </c>
      <c r="O320" t="s">
        <v>3002</v>
      </c>
      <c r="P320" t="s">
        <v>3001</v>
      </c>
      <c r="Q320">
        <v>14</v>
      </c>
      <c r="R320" t="s">
        <v>2420</v>
      </c>
      <c r="S320" t="s">
        <v>2421</v>
      </c>
      <c r="T320">
        <v>5</v>
      </c>
      <c r="U320" t="s">
        <v>2430</v>
      </c>
      <c r="V320" t="s">
        <v>2431</v>
      </c>
      <c r="W320">
        <v>6</v>
      </c>
      <c r="X320" t="s">
        <v>2437</v>
      </c>
      <c r="Y320" t="s">
        <v>2438</v>
      </c>
      <c r="Z320">
        <v>1</v>
      </c>
      <c r="AC320" t="s">
        <v>3003</v>
      </c>
      <c r="AD320" t="s">
        <v>3003</v>
      </c>
      <c r="AF320">
        <v>452.90027903017648</v>
      </c>
      <c r="AG320">
        <v>7.1333333333333</v>
      </c>
      <c r="AH320">
        <v>14</v>
      </c>
      <c r="AI320">
        <v>321</v>
      </c>
      <c r="AJ320">
        <v>160.92623595945724</v>
      </c>
      <c r="AK320">
        <v>716.13333333332992</v>
      </c>
      <c r="AL320">
        <v>2010</v>
      </c>
      <c r="AM320">
        <v>211.29673034324011</v>
      </c>
      <c r="AN320">
        <v>56</v>
      </c>
      <c r="AO320" t="s">
        <v>5770</v>
      </c>
      <c r="AP320" t="s">
        <v>3000</v>
      </c>
    </row>
    <row r="321" spans="1:42" x14ac:dyDescent="0.25">
      <c r="A321">
        <v>320</v>
      </c>
      <c r="B321" t="s">
        <v>2391</v>
      </c>
      <c r="C321" t="s">
        <v>2391</v>
      </c>
      <c r="D321" t="s">
        <v>2392</v>
      </c>
      <c r="E321" t="s">
        <v>218</v>
      </c>
      <c r="F321" t="s">
        <v>219</v>
      </c>
      <c r="G321" t="s">
        <v>69</v>
      </c>
      <c r="H321" t="s">
        <v>70</v>
      </c>
      <c r="I321" t="s">
        <v>2393</v>
      </c>
      <c r="J321" t="s">
        <v>241</v>
      </c>
      <c r="K321" t="s">
        <v>242</v>
      </c>
      <c r="L321" t="s">
        <v>5018</v>
      </c>
      <c r="M321" t="s">
        <v>5019</v>
      </c>
      <c r="R321" t="s">
        <v>2409</v>
      </c>
      <c r="S321" t="s">
        <v>2410</v>
      </c>
      <c r="T321">
        <v>2</v>
      </c>
      <c r="U321" t="s">
        <v>73</v>
      </c>
      <c r="V321" t="s">
        <v>73</v>
      </c>
      <c r="X321" t="s">
        <v>73</v>
      </c>
      <c r="Y321" t="s">
        <v>73</v>
      </c>
      <c r="AA321" t="s">
        <v>73</v>
      </c>
      <c r="AB321" t="s">
        <v>73</v>
      </c>
      <c r="AF321">
        <v>452.49405127943339</v>
      </c>
      <c r="AG321">
        <v>7.2</v>
      </c>
      <c r="AH321">
        <v>9</v>
      </c>
      <c r="AI321">
        <v>336</v>
      </c>
      <c r="AJ321">
        <v>157.32672364381486</v>
      </c>
      <c r="AK321">
        <v>721.8</v>
      </c>
      <c r="AM321">
        <v>164.2574131013408</v>
      </c>
      <c r="AN321">
        <v>224</v>
      </c>
      <c r="AO321" t="s">
        <v>5771</v>
      </c>
      <c r="AP321" t="s">
        <v>2392</v>
      </c>
    </row>
    <row r="322" spans="1:42" x14ac:dyDescent="0.25">
      <c r="A322">
        <v>321</v>
      </c>
      <c r="B322" t="s">
        <v>1772</v>
      </c>
      <c r="C322" t="s">
        <v>1772</v>
      </c>
      <c r="D322" t="s">
        <v>1773</v>
      </c>
      <c r="E322" t="s">
        <v>91</v>
      </c>
      <c r="F322" t="s">
        <v>92</v>
      </c>
      <c r="G322" t="s">
        <v>93</v>
      </c>
      <c r="H322" t="s">
        <v>94</v>
      </c>
      <c r="I322" t="s">
        <v>2824</v>
      </c>
      <c r="J322" t="s">
        <v>3067</v>
      </c>
      <c r="K322" t="s">
        <v>3066</v>
      </c>
      <c r="L322" t="s">
        <v>4536</v>
      </c>
      <c r="M322" t="s">
        <v>4537</v>
      </c>
      <c r="O322" t="s">
        <v>2826</v>
      </c>
      <c r="P322" t="s">
        <v>2825</v>
      </c>
      <c r="Q322">
        <v>13</v>
      </c>
      <c r="R322" t="s">
        <v>2409</v>
      </c>
      <c r="S322" t="s">
        <v>2410</v>
      </c>
      <c r="T322">
        <v>2</v>
      </c>
      <c r="U322" t="s">
        <v>2432</v>
      </c>
      <c r="V322" t="s">
        <v>2433</v>
      </c>
      <c r="W322">
        <v>7</v>
      </c>
      <c r="X322" t="s">
        <v>2446</v>
      </c>
      <c r="Y322" t="s">
        <v>2447</v>
      </c>
      <c r="Z322">
        <v>4</v>
      </c>
      <c r="AA322" t="s">
        <v>2827</v>
      </c>
      <c r="AB322" t="s">
        <v>2827</v>
      </c>
      <c r="AC322" t="s">
        <v>2828</v>
      </c>
      <c r="AD322" t="s">
        <v>2828</v>
      </c>
      <c r="AF322">
        <v>452.22415969418734</v>
      </c>
      <c r="AG322">
        <v>7.6315789473683999</v>
      </c>
      <c r="AH322">
        <v>37</v>
      </c>
      <c r="AI322">
        <v>455</v>
      </c>
      <c r="AJ322">
        <v>129.93912480640816</v>
      </c>
      <c r="AK322">
        <v>770.55789473684001</v>
      </c>
      <c r="AM322">
        <v>125.91477472897141</v>
      </c>
      <c r="AN322">
        <v>224</v>
      </c>
      <c r="AO322" t="s">
        <v>5772</v>
      </c>
      <c r="AP322" t="s">
        <v>1773</v>
      </c>
    </row>
    <row r="323" spans="1:42" x14ac:dyDescent="0.25">
      <c r="A323">
        <v>322</v>
      </c>
      <c r="B323" t="s">
        <v>694</v>
      </c>
      <c r="C323" t="s">
        <v>4055</v>
      </c>
      <c r="D323" t="s">
        <v>3220</v>
      </c>
      <c r="E323" t="s">
        <v>471</v>
      </c>
      <c r="F323" t="s">
        <v>472</v>
      </c>
      <c r="G323" t="s">
        <v>93</v>
      </c>
      <c r="H323" t="s">
        <v>94</v>
      </c>
      <c r="I323" t="s">
        <v>3221</v>
      </c>
      <c r="J323" t="s">
        <v>3241</v>
      </c>
      <c r="K323" t="s">
        <v>3191</v>
      </c>
      <c r="Q323">
        <v>13</v>
      </c>
      <c r="R323" t="s">
        <v>2409</v>
      </c>
      <c r="S323" t="s">
        <v>2410</v>
      </c>
      <c r="T323">
        <v>2</v>
      </c>
      <c r="U323" t="s">
        <v>3139</v>
      </c>
      <c r="V323" t="s">
        <v>3140</v>
      </c>
      <c r="W323">
        <v>4</v>
      </c>
      <c r="X323" t="s">
        <v>2443</v>
      </c>
      <c r="Y323" t="s">
        <v>2444</v>
      </c>
      <c r="Z323">
        <v>3</v>
      </c>
      <c r="AE323" t="s">
        <v>3222</v>
      </c>
      <c r="AF323">
        <v>451.8448634481021</v>
      </c>
      <c r="AG323">
        <v>7.2142857142857002</v>
      </c>
      <c r="AH323">
        <v>13</v>
      </c>
      <c r="AI323">
        <v>340</v>
      </c>
      <c r="AJ323">
        <v>155.3673085931301</v>
      </c>
      <c r="AK323">
        <v>724.02857142856999</v>
      </c>
      <c r="AM323">
        <v>189.51423203038212</v>
      </c>
      <c r="AN323">
        <v>112</v>
      </c>
      <c r="AO323" t="s">
        <v>5773</v>
      </c>
      <c r="AP323" t="s">
        <v>3220</v>
      </c>
    </row>
    <row r="324" spans="1:42" x14ac:dyDescent="0.25">
      <c r="A324">
        <v>323</v>
      </c>
      <c r="B324" t="s">
        <v>1878</v>
      </c>
      <c r="C324" t="s">
        <v>1878</v>
      </c>
      <c r="D324" t="s">
        <v>1879</v>
      </c>
      <c r="E324" t="s">
        <v>1478</v>
      </c>
      <c r="F324" t="s">
        <v>1479</v>
      </c>
      <c r="G324" t="s">
        <v>632</v>
      </c>
      <c r="H324" t="s">
        <v>633</v>
      </c>
      <c r="R324" t="s">
        <v>2406</v>
      </c>
      <c r="S324" t="s">
        <v>2407</v>
      </c>
      <c r="T324">
        <v>1</v>
      </c>
      <c r="U324" t="s">
        <v>2430</v>
      </c>
      <c r="V324" t="s">
        <v>2431</v>
      </c>
      <c r="W324">
        <v>6</v>
      </c>
      <c r="X324" t="s">
        <v>2446</v>
      </c>
      <c r="Y324" t="s">
        <v>2447</v>
      </c>
      <c r="Z324">
        <v>4</v>
      </c>
      <c r="AA324" t="s">
        <v>73</v>
      </c>
      <c r="AB324" t="s">
        <v>73</v>
      </c>
      <c r="AF324">
        <v>451.47683646128661</v>
      </c>
      <c r="AG324">
        <v>7.8</v>
      </c>
      <c r="AH324">
        <v>9</v>
      </c>
      <c r="AI324">
        <v>489</v>
      </c>
      <c r="AJ324">
        <v>122.86315162365183</v>
      </c>
      <c r="AK324">
        <v>781.8</v>
      </c>
      <c r="AM324">
        <v>60.008412273112555</v>
      </c>
      <c r="AN324">
        <v>448</v>
      </c>
      <c r="AO324" t="s">
        <v>5774</v>
      </c>
      <c r="AP324" t="s">
        <v>1879</v>
      </c>
    </row>
    <row r="325" spans="1:42" x14ac:dyDescent="0.25">
      <c r="A325">
        <v>324</v>
      </c>
      <c r="B325" t="s">
        <v>1438</v>
      </c>
      <c r="C325" t="s">
        <v>1438</v>
      </c>
      <c r="D325" t="s">
        <v>5042</v>
      </c>
      <c r="E325" t="s">
        <v>830</v>
      </c>
      <c r="F325" t="s">
        <v>831</v>
      </c>
      <c r="G325" t="s">
        <v>632</v>
      </c>
      <c r="H325" t="s">
        <v>633</v>
      </c>
      <c r="J325" t="s">
        <v>5045</v>
      </c>
      <c r="K325" t="s">
        <v>5046</v>
      </c>
      <c r="R325" t="s">
        <v>2420</v>
      </c>
      <c r="S325" t="s">
        <v>2421</v>
      </c>
      <c r="T325">
        <v>5</v>
      </c>
      <c r="U325" t="s">
        <v>73</v>
      </c>
      <c r="V325" t="s">
        <v>73</v>
      </c>
      <c r="X325" t="s">
        <v>73</v>
      </c>
      <c r="Y325" t="s">
        <v>73</v>
      </c>
      <c r="AA325" t="s">
        <v>73</v>
      </c>
      <c r="AB325" t="s">
        <v>73</v>
      </c>
      <c r="AF325">
        <v>451.30005853601727</v>
      </c>
      <c r="AG325">
        <v>7.8846153846154001</v>
      </c>
      <c r="AH325">
        <v>25</v>
      </c>
      <c r="AI325">
        <v>526</v>
      </c>
      <c r="AJ325">
        <v>116.18809922805249</v>
      </c>
      <c r="AK325">
        <v>793.46153846154004</v>
      </c>
      <c r="AM325">
        <v>50.663338919273492</v>
      </c>
      <c r="AN325">
        <v>448</v>
      </c>
      <c r="AO325" t="s">
        <v>5775</v>
      </c>
      <c r="AP325" t="s">
        <v>5042</v>
      </c>
    </row>
    <row r="326" spans="1:42" x14ac:dyDescent="0.25">
      <c r="A326">
        <v>325</v>
      </c>
      <c r="B326" t="s">
        <v>1867</v>
      </c>
      <c r="C326" t="s">
        <v>1867</v>
      </c>
      <c r="D326" t="s">
        <v>3010</v>
      </c>
      <c r="E326" t="s">
        <v>67</v>
      </c>
      <c r="F326" t="s">
        <v>68</v>
      </c>
      <c r="G326" t="s">
        <v>3845</v>
      </c>
      <c r="H326" t="s">
        <v>3846</v>
      </c>
      <c r="I326" t="s">
        <v>1419</v>
      </c>
      <c r="J326" t="s">
        <v>1293</v>
      </c>
      <c r="K326" t="s">
        <v>1294</v>
      </c>
      <c r="L326" t="s">
        <v>5411</v>
      </c>
      <c r="M326" t="s">
        <v>5412</v>
      </c>
      <c r="O326" t="s">
        <v>2606</v>
      </c>
      <c r="P326" t="s">
        <v>2606</v>
      </c>
      <c r="Q326">
        <v>13</v>
      </c>
      <c r="R326" t="s">
        <v>2420</v>
      </c>
      <c r="S326" t="s">
        <v>2421</v>
      </c>
      <c r="T326">
        <v>5</v>
      </c>
      <c r="U326" t="s">
        <v>3137</v>
      </c>
      <c r="V326" t="s">
        <v>3136</v>
      </c>
      <c r="W326">
        <v>5</v>
      </c>
      <c r="X326" t="s">
        <v>2437</v>
      </c>
      <c r="Y326" t="s">
        <v>2438</v>
      </c>
      <c r="Z326">
        <v>1</v>
      </c>
      <c r="AA326" t="s">
        <v>73</v>
      </c>
      <c r="AB326" t="s">
        <v>73</v>
      </c>
      <c r="AF326">
        <v>450.84872149507532</v>
      </c>
      <c r="AG326">
        <v>6.6</v>
      </c>
      <c r="AH326">
        <v>14</v>
      </c>
      <c r="AI326">
        <v>247</v>
      </c>
      <c r="AJ326">
        <v>188.27635721675037</v>
      </c>
      <c r="AK326">
        <v>662.8</v>
      </c>
      <c r="AM326">
        <v>235.58690010345052</v>
      </c>
      <c r="AN326">
        <v>112</v>
      </c>
      <c r="AO326" t="s">
        <v>5776</v>
      </c>
      <c r="AP326" t="s">
        <v>3010</v>
      </c>
    </row>
    <row r="327" spans="1:42" x14ac:dyDescent="0.25">
      <c r="A327">
        <v>326</v>
      </c>
      <c r="B327" t="s">
        <v>3606</v>
      </c>
      <c r="C327" t="s">
        <v>3606</v>
      </c>
      <c r="D327" t="s">
        <v>3672</v>
      </c>
      <c r="E327" t="s">
        <v>666</v>
      </c>
      <c r="F327" t="s">
        <v>667</v>
      </c>
      <c r="G327" t="s">
        <v>60</v>
      </c>
      <c r="H327" t="s">
        <v>61</v>
      </c>
      <c r="I327" t="s">
        <v>3607</v>
      </c>
      <c r="J327" t="s">
        <v>3620</v>
      </c>
      <c r="K327" t="s">
        <v>3624</v>
      </c>
      <c r="L327" t="s">
        <v>4462</v>
      </c>
      <c r="M327" t="s">
        <v>4463</v>
      </c>
      <c r="R327" t="s">
        <v>73</v>
      </c>
      <c r="S327" t="s">
        <v>73</v>
      </c>
      <c r="U327" t="s">
        <v>73</v>
      </c>
      <c r="V327" t="s">
        <v>73</v>
      </c>
      <c r="X327" t="s">
        <v>73</v>
      </c>
      <c r="Y327" t="s">
        <v>73</v>
      </c>
      <c r="AA327" t="s">
        <v>73</v>
      </c>
      <c r="AB327" t="s">
        <v>73</v>
      </c>
      <c r="AF327">
        <v>449.9199245263377</v>
      </c>
      <c r="AG327">
        <v>6.4444444444444002</v>
      </c>
      <c r="AH327">
        <v>8</v>
      </c>
      <c r="AI327">
        <v>220</v>
      </c>
      <c r="AJ327">
        <v>196.55300256013075</v>
      </c>
      <c r="AK327">
        <v>646.04444444444005</v>
      </c>
      <c r="AM327">
        <v>191.174203584183</v>
      </c>
      <c r="AN327">
        <v>336</v>
      </c>
      <c r="AO327" t="s">
        <v>5777</v>
      </c>
      <c r="AP327" t="s">
        <v>3672</v>
      </c>
    </row>
    <row r="328" spans="1:42" x14ac:dyDescent="0.25">
      <c r="A328">
        <v>327</v>
      </c>
      <c r="B328" t="s">
        <v>312</v>
      </c>
      <c r="C328" t="s">
        <v>312</v>
      </c>
      <c r="D328" t="s">
        <v>313</v>
      </c>
      <c r="E328" t="s">
        <v>255</v>
      </c>
      <c r="F328" t="s">
        <v>256</v>
      </c>
      <c r="G328" t="s">
        <v>257</v>
      </c>
      <c r="H328" t="s">
        <v>258</v>
      </c>
      <c r="I328" t="s">
        <v>314</v>
      </c>
      <c r="J328" t="s">
        <v>315</v>
      </c>
      <c r="K328" t="s">
        <v>316</v>
      </c>
      <c r="L328">
        <v>51.752040613399998</v>
      </c>
      <c r="M328">
        <v>5.2293778456100002</v>
      </c>
      <c r="N328" t="s">
        <v>4233</v>
      </c>
      <c r="O328" t="s">
        <v>317</v>
      </c>
      <c r="P328" t="s">
        <v>317</v>
      </c>
      <c r="Q328">
        <v>14</v>
      </c>
      <c r="R328" t="s">
        <v>2414</v>
      </c>
      <c r="S328" t="s">
        <v>2415</v>
      </c>
      <c r="T328">
        <v>3</v>
      </c>
      <c r="U328" t="s">
        <v>3137</v>
      </c>
      <c r="V328" t="s">
        <v>3136</v>
      </c>
      <c r="W328">
        <v>5</v>
      </c>
      <c r="X328" t="s">
        <v>2437</v>
      </c>
      <c r="Y328" t="s">
        <v>2438</v>
      </c>
      <c r="Z328">
        <v>1</v>
      </c>
      <c r="AA328" t="s">
        <v>73</v>
      </c>
      <c r="AB328" t="s">
        <v>73</v>
      </c>
      <c r="AE328" t="s">
        <v>4234</v>
      </c>
      <c r="AF328">
        <v>449.90332807769153</v>
      </c>
      <c r="AG328">
        <v>7.6792452830188997</v>
      </c>
      <c r="AH328">
        <v>158</v>
      </c>
      <c r="AI328">
        <v>551</v>
      </c>
      <c r="AJ328">
        <v>111.26784880749618</v>
      </c>
      <c r="AK328">
        <v>799.52452830188997</v>
      </c>
      <c r="AL328">
        <v>2004</v>
      </c>
      <c r="AM328">
        <v>155.77498833049464</v>
      </c>
      <c r="AN328">
        <v>0</v>
      </c>
      <c r="AO328" t="s">
        <v>5778</v>
      </c>
      <c r="AP328" t="s">
        <v>313</v>
      </c>
    </row>
    <row r="329" spans="1:42" x14ac:dyDescent="0.25">
      <c r="A329">
        <v>328</v>
      </c>
      <c r="B329" t="s">
        <v>1396</v>
      </c>
      <c r="C329" t="s">
        <v>1396</v>
      </c>
      <c r="D329" t="s">
        <v>2490</v>
      </c>
      <c r="E329" t="s">
        <v>459</v>
      </c>
      <c r="F329" t="s">
        <v>459</v>
      </c>
      <c r="G329" t="s">
        <v>257</v>
      </c>
      <c r="H329" t="s">
        <v>258</v>
      </c>
      <c r="R329" t="s">
        <v>73</v>
      </c>
      <c r="S329" t="s">
        <v>73</v>
      </c>
      <c r="U329" t="s">
        <v>73</v>
      </c>
      <c r="V329" t="s">
        <v>73</v>
      </c>
      <c r="X329" t="s">
        <v>73</v>
      </c>
      <c r="Y329" t="s">
        <v>73</v>
      </c>
      <c r="AA329" t="s">
        <v>73</v>
      </c>
      <c r="AB329" t="s">
        <v>73</v>
      </c>
      <c r="AF329">
        <v>449.63923624357233</v>
      </c>
      <c r="AG329">
        <v>6.9090909090909003</v>
      </c>
      <c r="AH329">
        <v>10</v>
      </c>
      <c r="AI329">
        <v>295</v>
      </c>
      <c r="AJ329">
        <v>170.20521198780813</v>
      </c>
      <c r="AK329">
        <v>692.90909090909008</v>
      </c>
      <c r="AM329">
        <v>210.28729678293138</v>
      </c>
      <c r="AN329">
        <v>112</v>
      </c>
      <c r="AO329" t="s">
        <v>5779</v>
      </c>
      <c r="AP329" t="s">
        <v>2490</v>
      </c>
    </row>
    <row r="330" spans="1:42" x14ac:dyDescent="0.25">
      <c r="A330">
        <v>329</v>
      </c>
      <c r="B330" t="s">
        <v>147</v>
      </c>
      <c r="C330" t="s">
        <v>4081</v>
      </c>
      <c r="D330" t="s">
        <v>148</v>
      </c>
      <c r="E330" t="s">
        <v>149</v>
      </c>
      <c r="F330" t="s">
        <v>150</v>
      </c>
      <c r="G330" t="s">
        <v>151</v>
      </c>
      <c r="H330" t="s">
        <v>152</v>
      </c>
      <c r="I330" t="s">
        <v>153</v>
      </c>
      <c r="J330" t="s">
        <v>154</v>
      </c>
      <c r="K330" t="s">
        <v>2664</v>
      </c>
      <c r="R330" t="s">
        <v>73</v>
      </c>
      <c r="S330" t="s">
        <v>73</v>
      </c>
      <c r="U330" t="s">
        <v>73</v>
      </c>
      <c r="V330" t="s">
        <v>73</v>
      </c>
      <c r="X330" t="s">
        <v>73</v>
      </c>
      <c r="Y330" t="s">
        <v>73</v>
      </c>
      <c r="AA330" t="s">
        <v>73</v>
      </c>
      <c r="AB330" t="s">
        <v>73</v>
      </c>
      <c r="AF330">
        <v>449.04589955129023</v>
      </c>
      <c r="AG330">
        <v>6.25</v>
      </c>
      <c r="AH330">
        <v>11</v>
      </c>
      <c r="AI330">
        <v>201</v>
      </c>
      <c r="AJ330">
        <v>206.05099950143355</v>
      </c>
      <c r="AK330">
        <v>627.20000000000005</v>
      </c>
      <c r="AM330">
        <v>176.47139930200697</v>
      </c>
      <c r="AN330">
        <v>448</v>
      </c>
      <c r="AO330" t="s">
        <v>5780</v>
      </c>
      <c r="AP330" t="s">
        <v>148</v>
      </c>
    </row>
    <row r="331" spans="1:42" x14ac:dyDescent="0.25">
      <c r="A331">
        <v>330</v>
      </c>
      <c r="B331" t="s">
        <v>1500</v>
      </c>
      <c r="C331" t="s">
        <v>1500</v>
      </c>
      <c r="D331" t="s">
        <v>2517</v>
      </c>
      <c r="E331" t="s">
        <v>415</v>
      </c>
      <c r="F331" t="s">
        <v>415</v>
      </c>
      <c r="G331" t="s">
        <v>85</v>
      </c>
      <c r="H331" t="s">
        <v>86</v>
      </c>
      <c r="L331" t="s">
        <v>4284</v>
      </c>
      <c r="M331" t="s">
        <v>4285</v>
      </c>
      <c r="R331" t="s">
        <v>2420</v>
      </c>
      <c r="S331" t="s">
        <v>2421</v>
      </c>
      <c r="T331">
        <v>5</v>
      </c>
      <c r="U331" t="s">
        <v>73</v>
      </c>
      <c r="V331" t="s">
        <v>73</v>
      </c>
      <c r="X331" t="s">
        <v>2437</v>
      </c>
      <c r="Y331" t="s">
        <v>2438</v>
      </c>
      <c r="Z331">
        <v>1</v>
      </c>
      <c r="AA331" t="s">
        <v>73</v>
      </c>
      <c r="AB331" t="s">
        <v>73</v>
      </c>
      <c r="AF331">
        <v>448.89344603385325</v>
      </c>
      <c r="AG331">
        <v>7.8888888888888999</v>
      </c>
      <c r="AH331">
        <v>8</v>
      </c>
      <c r="AI331">
        <v>530</v>
      </c>
      <c r="AJ331">
        <v>115.16555732156466</v>
      </c>
      <c r="AK331">
        <v>790.48888888889007</v>
      </c>
      <c r="AM331">
        <v>105.23178025019052</v>
      </c>
      <c r="AN331">
        <v>224</v>
      </c>
      <c r="AO331" t="s">
        <v>5781</v>
      </c>
      <c r="AP331" t="s">
        <v>2517</v>
      </c>
    </row>
    <row r="332" spans="1:42" x14ac:dyDescent="0.25">
      <c r="A332">
        <v>331</v>
      </c>
      <c r="B332" t="s">
        <v>778</v>
      </c>
      <c r="C332" t="s">
        <v>778</v>
      </c>
      <c r="D332" t="s">
        <v>779</v>
      </c>
      <c r="E332" t="s">
        <v>67</v>
      </c>
      <c r="F332" t="s">
        <v>68</v>
      </c>
      <c r="G332" t="s">
        <v>69</v>
      </c>
      <c r="H332" t="s">
        <v>70</v>
      </c>
      <c r="I332" t="s">
        <v>780</v>
      </c>
      <c r="J332" t="s">
        <v>398</v>
      </c>
      <c r="K332" t="s">
        <v>399</v>
      </c>
      <c r="L332" t="s">
        <v>5345</v>
      </c>
      <c r="M332" t="s">
        <v>5346</v>
      </c>
      <c r="Q332">
        <v>14</v>
      </c>
      <c r="R332" t="s">
        <v>2406</v>
      </c>
      <c r="S332" t="s">
        <v>2407</v>
      </c>
      <c r="T332">
        <v>1</v>
      </c>
      <c r="U332" t="s">
        <v>3137</v>
      </c>
      <c r="V332" t="s">
        <v>3136</v>
      </c>
      <c r="W332">
        <v>5</v>
      </c>
      <c r="X332" t="s">
        <v>2437</v>
      </c>
      <c r="Y332" t="s">
        <v>2438</v>
      </c>
      <c r="Z332">
        <v>1</v>
      </c>
      <c r="AA332" t="s">
        <v>73</v>
      </c>
      <c r="AB332" t="s">
        <v>73</v>
      </c>
      <c r="AE332" t="s">
        <v>5347</v>
      </c>
      <c r="AF332">
        <v>448.85405031782733</v>
      </c>
      <c r="AG332">
        <v>7.4545454545455003</v>
      </c>
      <c r="AH332">
        <v>10</v>
      </c>
      <c r="AI332">
        <v>416</v>
      </c>
      <c r="AJ332">
        <v>139.02975287839146</v>
      </c>
      <c r="AK332">
        <v>747.45454545455004</v>
      </c>
      <c r="AM332">
        <v>166.64165402974803</v>
      </c>
      <c r="AN332">
        <v>112</v>
      </c>
      <c r="AO332" t="s">
        <v>5782</v>
      </c>
      <c r="AP332" t="s">
        <v>779</v>
      </c>
    </row>
    <row r="333" spans="1:42" x14ac:dyDescent="0.25">
      <c r="A333">
        <v>332</v>
      </c>
      <c r="B333" t="s">
        <v>939</v>
      </c>
      <c r="C333" t="s">
        <v>939</v>
      </c>
      <c r="D333" t="s">
        <v>940</v>
      </c>
      <c r="E333" t="s">
        <v>137</v>
      </c>
      <c r="F333" t="s">
        <v>138</v>
      </c>
      <c r="G333" t="s">
        <v>139</v>
      </c>
      <c r="H333" t="s">
        <v>140</v>
      </c>
      <c r="I333" t="s">
        <v>941</v>
      </c>
      <c r="J333" t="s">
        <v>426</v>
      </c>
      <c r="K333" t="s">
        <v>427</v>
      </c>
      <c r="L333" t="s">
        <v>4652</v>
      </c>
      <c r="M333" t="s">
        <v>4653</v>
      </c>
      <c r="Q333">
        <v>14</v>
      </c>
      <c r="R333" t="s">
        <v>2409</v>
      </c>
      <c r="S333" t="s">
        <v>2410</v>
      </c>
      <c r="T333">
        <v>2</v>
      </c>
      <c r="U333" t="s">
        <v>2430</v>
      </c>
      <c r="V333" t="s">
        <v>2431</v>
      </c>
      <c r="W333">
        <v>6</v>
      </c>
      <c r="X333" t="s">
        <v>2446</v>
      </c>
      <c r="Y333" t="s">
        <v>2447</v>
      </c>
      <c r="Z333">
        <v>4</v>
      </c>
      <c r="AC333" t="s">
        <v>942</v>
      </c>
      <c r="AD333" t="s">
        <v>942</v>
      </c>
      <c r="AF333">
        <v>448.48959901669389</v>
      </c>
      <c r="AG333">
        <v>6.7741935483870996</v>
      </c>
      <c r="AH333">
        <v>30</v>
      </c>
      <c r="AI333">
        <v>285</v>
      </c>
      <c r="AJ333">
        <v>174.19991288593206</v>
      </c>
      <c r="AK333">
        <v>683.41935483870998</v>
      </c>
      <c r="AL333">
        <v>2004</v>
      </c>
      <c r="AM333">
        <v>243.87987804030487</v>
      </c>
      <c r="AN333">
        <v>0</v>
      </c>
      <c r="AO333" t="s">
        <v>5783</v>
      </c>
      <c r="AP333" t="s">
        <v>940</v>
      </c>
    </row>
    <row r="334" spans="1:42" x14ac:dyDescent="0.25">
      <c r="A334">
        <v>333</v>
      </c>
      <c r="B334" t="s">
        <v>2366</v>
      </c>
      <c r="C334" t="s">
        <v>2366</v>
      </c>
      <c r="D334" t="s">
        <v>2367</v>
      </c>
      <c r="E334" t="s">
        <v>137</v>
      </c>
      <c r="F334" t="s">
        <v>138</v>
      </c>
      <c r="G334" t="s">
        <v>139</v>
      </c>
      <c r="H334" t="s">
        <v>140</v>
      </c>
      <c r="I334" t="s">
        <v>2368</v>
      </c>
      <c r="J334" t="s">
        <v>1234</v>
      </c>
      <c r="K334" t="s">
        <v>1235</v>
      </c>
      <c r="L334" t="s">
        <v>4763</v>
      </c>
      <c r="M334" t="s">
        <v>4764</v>
      </c>
      <c r="Q334">
        <v>12</v>
      </c>
      <c r="R334" t="s">
        <v>2406</v>
      </c>
      <c r="S334" t="s">
        <v>2407</v>
      </c>
      <c r="T334">
        <v>1</v>
      </c>
      <c r="U334" t="s">
        <v>2432</v>
      </c>
      <c r="V334" t="s">
        <v>2433</v>
      </c>
      <c r="W334">
        <v>7</v>
      </c>
      <c r="X334" t="s">
        <v>2443</v>
      </c>
      <c r="Y334" t="s">
        <v>2444</v>
      </c>
      <c r="Z334">
        <v>3</v>
      </c>
      <c r="AF334">
        <v>447.98129188392181</v>
      </c>
      <c r="AG334">
        <v>7.1363636363636003</v>
      </c>
      <c r="AH334">
        <v>21</v>
      </c>
      <c r="AI334">
        <v>343</v>
      </c>
      <c r="AJ334">
        <v>154.51456673971308</v>
      </c>
      <c r="AK334">
        <v>717.83636363636003</v>
      </c>
      <c r="AM334">
        <v>216.32039343559828</v>
      </c>
      <c r="AN334">
        <v>0</v>
      </c>
      <c r="AO334" t="s">
        <v>5784</v>
      </c>
      <c r="AP334" t="s">
        <v>2367</v>
      </c>
    </row>
    <row r="335" spans="1:42" x14ac:dyDescent="0.25">
      <c r="A335">
        <v>334</v>
      </c>
      <c r="B335" t="s">
        <v>1157</v>
      </c>
      <c r="C335" t="s">
        <v>1157</v>
      </c>
      <c r="D335" t="s">
        <v>1158</v>
      </c>
      <c r="E335" t="s">
        <v>3169</v>
      </c>
      <c r="F335" t="s">
        <v>379</v>
      </c>
      <c r="G335" t="s">
        <v>162</v>
      </c>
      <c r="H335" t="s">
        <v>163</v>
      </c>
      <c r="J335" t="s">
        <v>1159</v>
      </c>
      <c r="K335" t="s">
        <v>1160</v>
      </c>
      <c r="R335" t="s">
        <v>73</v>
      </c>
      <c r="S335" t="s">
        <v>73</v>
      </c>
      <c r="U335" t="s">
        <v>73</v>
      </c>
      <c r="V335" t="s">
        <v>73</v>
      </c>
      <c r="X335" t="s">
        <v>73</v>
      </c>
      <c r="Y335" t="s">
        <v>73</v>
      </c>
      <c r="AA335" t="s">
        <v>73</v>
      </c>
      <c r="AB335" t="s">
        <v>73</v>
      </c>
      <c r="AF335">
        <v>447.74538564680211</v>
      </c>
      <c r="AG335">
        <v>7</v>
      </c>
      <c r="AH335">
        <v>4</v>
      </c>
      <c r="AI335">
        <v>311</v>
      </c>
      <c r="AJ335">
        <v>163.71709516311344</v>
      </c>
      <c r="AK335">
        <v>700.8</v>
      </c>
      <c r="AM335">
        <v>123.20393322835881</v>
      </c>
      <c r="AN335">
        <v>424</v>
      </c>
      <c r="AO335" t="s">
        <v>5785</v>
      </c>
      <c r="AP335" t="s">
        <v>1158</v>
      </c>
    </row>
    <row r="336" spans="1:42" x14ac:dyDescent="0.25">
      <c r="A336">
        <v>335</v>
      </c>
      <c r="B336" t="s">
        <v>246</v>
      </c>
      <c r="C336" t="s">
        <v>246</v>
      </c>
      <c r="D336" t="s">
        <v>3043</v>
      </c>
      <c r="E336" t="s">
        <v>218</v>
      </c>
      <c r="F336" t="s">
        <v>219</v>
      </c>
      <c r="G336" t="s">
        <v>69</v>
      </c>
      <c r="H336" t="s">
        <v>70</v>
      </c>
      <c r="I336" t="s">
        <v>247</v>
      </c>
      <c r="J336" t="s">
        <v>233</v>
      </c>
      <c r="K336" t="s">
        <v>234</v>
      </c>
      <c r="L336" t="s">
        <v>4891</v>
      </c>
      <c r="M336" t="s">
        <v>4892</v>
      </c>
      <c r="R336" t="s">
        <v>73</v>
      </c>
      <c r="S336" t="s">
        <v>73</v>
      </c>
      <c r="U336" t="s">
        <v>73</v>
      </c>
      <c r="V336" t="s">
        <v>73</v>
      </c>
      <c r="X336" t="s">
        <v>73</v>
      </c>
      <c r="Y336" t="s">
        <v>73</v>
      </c>
      <c r="AF336">
        <v>446.99538238132703</v>
      </c>
      <c r="AG336">
        <v>7.7894736842104999</v>
      </c>
      <c r="AH336">
        <v>18</v>
      </c>
      <c r="AI336">
        <v>519</v>
      </c>
      <c r="AJ336">
        <v>117.46855352311336</v>
      </c>
      <c r="AK336">
        <v>782.54736842105001</v>
      </c>
      <c r="AM336">
        <v>108.4559749323587</v>
      </c>
      <c r="AN336">
        <v>224</v>
      </c>
      <c r="AO336" t="s">
        <v>5786</v>
      </c>
      <c r="AP336" t="s">
        <v>3043</v>
      </c>
    </row>
    <row r="337" spans="1:42" x14ac:dyDescent="0.25">
      <c r="A337">
        <v>336</v>
      </c>
      <c r="B337" t="s">
        <v>2749</v>
      </c>
      <c r="C337" t="s">
        <v>2749</v>
      </c>
      <c r="D337" t="s">
        <v>1778</v>
      </c>
      <c r="E337" t="s">
        <v>218</v>
      </c>
      <c r="F337" t="s">
        <v>219</v>
      </c>
      <c r="G337" t="s">
        <v>69</v>
      </c>
      <c r="H337" t="s">
        <v>70</v>
      </c>
      <c r="I337" t="s">
        <v>3599</v>
      </c>
      <c r="J337" t="s">
        <v>1429</v>
      </c>
      <c r="K337" t="s">
        <v>1430</v>
      </c>
      <c r="L337" t="s">
        <v>4925</v>
      </c>
      <c r="M337" t="s">
        <v>4926</v>
      </c>
      <c r="R337" t="s">
        <v>73</v>
      </c>
      <c r="S337" t="s">
        <v>73</v>
      </c>
      <c r="U337" t="s">
        <v>73</v>
      </c>
      <c r="V337" t="s">
        <v>73</v>
      </c>
      <c r="X337" t="s">
        <v>73</v>
      </c>
      <c r="Y337" t="s">
        <v>73</v>
      </c>
      <c r="AF337">
        <v>446.33670396480636</v>
      </c>
      <c r="AG337">
        <v>7.4358974358973997</v>
      </c>
      <c r="AH337">
        <v>38</v>
      </c>
      <c r="AI337">
        <v>441</v>
      </c>
      <c r="AJ337">
        <v>134.15759129992927</v>
      </c>
      <c r="AK337">
        <v>751.18974358974003</v>
      </c>
      <c r="AM337">
        <v>131.82062781990095</v>
      </c>
      <c r="AN337">
        <v>224</v>
      </c>
      <c r="AO337" t="s">
        <v>5787</v>
      </c>
      <c r="AP337" t="s">
        <v>1778</v>
      </c>
    </row>
    <row r="338" spans="1:42" x14ac:dyDescent="0.25">
      <c r="A338">
        <v>337</v>
      </c>
      <c r="B338" t="s">
        <v>1532</v>
      </c>
      <c r="C338" t="s">
        <v>1532</v>
      </c>
      <c r="D338" t="s">
        <v>2530</v>
      </c>
      <c r="E338" t="s">
        <v>282</v>
      </c>
      <c r="F338" t="s">
        <v>283</v>
      </c>
      <c r="G338" t="s">
        <v>3167</v>
      </c>
      <c r="H338" t="s">
        <v>3166</v>
      </c>
      <c r="I338" t="s">
        <v>1533</v>
      </c>
      <c r="J338" t="s">
        <v>368</v>
      </c>
      <c r="K338" t="s">
        <v>369</v>
      </c>
      <c r="L338">
        <v>51.248055999999998</v>
      </c>
      <c r="M338">
        <v>0.62888900000000003</v>
      </c>
      <c r="N338" t="s">
        <v>4222</v>
      </c>
      <c r="Q338">
        <v>13</v>
      </c>
      <c r="R338" t="s">
        <v>2414</v>
      </c>
      <c r="S338" t="s">
        <v>2415</v>
      </c>
      <c r="T338">
        <v>3</v>
      </c>
      <c r="U338" t="s">
        <v>3137</v>
      </c>
      <c r="V338" t="s">
        <v>3136</v>
      </c>
      <c r="W338">
        <v>5</v>
      </c>
      <c r="X338" t="s">
        <v>2437</v>
      </c>
      <c r="Y338" t="s">
        <v>2438</v>
      </c>
      <c r="Z338">
        <v>1</v>
      </c>
      <c r="AA338" t="s">
        <v>73</v>
      </c>
      <c r="AB338" t="s">
        <v>73</v>
      </c>
      <c r="AF338">
        <v>446.20056444282909</v>
      </c>
      <c r="AG338">
        <v>8.1875</v>
      </c>
      <c r="AH338">
        <v>63</v>
      </c>
      <c r="AI338">
        <v>635</v>
      </c>
      <c r="AJ338">
        <v>89.472849380921176</v>
      </c>
      <c r="AK338">
        <v>831.35</v>
      </c>
      <c r="AL338">
        <v>2009</v>
      </c>
      <c r="AM338">
        <v>69.261989133289646</v>
      </c>
      <c r="AN338">
        <v>224</v>
      </c>
      <c r="AO338" t="s">
        <v>5788</v>
      </c>
      <c r="AP338" t="s">
        <v>2530</v>
      </c>
    </row>
    <row r="339" spans="1:42" x14ac:dyDescent="0.25">
      <c r="A339">
        <v>338</v>
      </c>
      <c r="B339" t="s">
        <v>3360</v>
      </c>
      <c r="C339" t="s">
        <v>3360</v>
      </c>
      <c r="D339" t="s">
        <v>4012</v>
      </c>
      <c r="E339" t="s">
        <v>3643</v>
      </c>
      <c r="F339" t="s">
        <v>786</v>
      </c>
      <c r="G339" t="s">
        <v>60</v>
      </c>
      <c r="H339" t="s">
        <v>61</v>
      </c>
      <c r="I339" t="s">
        <v>4038</v>
      </c>
      <c r="L339" t="s">
        <v>4869</v>
      </c>
      <c r="M339" t="s">
        <v>4870</v>
      </c>
      <c r="R339" t="s">
        <v>2409</v>
      </c>
      <c r="S339" t="s">
        <v>2410</v>
      </c>
      <c r="T339">
        <v>2</v>
      </c>
      <c r="U339" t="s">
        <v>3139</v>
      </c>
      <c r="V339" t="s">
        <v>3140</v>
      </c>
      <c r="W339">
        <v>4</v>
      </c>
      <c r="X339" t="s">
        <v>2440</v>
      </c>
      <c r="Y339" t="s">
        <v>2441</v>
      </c>
      <c r="Z339">
        <v>2</v>
      </c>
      <c r="AA339" t="s">
        <v>4029</v>
      </c>
      <c r="AB339" t="s">
        <v>4029</v>
      </c>
      <c r="AF339">
        <v>445.82406365688314</v>
      </c>
      <c r="AG339">
        <v>7.1666666666666998</v>
      </c>
      <c r="AH339">
        <v>5</v>
      </c>
      <c r="AI339">
        <v>350</v>
      </c>
      <c r="AJ339">
        <v>152.21192258172016</v>
      </c>
      <c r="AK339">
        <v>717.66666666666993</v>
      </c>
      <c r="AM339">
        <v>101.0966916144082</v>
      </c>
      <c r="AN339">
        <v>448</v>
      </c>
      <c r="AO339" t="s">
        <v>5789</v>
      </c>
      <c r="AP339" t="s">
        <v>4012</v>
      </c>
    </row>
    <row r="340" spans="1:42" x14ac:dyDescent="0.25">
      <c r="A340">
        <v>339</v>
      </c>
      <c r="B340" t="s">
        <v>1498</v>
      </c>
      <c r="C340" t="s">
        <v>1498</v>
      </c>
      <c r="D340" t="s">
        <v>3420</v>
      </c>
      <c r="E340" t="s">
        <v>471</v>
      </c>
      <c r="F340" t="s">
        <v>472</v>
      </c>
      <c r="G340" t="s">
        <v>93</v>
      </c>
      <c r="H340" t="s">
        <v>94</v>
      </c>
      <c r="I340" t="s">
        <v>2680</v>
      </c>
      <c r="J340" t="s">
        <v>3240</v>
      </c>
      <c r="K340" t="s">
        <v>3175</v>
      </c>
      <c r="Q340">
        <v>13</v>
      </c>
      <c r="R340" t="s">
        <v>2409</v>
      </c>
      <c r="S340" t="s">
        <v>2410</v>
      </c>
      <c r="T340">
        <v>2</v>
      </c>
      <c r="U340" t="s">
        <v>3137</v>
      </c>
      <c r="V340" t="s">
        <v>3136</v>
      </c>
      <c r="W340">
        <v>5</v>
      </c>
      <c r="X340" t="s">
        <v>2440</v>
      </c>
      <c r="Y340" t="s">
        <v>2441</v>
      </c>
      <c r="Z340">
        <v>2</v>
      </c>
      <c r="AA340" t="s">
        <v>3199</v>
      </c>
      <c r="AB340" t="s">
        <v>3199</v>
      </c>
      <c r="AE340" t="s">
        <v>3200</v>
      </c>
      <c r="AF340">
        <v>445.69852233523062</v>
      </c>
      <c r="AG340">
        <v>7.7692307692308002</v>
      </c>
      <c r="AH340">
        <v>12</v>
      </c>
      <c r="AI340">
        <v>514</v>
      </c>
      <c r="AJ340">
        <v>117.81887097076736</v>
      </c>
      <c r="AK340">
        <v>779.32307692307995</v>
      </c>
      <c r="AM340">
        <v>136.9464193590743</v>
      </c>
      <c r="AN340">
        <v>112</v>
      </c>
      <c r="AO340" t="s">
        <v>5790</v>
      </c>
      <c r="AP340" t="s">
        <v>3420</v>
      </c>
    </row>
    <row r="341" spans="1:42" x14ac:dyDescent="0.25">
      <c r="A341">
        <v>340</v>
      </c>
      <c r="B341" t="s">
        <v>1586</v>
      </c>
      <c r="C341" t="s">
        <v>1586</v>
      </c>
      <c r="D341" t="s">
        <v>3035</v>
      </c>
      <c r="E341" t="s">
        <v>830</v>
      </c>
      <c r="F341" t="s">
        <v>831</v>
      </c>
      <c r="G341" t="s">
        <v>632</v>
      </c>
      <c r="H341" t="s">
        <v>633</v>
      </c>
      <c r="I341" t="s">
        <v>1587</v>
      </c>
      <c r="R341" t="s">
        <v>73</v>
      </c>
      <c r="S341" t="s">
        <v>73</v>
      </c>
      <c r="U341" t="s">
        <v>73</v>
      </c>
      <c r="V341" t="s">
        <v>73</v>
      </c>
      <c r="X341" t="s">
        <v>73</v>
      </c>
      <c r="Y341" t="s">
        <v>73</v>
      </c>
      <c r="AA341" t="s">
        <v>73</v>
      </c>
      <c r="AB341" t="s">
        <v>73</v>
      </c>
      <c r="AF341">
        <v>445.4335874664032</v>
      </c>
      <c r="AG341">
        <v>7.1428571428570997</v>
      </c>
      <c r="AH341">
        <v>13</v>
      </c>
      <c r="AI341">
        <v>351</v>
      </c>
      <c r="AJ341">
        <v>152.21192258172016</v>
      </c>
      <c r="AK341">
        <v>716.88571428571004</v>
      </c>
      <c r="AM341">
        <v>101.0966916144082</v>
      </c>
      <c r="AN341">
        <v>448</v>
      </c>
      <c r="AO341" t="s">
        <v>5791</v>
      </c>
      <c r="AP341" t="s">
        <v>3035</v>
      </c>
    </row>
    <row r="342" spans="1:42" x14ac:dyDescent="0.25">
      <c r="A342">
        <v>341</v>
      </c>
      <c r="B342" t="s">
        <v>1505</v>
      </c>
      <c r="C342" t="s">
        <v>1505</v>
      </c>
      <c r="D342" t="s">
        <v>2519</v>
      </c>
      <c r="E342" t="s">
        <v>351</v>
      </c>
      <c r="F342" t="s">
        <v>352</v>
      </c>
      <c r="G342" t="s">
        <v>257</v>
      </c>
      <c r="H342" t="s">
        <v>258</v>
      </c>
      <c r="I342" t="s">
        <v>1506</v>
      </c>
      <c r="J342" t="s">
        <v>1267</v>
      </c>
      <c r="K342" t="s">
        <v>1268</v>
      </c>
      <c r="L342">
        <v>51.027890938399999</v>
      </c>
      <c r="M342">
        <v>3.8383945914000002</v>
      </c>
      <c r="Q342">
        <v>14</v>
      </c>
      <c r="R342" t="s">
        <v>2414</v>
      </c>
      <c r="S342" t="s">
        <v>2415</v>
      </c>
      <c r="T342">
        <v>3</v>
      </c>
      <c r="U342" t="s">
        <v>2432</v>
      </c>
      <c r="V342" t="s">
        <v>2433</v>
      </c>
      <c r="W342">
        <v>7</v>
      </c>
      <c r="X342" t="s">
        <v>2437</v>
      </c>
      <c r="Y342" t="s">
        <v>2438</v>
      </c>
      <c r="Z342">
        <v>1</v>
      </c>
      <c r="AF342">
        <v>445.32383581346653</v>
      </c>
      <c r="AG342">
        <v>7.7419354838709999</v>
      </c>
      <c r="AH342">
        <v>61</v>
      </c>
      <c r="AI342">
        <v>536</v>
      </c>
      <c r="AJ342">
        <v>113.47451291101832</v>
      </c>
      <c r="AK342">
        <v>786.39354838710005</v>
      </c>
      <c r="AM342">
        <v>158.86431807542564</v>
      </c>
      <c r="AN342">
        <v>0</v>
      </c>
      <c r="AO342" t="s">
        <v>5792</v>
      </c>
      <c r="AP342" t="s">
        <v>2519</v>
      </c>
    </row>
    <row r="343" spans="1:42" x14ac:dyDescent="0.25">
      <c r="A343">
        <v>342</v>
      </c>
      <c r="B343" t="s">
        <v>2907</v>
      </c>
      <c r="C343" t="s">
        <v>4090</v>
      </c>
      <c r="D343" t="s">
        <v>2390</v>
      </c>
      <c r="E343" t="s">
        <v>318</v>
      </c>
      <c r="F343" t="s">
        <v>319</v>
      </c>
      <c r="G343" t="s">
        <v>75</v>
      </c>
      <c r="H343" t="s">
        <v>76</v>
      </c>
      <c r="I343" t="s">
        <v>2874</v>
      </c>
      <c r="R343" t="s">
        <v>73</v>
      </c>
      <c r="S343" t="s">
        <v>73</v>
      </c>
      <c r="U343" t="s">
        <v>73</v>
      </c>
      <c r="V343" t="s">
        <v>73</v>
      </c>
      <c r="X343" t="s">
        <v>73</v>
      </c>
      <c r="Y343" t="s">
        <v>73</v>
      </c>
      <c r="AA343" t="s">
        <v>73</v>
      </c>
      <c r="AB343" t="s">
        <v>73</v>
      </c>
      <c r="AF343">
        <v>445.18041880099884</v>
      </c>
      <c r="AG343">
        <v>7.9166666666666998</v>
      </c>
      <c r="AH343">
        <v>11</v>
      </c>
      <c r="AI343">
        <v>556</v>
      </c>
      <c r="AJ343">
        <v>109.16342829740424</v>
      </c>
      <c r="AK343">
        <v>793.86666666666997</v>
      </c>
      <c r="AM343">
        <v>68.828799616365913</v>
      </c>
      <c r="AN343">
        <v>336</v>
      </c>
      <c r="AO343" t="s">
        <v>5793</v>
      </c>
      <c r="AP343" t="s">
        <v>2390</v>
      </c>
    </row>
    <row r="344" spans="1:42" x14ac:dyDescent="0.25">
      <c r="A344">
        <v>343</v>
      </c>
      <c r="B344" t="s">
        <v>57</v>
      </c>
      <c r="C344" t="s">
        <v>4052</v>
      </c>
      <c r="D344" t="s">
        <v>3457</v>
      </c>
      <c r="E344" t="s">
        <v>58</v>
      </c>
      <c r="F344" t="s">
        <v>59</v>
      </c>
      <c r="G344" t="s">
        <v>632</v>
      </c>
      <c r="H344" t="s">
        <v>633</v>
      </c>
      <c r="I344" t="s">
        <v>62</v>
      </c>
      <c r="O344" t="s">
        <v>63</v>
      </c>
      <c r="P344" t="s">
        <v>64</v>
      </c>
      <c r="R344" t="s">
        <v>2414</v>
      </c>
      <c r="S344" t="s">
        <v>2415</v>
      </c>
      <c r="T344">
        <v>3</v>
      </c>
      <c r="U344" t="s">
        <v>3137</v>
      </c>
      <c r="V344" t="s">
        <v>3136</v>
      </c>
      <c r="W344">
        <v>5</v>
      </c>
      <c r="X344" t="s">
        <v>2437</v>
      </c>
      <c r="Y344" t="s">
        <v>2438</v>
      </c>
      <c r="Z344">
        <v>1</v>
      </c>
      <c r="AF344">
        <v>445.12946004150922</v>
      </c>
      <c r="AG344">
        <v>7</v>
      </c>
      <c r="AH344">
        <v>6</v>
      </c>
      <c r="AI344">
        <v>323</v>
      </c>
      <c r="AJ344">
        <v>160.58828893501018</v>
      </c>
      <c r="AK344">
        <v>701.2</v>
      </c>
      <c r="AM344">
        <v>112.82360450901425</v>
      </c>
      <c r="AN344">
        <v>448</v>
      </c>
      <c r="AO344" t="s">
        <v>5794</v>
      </c>
      <c r="AP344" t="s">
        <v>3457</v>
      </c>
    </row>
    <row r="345" spans="1:42" x14ac:dyDescent="0.25">
      <c r="A345">
        <v>344</v>
      </c>
      <c r="B345" t="s">
        <v>2012</v>
      </c>
      <c r="C345" t="s">
        <v>2012</v>
      </c>
      <c r="D345" t="s">
        <v>2013</v>
      </c>
      <c r="E345" t="s">
        <v>74</v>
      </c>
      <c r="F345" t="s">
        <v>74</v>
      </c>
      <c r="G345" t="s">
        <v>75</v>
      </c>
      <c r="H345" t="s">
        <v>76</v>
      </c>
      <c r="Q345">
        <v>12</v>
      </c>
      <c r="R345" t="s">
        <v>73</v>
      </c>
      <c r="S345" t="s">
        <v>73</v>
      </c>
      <c r="U345" t="s">
        <v>73</v>
      </c>
      <c r="V345" t="s">
        <v>73</v>
      </c>
      <c r="X345" t="s">
        <v>2446</v>
      </c>
      <c r="Y345" t="s">
        <v>2447</v>
      </c>
      <c r="Z345">
        <v>4</v>
      </c>
      <c r="AA345" t="s">
        <v>73</v>
      </c>
      <c r="AB345" t="s">
        <v>73</v>
      </c>
      <c r="AF345">
        <v>444.64958098643689</v>
      </c>
      <c r="AG345">
        <v>8</v>
      </c>
      <c r="AH345">
        <v>3</v>
      </c>
      <c r="AI345">
        <v>571</v>
      </c>
      <c r="AJ345">
        <v>104.83286776270762</v>
      </c>
      <c r="AK345">
        <v>800.6</v>
      </c>
      <c r="AM345">
        <v>90.766014867790673</v>
      </c>
      <c r="AN345">
        <v>224</v>
      </c>
      <c r="AO345" t="s">
        <v>5795</v>
      </c>
      <c r="AP345" t="s">
        <v>2013</v>
      </c>
    </row>
    <row r="346" spans="1:42" x14ac:dyDescent="0.25">
      <c r="A346">
        <v>345</v>
      </c>
      <c r="B346" t="s">
        <v>1087</v>
      </c>
      <c r="C346" t="s">
        <v>1087</v>
      </c>
      <c r="D346" t="s">
        <v>1088</v>
      </c>
      <c r="E346" t="s">
        <v>595</v>
      </c>
      <c r="F346" t="s">
        <v>596</v>
      </c>
      <c r="G346" t="s">
        <v>3167</v>
      </c>
      <c r="H346" t="s">
        <v>3166</v>
      </c>
      <c r="I346" t="s">
        <v>597</v>
      </c>
      <c r="J346" t="s">
        <v>598</v>
      </c>
      <c r="K346" t="s">
        <v>599</v>
      </c>
      <c r="R346" t="s">
        <v>73</v>
      </c>
      <c r="S346" t="s">
        <v>73</v>
      </c>
      <c r="U346" t="s">
        <v>73</v>
      </c>
      <c r="V346" t="s">
        <v>73</v>
      </c>
      <c r="X346" t="s">
        <v>73</v>
      </c>
      <c r="Y346" t="s">
        <v>73</v>
      </c>
      <c r="AA346" t="s">
        <v>73</v>
      </c>
      <c r="AB346" t="s">
        <v>73</v>
      </c>
      <c r="AF346">
        <v>444.39128038715211</v>
      </c>
      <c r="AG346">
        <v>7.3333333333333002</v>
      </c>
      <c r="AH346">
        <v>5</v>
      </c>
      <c r="AI346">
        <v>405</v>
      </c>
      <c r="AJ346">
        <v>141.36068191165228</v>
      </c>
      <c r="AK346">
        <v>734.33333333333007</v>
      </c>
      <c r="AM346">
        <v>141.9049546763132</v>
      </c>
      <c r="AN346">
        <v>224</v>
      </c>
      <c r="AO346" t="s">
        <v>5796</v>
      </c>
      <c r="AP346" t="s">
        <v>1088</v>
      </c>
    </row>
    <row r="347" spans="1:42" x14ac:dyDescent="0.25">
      <c r="A347">
        <v>346</v>
      </c>
      <c r="B347" t="s">
        <v>1320</v>
      </c>
      <c r="C347" t="s">
        <v>1320</v>
      </c>
      <c r="D347" t="s">
        <v>1321</v>
      </c>
      <c r="E347" t="s">
        <v>137</v>
      </c>
      <c r="F347" t="s">
        <v>138</v>
      </c>
      <c r="G347" t="s">
        <v>139</v>
      </c>
      <c r="H347" t="s">
        <v>140</v>
      </c>
      <c r="I347" t="s">
        <v>1321</v>
      </c>
      <c r="J347" t="s">
        <v>689</v>
      </c>
      <c r="K347" t="s">
        <v>690</v>
      </c>
      <c r="L347" t="s">
        <v>4709</v>
      </c>
      <c r="M347" t="s">
        <v>4710</v>
      </c>
      <c r="Q347">
        <v>12</v>
      </c>
      <c r="R347" t="s">
        <v>2406</v>
      </c>
      <c r="S347" t="s">
        <v>2407</v>
      </c>
      <c r="T347">
        <v>1</v>
      </c>
      <c r="U347" t="s">
        <v>3137</v>
      </c>
      <c r="V347" t="s">
        <v>3136</v>
      </c>
      <c r="W347">
        <v>5</v>
      </c>
      <c r="X347" t="s">
        <v>2437</v>
      </c>
      <c r="Y347" t="s">
        <v>2438</v>
      </c>
      <c r="Z347">
        <v>1</v>
      </c>
      <c r="AF347">
        <v>444.36188982287257</v>
      </c>
      <c r="AG347">
        <v>7.3157894736842</v>
      </c>
      <c r="AH347">
        <v>18</v>
      </c>
      <c r="AI347">
        <v>406</v>
      </c>
      <c r="AJ347">
        <v>140.85824015406948</v>
      </c>
      <c r="AK347">
        <v>735.17894736842004</v>
      </c>
      <c r="AM347">
        <v>197.20153621569725</v>
      </c>
      <c r="AN347">
        <v>0</v>
      </c>
      <c r="AO347" t="s">
        <v>5797</v>
      </c>
      <c r="AP347" t="s">
        <v>1321</v>
      </c>
    </row>
    <row r="348" spans="1:42" x14ac:dyDescent="0.25">
      <c r="A348">
        <v>347</v>
      </c>
      <c r="B348" t="s">
        <v>699</v>
      </c>
      <c r="C348" t="s">
        <v>4156</v>
      </c>
      <c r="D348" t="s">
        <v>3223</v>
      </c>
      <c r="E348" t="s">
        <v>471</v>
      </c>
      <c r="F348" t="s">
        <v>472</v>
      </c>
      <c r="G348" t="s">
        <v>93</v>
      </c>
      <c r="H348" t="s">
        <v>94</v>
      </c>
      <c r="I348" t="s">
        <v>3232</v>
      </c>
      <c r="J348" t="s">
        <v>3247</v>
      </c>
      <c r="K348" t="s">
        <v>3172</v>
      </c>
      <c r="Q348">
        <v>12</v>
      </c>
      <c r="R348" t="s">
        <v>2409</v>
      </c>
      <c r="S348" t="s">
        <v>2410</v>
      </c>
      <c r="T348">
        <v>2</v>
      </c>
      <c r="U348" t="s">
        <v>2432</v>
      </c>
      <c r="V348" t="s">
        <v>2433</v>
      </c>
      <c r="W348">
        <v>7</v>
      </c>
      <c r="X348" t="s">
        <v>2440</v>
      </c>
      <c r="Y348" t="s">
        <v>2441</v>
      </c>
      <c r="Z348">
        <v>2</v>
      </c>
      <c r="AA348" t="s">
        <v>73</v>
      </c>
      <c r="AB348" t="s">
        <v>73</v>
      </c>
      <c r="AF348">
        <v>444.22255868273362</v>
      </c>
      <c r="AG348">
        <v>7.2608695652173996</v>
      </c>
      <c r="AH348">
        <v>22</v>
      </c>
      <c r="AI348">
        <v>395</v>
      </c>
      <c r="AJ348">
        <v>143.31008935762631</v>
      </c>
      <c r="AK348">
        <v>730.4869565217399</v>
      </c>
      <c r="AM348">
        <v>172.63412510067681</v>
      </c>
      <c r="AN348">
        <v>112</v>
      </c>
      <c r="AO348" t="s">
        <v>5798</v>
      </c>
      <c r="AP348" t="s">
        <v>3223</v>
      </c>
    </row>
    <row r="349" spans="1:42" x14ac:dyDescent="0.25">
      <c r="A349">
        <v>348</v>
      </c>
      <c r="B349" t="s">
        <v>2906</v>
      </c>
      <c r="C349" t="s">
        <v>2906</v>
      </c>
      <c r="D349" t="s">
        <v>5799</v>
      </c>
      <c r="E349" t="s">
        <v>229</v>
      </c>
      <c r="F349" t="s">
        <v>229</v>
      </c>
      <c r="G349" t="s">
        <v>69</v>
      </c>
      <c r="H349" t="s">
        <v>70</v>
      </c>
      <c r="R349" t="s">
        <v>73</v>
      </c>
      <c r="S349" t="s">
        <v>73</v>
      </c>
      <c r="U349" t="s">
        <v>73</v>
      </c>
      <c r="V349" t="s">
        <v>73</v>
      </c>
      <c r="X349" t="s">
        <v>73</v>
      </c>
      <c r="Y349" t="s">
        <v>73</v>
      </c>
      <c r="AA349" t="s">
        <v>73</v>
      </c>
      <c r="AB349" t="s">
        <v>73</v>
      </c>
      <c r="AF349">
        <v>444.18233611160628</v>
      </c>
      <c r="AG349">
        <v>6.5294117647059</v>
      </c>
      <c r="AH349">
        <v>16</v>
      </c>
      <c r="AI349">
        <v>257</v>
      </c>
      <c r="AJ349">
        <v>184.56860875145694</v>
      </c>
      <c r="AK349">
        <v>656.14117647059004</v>
      </c>
      <c r="AM349">
        <v>146.39605225203971</v>
      </c>
      <c r="AN349">
        <v>448</v>
      </c>
      <c r="AO349" t="s">
        <v>5800</v>
      </c>
      <c r="AP349" t="s">
        <v>5799</v>
      </c>
    </row>
    <row r="350" spans="1:42" x14ac:dyDescent="0.25">
      <c r="A350">
        <v>349</v>
      </c>
      <c r="B350" t="s">
        <v>1405</v>
      </c>
      <c r="C350" t="s">
        <v>1405</v>
      </c>
      <c r="D350" t="s">
        <v>2492</v>
      </c>
      <c r="E350" t="s">
        <v>630</v>
      </c>
      <c r="F350" t="s">
        <v>631</v>
      </c>
      <c r="G350" t="s">
        <v>60</v>
      </c>
      <c r="H350" t="s">
        <v>61</v>
      </c>
      <c r="R350" t="s">
        <v>73</v>
      </c>
      <c r="S350" t="s">
        <v>73</v>
      </c>
      <c r="U350" t="s">
        <v>73</v>
      </c>
      <c r="V350" t="s">
        <v>73</v>
      </c>
      <c r="X350" t="s">
        <v>73</v>
      </c>
      <c r="Y350" t="s">
        <v>73</v>
      </c>
      <c r="AA350" t="s">
        <v>73</v>
      </c>
      <c r="AB350" t="s">
        <v>73</v>
      </c>
      <c r="AF350">
        <v>444.02857142857005</v>
      </c>
      <c r="AG350">
        <v>8.4285714285714004</v>
      </c>
      <c r="AH350">
        <v>6</v>
      </c>
      <c r="AI350">
        <v>670</v>
      </c>
      <c r="AJ350">
        <v>80</v>
      </c>
      <c r="AK350">
        <v>844.05714285714009</v>
      </c>
      <c r="AM350">
        <v>0</v>
      </c>
      <c r="AN350">
        <v>448</v>
      </c>
      <c r="AO350" t="s">
        <v>5801</v>
      </c>
      <c r="AP350" t="s">
        <v>2492</v>
      </c>
    </row>
    <row r="351" spans="1:42" x14ac:dyDescent="0.25">
      <c r="A351">
        <v>350</v>
      </c>
      <c r="B351" t="s">
        <v>2910</v>
      </c>
      <c r="C351" t="s">
        <v>2910</v>
      </c>
      <c r="D351" t="s">
        <v>1140</v>
      </c>
      <c r="E351" t="s">
        <v>4035</v>
      </c>
      <c r="F351" t="s">
        <v>1141</v>
      </c>
      <c r="G351" t="s">
        <v>179</v>
      </c>
      <c r="H351" t="s">
        <v>180</v>
      </c>
      <c r="J351" t="s">
        <v>1142</v>
      </c>
      <c r="K351" t="s">
        <v>1143</v>
      </c>
      <c r="R351" t="s">
        <v>73</v>
      </c>
      <c r="S351" t="s">
        <v>73</v>
      </c>
      <c r="U351" t="s">
        <v>73</v>
      </c>
      <c r="V351" t="s">
        <v>73</v>
      </c>
      <c r="X351" t="s">
        <v>73</v>
      </c>
      <c r="Y351" t="s">
        <v>73</v>
      </c>
      <c r="AF351">
        <v>443.80944984346382</v>
      </c>
      <c r="AG351">
        <v>7.2857142857142998</v>
      </c>
      <c r="AH351">
        <v>6</v>
      </c>
      <c r="AI351">
        <v>396</v>
      </c>
      <c r="AJ351">
        <v>143.2485950641653</v>
      </c>
      <c r="AK351">
        <v>729.77142857143008</v>
      </c>
      <c r="AM351">
        <v>88.548033089831421</v>
      </c>
      <c r="AN351">
        <v>448</v>
      </c>
      <c r="AO351" t="s">
        <v>5802</v>
      </c>
      <c r="AP351" t="s">
        <v>1140</v>
      </c>
    </row>
    <row r="352" spans="1:42" x14ac:dyDescent="0.25">
      <c r="A352">
        <v>351</v>
      </c>
      <c r="B352" t="s">
        <v>2128</v>
      </c>
      <c r="C352" t="s">
        <v>4151</v>
      </c>
      <c r="D352" t="s">
        <v>3207</v>
      </c>
      <c r="E352" t="s">
        <v>471</v>
      </c>
      <c r="F352" t="s">
        <v>472</v>
      </c>
      <c r="G352" t="s">
        <v>93</v>
      </c>
      <c r="H352" t="s">
        <v>94</v>
      </c>
      <c r="I352" t="s">
        <v>2712</v>
      </c>
      <c r="J352" t="s">
        <v>3245</v>
      </c>
      <c r="K352" t="s">
        <v>3170</v>
      </c>
      <c r="O352" t="s">
        <v>3208</v>
      </c>
      <c r="P352" t="s">
        <v>3208</v>
      </c>
      <c r="Q352">
        <v>13</v>
      </c>
      <c r="R352" t="s">
        <v>2409</v>
      </c>
      <c r="S352" t="s">
        <v>2410</v>
      </c>
      <c r="T352">
        <v>2</v>
      </c>
      <c r="U352" t="s">
        <v>2430</v>
      </c>
      <c r="V352" t="s">
        <v>2431</v>
      </c>
      <c r="W352">
        <v>6</v>
      </c>
      <c r="X352" t="s">
        <v>2440</v>
      </c>
      <c r="Y352" t="s">
        <v>2441</v>
      </c>
      <c r="Z352">
        <v>2</v>
      </c>
      <c r="AE352" t="s">
        <v>3209</v>
      </c>
      <c r="AF352">
        <v>443.57654087807913</v>
      </c>
      <c r="AG352">
        <v>8</v>
      </c>
      <c r="AH352">
        <v>23</v>
      </c>
      <c r="AI352">
        <v>584</v>
      </c>
      <c r="AJ352">
        <v>101.41837875342122</v>
      </c>
      <c r="AK352">
        <v>804.6</v>
      </c>
      <c r="AM352">
        <v>113.9857302547897</v>
      </c>
      <c r="AN352">
        <v>112</v>
      </c>
      <c r="AO352" t="s">
        <v>5803</v>
      </c>
      <c r="AP352" t="s">
        <v>3207</v>
      </c>
    </row>
    <row r="353" spans="1:42" x14ac:dyDescent="0.25">
      <c r="A353">
        <v>352</v>
      </c>
      <c r="B353" t="s">
        <v>1552</v>
      </c>
      <c r="C353" t="s">
        <v>1552</v>
      </c>
      <c r="D353" t="s">
        <v>3816</v>
      </c>
      <c r="E353" t="s">
        <v>556</v>
      </c>
      <c r="F353" t="s">
        <v>557</v>
      </c>
      <c r="G353" t="s">
        <v>60</v>
      </c>
      <c r="H353" t="s">
        <v>61</v>
      </c>
      <c r="J353" t="s">
        <v>1553</v>
      </c>
      <c r="K353" t="s">
        <v>1552</v>
      </c>
      <c r="R353" t="s">
        <v>73</v>
      </c>
      <c r="S353" t="s">
        <v>73</v>
      </c>
      <c r="U353" t="s">
        <v>73</v>
      </c>
      <c r="V353" t="s">
        <v>73</v>
      </c>
      <c r="X353" t="s">
        <v>2440</v>
      </c>
      <c r="Y353" t="s">
        <v>2441</v>
      </c>
      <c r="Z353">
        <v>2</v>
      </c>
      <c r="AA353" t="s">
        <v>73</v>
      </c>
      <c r="AB353" t="s">
        <v>73</v>
      </c>
      <c r="AF353">
        <v>442.96612053761385</v>
      </c>
      <c r="AG353">
        <v>6.5882352941175997</v>
      </c>
      <c r="AH353">
        <v>16</v>
      </c>
      <c r="AI353">
        <v>270</v>
      </c>
      <c r="AJ353">
        <v>179.94928425748208</v>
      </c>
      <c r="AK353">
        <v>662.02352941176002</v>
      </c>
      <c r="AM353">
        <v>195.92899796047487</v>
      </c>
      <c r="AN353">
        <v>224</v>
      </c>
      <c r="AO353" t="s">
        <v>5804</v>
      </c>
      <c r="AP353" t="s">
        <v>3816</v>
      </c>
    </row>
    <row r="354" spans="1:42" x14ac:dyDescent="0.25">
      <c r="A354">
        <v>353</v>
      </c>
      <c r="B354" t="s">
        <v>2933</v>
      </c>
      <c r="C354" t="s">
        <v>4095</v>
      </c>
      <c r="D354" t="s">
        <v>2510</v>
      </c>
      <c r="E354" t="s">
        <v>630</v>
      </c>
      <c r="F354" t="s">
        <v>631</v>
      </c>
      <c r="G354" t="s">
        <v>60</v>
      </c>
      <c r="H354" t="s">
        <v>61</v>
      </c>
      <c r="I354" t="s">
        <v>3034</v>
      </c>
      <c r="J354" t="s">
        <v>3036</v>
      </c>
      <c r="K354" t="s">
        <v>3353</v>
      </c>
      <c r="R354" t="s">
        <v>73</v>
      </c>
      <c r="S354" t="s">
        <v>73</v>
      </c>
      <c r="U354" t="s">
        <v>73</v>
      </c>
      <c r="V354" t="s">
        <v>73</v>
      </c>
      <c r="X354" t="s">
        <v>73</v>
      </c>
      <c r="Y354" t="s">
        <v>73</v>
      </c>
      <c r="AA354" t="s">
        <v>73</v>
      </c>
      <c r="AB354" t="s">
        <v>73</v>
      </c>
      <c r="AF354">
        <v>441.18181818182001</v>
      </c>
      <c r="AG354">
        <v>8.3636363636364006</v>
      </c>
      <c r="AH354">
        <v>10</v>
      </c>
      <c r="AI354">
        <v>671</v>
      </c>
      <c r="AJ354">
        <v>80</v>
      </c>
      <c r="AK354">
        <v>838.36363636364001</v>
      </c>
      <c r="AM354">
        <v>0</v>
      </c>
      <c r="AN354">
        <v>448</v>
      </c>
      <c r="AO354" t="s">
        <v>5805</v>
      </c>
      <c r="AP354" t="s">
        <v>2510</v>
      </c>
    </row>
    <row r="355" spans="1:42" x14ac:dyDescent="0.25">
      <c r="A355">
        <v>354</v>
      </c>
      <c r="B355" t="s">
        <v>2290</v>
      </c>
      <c r="C355" t="s">
        <v>4152</v>
      </c>
      <c r="D355" t="s">
        <v>2291</v>
      </c>
      <c r="E355" t="s">
        <v>218</v>
      </c>
      <c r="F355" t="s">
        <v>219</v>
      </c>
      <c r="G355" t="s">
        <v>69</v>
      </c>
      <c r="H355" t="s">
        <v>70</v>
      </c>
      <c r="I355" t="s">
        <v>2292</v>
      </c>
      <c r="J355" t="s">
        <v>241</v>
      </c>
      <c r="K355" t="s">
        <v>242</v>
      </c>
      <c r="L355" t="s">
        <v>4970</v>
      </c>
      <c r="M355" t="s">
        <v>4971</v>
      </c>
      <c r="R355" t="s">
        <v>73</v>
      </c>
      <c r="S355" t="s">
        <v>73</v>
      </c>
      <c r="U355" t="s">
        <v>73</v>
      </c>
      <c r="V355" t="s">
        <v>73</v>
      </c>
      <c r="X355" t="s">
        <v>73</v>
      </c>
      <c r="Y355" t="s">
        <v>73</v>
      </c>
      <c r="AF355">
        <v>440.73983982262115</v>
      </c>
      <c r="AG355">
        <v>7.9166666666666998</v>
      </c>
      <c r="AH355">
        <v>11</v>
      </c>
      <c r="AI355">
        <v>574</v>
      </c>
      <c r="AJ355">
        <v>104.22945165476239</v>
      </c>
      <c r="AK355">
        <v>793.86666666666997</v>
      </c>
      <c r="AM355">
        <v>89.921232316667343</v>
      </c>
      <c r="AN355">
        <v>224</v>
      </c>
      <c r="AO355" t="s">
        <v>5806</v>
      </c>
      <c r="AP355" t="s">
        <v>2291</v>
      </c>
    </row>
    <row r="356" spans="1:42" x14ac:dyDescent="0.25">
      <c r="A356">
        <v>355</v>
      </c>
      <c r="B356" t="s">
        <v>2748</v>
      </c>
      <c r="C356" t="s">
        <v>2748</v>
      </c>
      <c r="D356" t="s">
        <v>1747</v>
      </c>
      <c r="E356" t="s">
        <v>199</v>
      </c>
      <c r="F356" t="s">
        <v>200</v>
      </c>
      <c r="I356" t="s">
        <v>1748</v>
      </c>
      <c r="J356" t="s">
        <v>912</v>
      </c>
      <c r="K356" t="s">
        <v>913</v>
      </c>
      <c r="L356" t="s">
        <v>5173</v>
      </c>
      <c r="M356" t="s">
        <v>5174</v>
      </c>
      <c r="O356" t="s">
        <v>822</v>
      </c>
      <c r="P356" t="s">
        <v>823</v>
      </c>
      <c r="R356" t="s">
        <v>73</v>
      </c>
      <c r="S356" t="s">
        <v>73</v>
      </c>
      <c r="U356" t="s">
        <v>73</v>
      </c>
      <c r="V356" t="s">
        <v>73</v>
      </c>
      <c r="X356" t="s">
        <v>73</v>
      </c>
      <c r="Y356" t="s">
        <v>73</v>
      </c>
      <c r="AA356" t="s">
        <v>73</v>
      </c>
      <c r="AB356" t="s">
        <v>73</v>
      </c>
      <c r="AF356">
        <v>440.47970766617533</v>
      </c>
      <c r="AG356">
        <v>7</v>
      </c>
      <c r="AH356">
        <v>15</v>
      </c>
      <c r="AI356">
        <v>344</v>
      </c>
      <c r="AJ356">
        <v>154.42189740686146</v>
      </c>
      <c r="AK356">
        <v>703</v>
      </c>
      <c r="AM356">
        <v>216.19065636960602</v>
      </c>
      <c r="AN356">
        <v>0</v>
      </c>
      <c r="AO356" t="s">
        <v>5807</v>
      </c>
      <c r="AP356" t="s">
        <v>1747</v>
      </c>
    </row>
    <row r="357" spans="1:42" x14ac:dyDescent="0.25">
      <c r="A357">
        <v>356</v>
      </c>
      <c r="B357" t="s">
        <v>798</v>
      </c>
      <c r="C357" t="s">
        <v>798</v>
      </c>
      <c r="D357" t="s">
        <v>799</v>
      </c>
      <c r="E357" t="s">
        <v>199</v>
      </c>
      <c r="F357" t="s">
        <v>200</v>
      </c>
      <c r="I357" t="s">
        <v>800</v>
      </c>
      <c r="J357" t="s">
        <v>411</v>
      </c>
      <c r="K357" t="s">
        <v>412</v>
      </c>
      <c r="L357" t="s">
        <v>5179</v>
      </c>
      <c r="M357" t="s">
        <v>5180</v>
      </c>
      <c r="O357" t="s">
        <v>801</v>
      </c>
      <c r="P357" t="s">
        <v>802</v>
      </c>
      <c r="Q357">
        <v>15</v>
      </c>
      <c r="R357" t="s">
        <v>2406</v>
      </c>
      <c r="S357" t="s">
        <v>2407</v>
      </c>
      <c r="T357">
        <v>1</v>
      </c>
      <c r="U357" t="s">
        <v>3137</v>
      </c>
      <c r="V357" t="s">
        <v>3136</v>
      </c>
      <c r="W357">
        <v>5</v>
      </c>
      <c r="X357" t="s">
        <v>2440</v>
      </c>
      <c r="Y357" t="s">
        <v>2441</v>
      </c>
      <c r="Z357">
        <v>2</v>
      </c>
      <c r="AA357" t="s">
        <v>73</v>
      </c>
      <c r="AB357" t="s">
        <v>73</v>
      </c>
      <c r="AE357" t="s">
        <v>803</v>
      </c>
      <c r="AF357">
        <v>440.36087045089573</v>
      </c>
      <c r="AG357">
        <v>8.4701986754967002</v>
      </c>
      <c r="AH357">
        <v>150</v>
      </c>
      <c r="AI357">
        <v>803</v>
      </c>
      <c r="AJ357">
        <v>57.612151862289707</v>
      </c>
      <c r="AK357">
        <v>877.01986754967004</v>
      </c>
      <c r="AL357">
        <v>2005</v>
      </c>
      <c r="AM357">
        <v>80.657012607205587</v>
      </c>
      <c r="AN357">
        <v>0</v>
      </c>
      <c r="AO357" t="s">
        <v>5808</v>
      </c>
      <c r="AP357" t="s">
        <v>799</v>
      </c>
    </row>
    <row r="358" spans="1:42" x14ac:dyDescent="0.25">
      <c r="A358">
        <v>357</v>
      </c>
      <c r="B358" t="s">
        <v>2048</v>
      </c>
      <c r="C358" t="s">
        <v>4085</v>
      </c>
      <c r="D358" t="s">
        <v>2049</v>
      </c>
      <c r="E358" t="s">
        <v>218</v>
      </c>
      <c r="F358" t="s">
        <v>219</v>
      </c>
      <c r="G358" t="s">
        <v>69</v>
      </c>
      <c r="H358" t="s">
        <v>70</v>
      </c>
      <c r="I358" t="s">
        <v>1751</v>
      </c>
      <c r="J358" t="s">
        <v>1752</v>
      </c>
      <c r="K358" t="s">
        <v>1753</v>
      </c>
      <c r="L358" t="s">
        <v>4968</v>
      </c>
      <c r="M358" t="s">
        <v>4969</v>
      </c>
      <c r="R358" t="s">
        <v>73</v>
      </c>
      <c r="S358" t="s">
        <v>73</v>
      </c>
      <c r="U358" t="s">
        <v>73</v>
      </c>
      <c r="V358" t="s">
        <v>73</v>
      </c>
      <c r="X358" t="s">
        <v>73</v>
      </c>
      <c r="Y358" t="s">
        <v>73</v>
      </c>
      <c r="AA358" t="s">
        <v>73</v>
      </c>
      <c r="AB358" t="s">
        <v>73</v>
      </c>
      <c r="AF358">
        <v>440.35266679565774</v>
      </c>
      <c r="AG358">
        <v>7.6363636363636003</v>
      </c>
      <c r="AH358">
        <v>10</v>
      </c>
      <c r="AI358">
        <v>505</v>
      </c>
      <c r="AJ358">
        <v>119.4827610860864</v>
      </c>
      <c r="AK358">
        <v>765.63636363635999</v>
      </c>
      <c r="AM358">
        <v>111.27586552052094</v>
      </c>
      <c r="AN358">
        <v>224</v>
      </c>
      <c r="AO358" t="s">
        <v>5809</v>
      </c>
      <c r="AP358" t="s">
        <v>2049</v>
      </c>
    </row>
    <row r="359" spans="1:42" x14ac:dyDescent="0.25">
      <c r="A359">
        <v>358</v>
      </c>
      <c r="B359" t="s">
        <v>832</v>
      </c>
      <c r="C359" t="s">
        <v>832</v>
      </c>
      <c r="D359" t="s">
        <v>2819</v>
      </c>
      <c r="E359" t="s">
        <v>91</v>
      </c>
      <c r="F359" t="s">
        <v>92</v>
      </c>
      <c r="G359" t="s">
        <v>93</v>
      </c>
      <c r="H359" t="s">
        <v>94</v>
      </c>
      <c r="I359" t="s">
        <v>2820</v>
      </c>
      <c r="J359" t="s">
        <v>3068</v>
      </c>
      <c r="K359" t="s">
        <v>3062</v>
      </c>
      <c r="L359" t="s">
        <v>4538</v>
      </c>
      <c r="M359" t="s">
        <v>4539</v>
      </c>
      <c r="O359" t="s">
        <v>2822</v>
      </c>
      <c r="P359" t="s">
        <v>2821</v>
      </c>
      <c r="Q359">
        <v>14</v>
      </c>
      <c r="R359" t="s">
        <v>2406</v>
      </c>
      <c r="S359" t="s">
        <v>2407</v>
      </c>
      <c r="T359">
        <v>1</v>
      </c>
      <c r="U359" t="s">
        <v>2432</v>
      </c>
      <c r="V359" t="s">
        <v>2433</v>
      </c>
      <c r="W359">
        <v>7</v>
      </c>
      <c r="X359" t="s">
        <v>2446</v>
      </c>
      <c r="Y359" t="s">
        <v>2447</v>
      </c>
      <c r="Z359">
        <v>4</v>
      </c>
      <c r="AA359" t="s">
        <v>73</v>
      </c>
      <c r="AB359" t="s">
        <v>73</v>
      </c>
      <c r="AC359" t="s">
        <v>2823</v>
      </c>
      <c r="AD359" t="s">
        <v>2823</v>
      </c>
      <c r="AF359">
        <v>440.30990170896058</v>
      </c>
      <c r="AG359">
        <v>7.6875</v>
      </c>
      <c r="AH359">
        <v>15</v>
      </c>
      <c r="AI359">
        <v>528</v>
      </c>
      <c r="AJ359">
        <v>116.03877967662288</v>
      </c>
      <c r="AK359">
        <v>771.75</v>
      </c>
      <c r="AM359">
        <v>106.45429154727202</v>
      </c>
      <c r="AN359">
        <v>224</v>
      </c>
      <c r="AO359" t="s">
        <v>5810</v>
      </c>
      <c r="AP359" t="s">
        <v>2819</v>
      </c>
    </row>
    <row r="360" spans="1:42" x14ac:dyDescent="0.25">
      <c r="A360">
        <v>359</v>
      </c>
      <c r="B360" t="s">
        <v>2899</v>
      </c>
      <c r="C360" t="s">
        <v>2899</v>
      </c>
      <c r="D360" t="s">
        <v>783</v>
      </c>
      <c r="E360" t="s">
        <v>630</v>
      </c>
      <c r="F360" t="s">
        <v>631</v>
      </c>
      <c r="G360" t="s">
        <v>60</v>
      </c>
      <c r="H360" t="s">
        <v>61</v>
      </c>
      <c r="R360" t="s">
        <v>73</v>
      </c>
      <c r="S360" t="s">
        <v>73</v>
      </c>
      <c r="U360" t="s">
        <v>73</v>
      </c>
      <c r="V360" t="s">
        <v>73</v>
      </c>
      <c r="X360" t="s">
        <v>73</v>
      </c>
      <c r="Y360" t="s">
        <v>73</v>
      </c>
      <c r="AA360" t="s">
        <v>73</v>
      </c>
      <c r="AB360" t="s">
        <v>73</v>
      </c>
      <c r="AF360">
        <v>439.98083321301715</v>
      </c>
      <c r="AG360">
        <v>7.1666666666666998</v>
      </c>
      <c r="AH360">
        <v>5</v>
      </c>
      <c r="AI360">
        <v>384</v>
      </c>
      <c r="AJ360">
        <v>145.71944431075798</v>
      </c>
      <c r="AK360">
        <v>717.66666666666993</v>
      </c>
      <c r="AM360">
        <v>92.007222035061133</v>
      </c>
      <c r="AN360">
        <v>448</v>
      </c>
      <c r="AO360" t="s">
        <v>5811</v>
      </c>
      <c r="AP360" t="s">
        <v>783</v>
      </c>
    </row>
    <row r="361" spans="1:42" x14ac:dyDescent="0.25">
      <c r="A361">
        <v>360</v>
      </c>
      <c r="B361" t="s">
        <v>1400</v>
      </c>
      <c r="C361" t="s">
        <v>1400</v>
      </c>
      <c r="D361" t="s">
        <v>3405</v>
      </c>
      <c r="E361" t="s">
        <v>351</v>
      </c>
      <c r="F361" t="s">
        <v>352</v>
      </c>
      <c r="G361" t="s">
        <v>257</v>
      </c>
      <c r="H361" t="s">
        <v>258</v>
      </c>
      <c r="I361" t="s">
        <v>1401</v>
      </c>
      <c r="J361" t="s">
        <v>480</v>
      </c>
      <c r="K361" t="s">
        <v>481</v>
      </c>
      <c r="L361">
        <v>50.933567945199997</v>
      </c>
      <c r="M361">
        <v>4.8322189191199998</v>
      </c>
      <c r="Q361">
        <v>13</v>
      </c>
      <c r="R361" t="s">
        <v>2414</v>
      </c>
      <c r="S361" t="s">
        <v>2415</v>
      </c>
      <c r="T361">
        <v>3</v>
      </c>
      <c r="U361" t="s">
        <v>2432</v>
      </c>
      <c r="V361" t="s">
        <v>2433</v>
      </c>
      <c r="W361">
        <v>7</v>
      </c>
      <c r="X361" t="s">
        <v>2440</v>
      </c>
      <c r="Y361" t="s">
        <v>2441</v>
      </c>
      <c r="Z361">
        <v>2</v>
      </c>
      <c r="AC361" t="s">
        <v>1402</v>
      </c>
      <c r="AD361" t="s">
        <v>1402</v>
      </c>
      <c r="AE361" t="s">
        <v>1403</v>
      </c>
      <c r="AF361">
        <v>439.87571934881271</v>
      </c>
      <c r="AG361">
        <v>7.75</v>
      </c>
      <c r="AH361">
        <v>83</v>
      </c>
      <c r="AI361">
        <v>572</v>
      </c>
      <c r="AJ361">
        <v>104.52857705423632</v>
      </c>
      <c r="AK361">
        <v>791.6</v>
      </c>
      <c r="AL361">
        <v>2004</v>
      </c>
      <c r="AM361">
        <v>146.34000787593084</v>
      </c>
      <c r="AN361">
        <v>0</v>
      </c>
      <c r="AO361" t="s">
        <v>5812</v>
      </c>
      <c r="AP361" t="s">
        <v>3405</v>
      </c>
    </row>
    <row r="362" spans="1:42" x14ac:dyDescent="0.25">
      <c r="A362">
        <v>361</v>
      </c>
      <c r="B362" t="s">
        <v>2191</v>
      </c>
      <c r="C362" t="s">
        <v>2191</v>
      </c>
      <c r="D362" t="s">
        <v>2192</v>
      </c>
      <c r="E362" t="s">
        <v>282</v>
      </c>
      <c r="F362" t="s">
        <v>283</v>
      </c>
      <c r="G362" t="s">
        <v>3167</v>
      </c>
      <c r="H362" t="s">
        <v>3166</v>
      </c>
      <c r="I362" t="s">
        <v>2193</v>
      </c>
      <c r="J362" t="s">
        <v>518</v>
      </c>
      <c r="K362" t="s">
        <v>519</v>
      </c>
      <c r="O362" t="s">
        <v>2657</v>
      </c>
      <c r="P362" t="s">
        <v>2657</v>
      </c>
      <c r="Q362">
        <v>12</v>
      </c>
      <c r="R362" t="s">
        <v>2409</v>
      </c>
      <c r="S362" t="s">
        <v>2410</v>
      </c>
      <c r="T362">
        <v>2</v>
      </c>
      <c r="U362" t="s">
        <v>2430</v>
      </c>
      <c r="V362" t="s">
        <v>2431</v>
      </c>
      <c r="W362">
        <v>6</v>
      </c>
      <c r="X362" t="s">
        <v>2446</v>
      </c>
      <c r="Y362" t="s">
        <v>2447</v>
      </c>
      <c r="Z362">
        <v>4</v>
      </c>
      <c r="AA362" t="s">
        <v>2194</v>
      </c>
      <c r="AB362" t="s">
        <v>2194</v>
      </c>
      <c r="AF362">
        <v>439.5877621161236</v>
      </c>
      <c r="AG362">
        <v>6.48</v>
      </c>
      <c r="AH362">
        <v>24</v>
      </c>
      <c r="AI362">
        <v>266</v>
      </c>
      <c r="AJ362">
        <v>181.31973568458179</v>
      </c>
      <c r="AK362">
        <v>652.79999999999995</v>
      </c>
      <c r="AM362">
        <v>197.8476299584145</v>
      </c>
      <c r="AN362">
        <v>224</v>
      </c>
      <c r="AO362" t="s">
        <v>5813</v>
      </c>
      <c r="AP362" t="s">
        <v>2192</v>
      </c>
    </row>
    <row r="363" spans="1:42" x14ac:dyDescent="0.25">
      <c r="A363">
        <v>362</v>
      </c>
      <c r="B363" t="s">
        <v>1329</v>
      </c>
      <c r="C363" t="s">
        <v>1329</v>
      </c>
      <c r="D363" t="s">
        <v>1330</v>
      </c>
      <c r="E363" t="s">
        <v>282</v>
      </c>
      <c r="F363" t="s">
        <v>283</v>
      </c>
      <c r="G363" t="s">
        <v>3167</v>
      </c>
      <c r="H363" t="s">
        <v>3166</v>
      </c>
      <c r="I363" t="s">
        <v>1139</v>
      </c>
      <c r="J363" t="s">
        <v>368</v>
      </c>
      <c r="K363" t="s">
        <v>369</v>
      </c>
      <c r="R363" t="s">
        <v>73</v>
      </c>
      <c r="S363" t="s">
        <v>73</v>
      </c>
      <c r="U363" t="s">
        <v>73</v>
      </c>
      <c r="V363" t="s">
        <v>73</v>
      </c>
      <c r="X363" t="s">
        <v>2446</v>
      </c>
      <c r="Y363" t="s">
        <v>2447</v>
      </c>
      <c r="Z363">
        <v>4</v>
      </c>
      <c r="AA363" t="s">
        <v>73</v>
      </c>
      <c r="AB363" t="s">
        <v>73</v>
      </c>
      <c r="AF363">
        <v>439.42187302808168</v>
      </c>
      <c r="AG363">
        <v>5.0689655172414003</v>
      </c>
      <c r="AH363">
        <v>28</v>
      </c>
      <c r="AI363">
        <v>133</v>
      </c>
      <c r="AJ363">
        <v>259.08177462890188</v>
      </c>
      <c r="AK363">
        <v>512.49655172413998</v>
      </c>
      <c r="AL363">
        <v>2009</v>
      </c>
      <c r="AM363">
        <v>306.7144844804626</v>
      </c>
      <c r="AN363">
        <v>224</v>
      </c>
      <c r="AO363" t="s">
        <v>5814</v>
      </c>
      <c r="AP363" t="s">
        <v>1330</v>
      </c>
    </row>
    <row r="364" spans="1:42" x14ac:dyDescent="0.25">
      <c r="A364">
        <v>363</v>
      </c>
      <c r="B364" t="s">
        <v>1015</v>
      </c>
      <c r="C364" t="s">
        <v>1015</v>
      </c>
      <c r="D364" t="s">
        <v>1016</v>
      </c>
      <c r="E364" t="s">
        <v>595</v>
      </c>
      <c r="F364" t="s">
        <v>596</v>
      </c>
      <c r="G364" t="s">
        <v>3167</v>
      </c>
      <c r="H364" t="s">
        <v>3166</v>
      </c>
      <c r="I364" t="s">
        <v>917</v>
      </c>
      <c r="J364" t="s">
        <v>625</v>
      </c>
      <c r="K364" t="s">
        <v>626</v>
      </c>
      <c r="O364" t="s">
        <v>1017</v>
      </c>
      <c r="P364" t="s">
        <v>1017</v>
      </c>
      <c r="R364" t="s">
        <v>73</v>
      </c>
      <c r="S364" t="s">
        <v>73</v>
      </c>
      <c r="U364" t="s">
        <v>73</v>
      </c>
      <c r="V364" t="s">
        <v>73</v>
      </c>
      <c r="X364" t="s">
        <v>73</v>
      </c>
      <c r="Y364" t="s">
        <v>73</v>
      </c>
      <c r="AA364" t="s">
        <v>73</v>
      </c>
      <c r="AB364" t="s">
        <v>73</v>
      </c>
      <c r="AF364">
        <v>439.16959259126793</v>
      </c>
      <c r="AG364">
        <v>6.8571428571429003</v>
      </c>
      <c r="AH364">
        <v>6</v>
      </c>
      <c r="AI364">
        <v>318</v>
      </c>
      <c r="AJ364">
        <v>161.9027219268032</v>
      </c>
      <c r="AK364">
        <v>686.91428571429003</v>
      </c>
      <c r="AM364">
        <v>170.66381069752447</v>
      </c>
      <c r="AN364">
        <v>224</v>
      </c>
      <c r="AO364" t="s">
        <v>5815</v>
      </c>
      <c r="AP364" t="s">
        <v>1016</v>
      </c>
    </row>
    <row r="365" spans="1:42" x14ac:dyDescent="0.25">
      <c r="A365">
        <v>364</v>
      </c>
      <c r="B365" t="s">
        <v>964</v>
      </c>
      <c r="C365" t="s">
        <v>964</v>
      </c>
      <c r="D365" t="s">
        <v>965</v>
      </c>
      <c r="E365" t="s">
        <v>595</v>
      </c>
      <c r="F365" t="s">
        <v>596</v>
      </c>
      <c r="G365" t="s">
        <v>3167</v>
      </c>
      <c r="H365" t="s">
        <v>3166</v>
      </c>
      <c r="I365" t="s">
        <v>597</v>
      </c>
      <c r="J365" t="s">
        <v>598</v>
      </c>
      <c r="K365" t="s">
        <v>599</v>
      </c>
      <c r="R365" t="s">
        <v>73</v>
      </c>
      <c r="S365" t="s">
        <v>73</v>
      </c>
      <c r="U365" t="s">
        <v>73</v>
      </c>
      <c r="V365" t="s">
        <v>73</v>
      </c>
      <c r="X365" t="s">
        <v>73</v>
      </c>
      <c r="Y365" t="s">
        <v>73</v>
      </c>
      <c r="AA365" t="s">
        <v>73</v>
      </c>
      <c r="AB365" t="s">
        <v>73</v>
      </c>
      <c r="AF365">
        <v>438.3394283396849</v>
      </c>
      <c r="AG365">
        <v>7.7083333333333002</v>
      </c>
      <c r="AH365">
        <v>23</v>
      </c>
      <c r="AI365">
        <v>550</v>
      </c>
      <c r="AJ365">
        <v>111.80306852557763</v>
      </c>
      <c r="AK365">
        <v>775.4333333333301</v>
      </c>
      <c r="AM365">
        <v>100.52429593580868</v>
      </c>
      <c r="AN365">
        <v>224</v>
      </c>
      <c r="AO365" t="s">
        <v>5816</v>
      </c>
      <c r="AP365" t="s">
        <v>965</v>
      </c>
    </row>
    <row r="366" spans="1:42" x14ac:dyDescent="0.25">
      <c r="A366">
        <v>365</v>
      </c>
      <c r="B366" t="s">
        <v>677</v>
      </c>
      <c r="C366" t="s">
        <v>677</v>
      </c>
      <c r="D366" t="s">
        <v>678</v>
      </c>
      <c r="E366" t="s">
        <v>218</v>
      </c>
      <c r="F366" t="s">
        <v>219</v>
      </c>
      <c r="G366" t="s">
        <v>69</v>
      </c>
      <c r="H366" t="s">
        <v>70</v>
      </c>
      <c r="I366" t="s">
        <v>679</v>
      </c>
      <c r="J366" t="s">
        <v>679</v>
      </c>
      <c r="K366" t="s">
        <v>680</v>
      </c>
      <c r="L366" t="s">
        <v>4962</v>
      </c>
      <c r="M366" t="s">
        <v>4963</v>
      </c>
      <c r="R366" t="s">
        <v>73</v>
      </c>
      <c r="S366" t="s">
        <v>73</v>
      </c>
      <c r="U366" t="s">
        <v>73</v>
      </c>
      <c r="V366" t="s">
        <v>73</v>
      </c>
      <c r="X366" t="s">
        <v>73</v>
      </c>
      <c r="Y366" t="s">
        <v>73</v>
      </c>
      <c r="AA366" t="s">
        <v>73</v>
      </c>
      <c r="AB366" t="s">
        <v>73</v>
      </c>
      <c r="AF366">
        <v>437.76116656239122</v>
      </c>
      <c r="AG366">
        <v>8</v>
      </c>
      <c r="AH366">
        <v>5</v>
      </c>
      <c r="AI366">
        <v>604</v>
      </c>
      <c r="AJ366">
        <v>96.956851735990242</v>
      </c>
      <c r="AK366">
        <v>801</v>
      </c>
      <c r="AM366">
        <v>79.739592430386324</v>
      </c>
      <c r="AN366">
        <v>224</v>
      </c>
      <c r="AO366" t="s">
        <v>5817</v>
      </c>
      <c r="AP366" t="s">
        <v>678</v>
      </c>
    </row>
    <row r="367" spans="1:42" x14ac:dyDescent="0.25">
      <c r="A367">
        <v>366</v>
      </c>
      <c r="B367" t="s">
        <v>1026</v>
      </c>
      <c r="C367" t="s">
        <v>1026</v>
      </c>
      <c r="D367" t="s">
        <v>1027</v>
      </c>
      <c r="E367" t="s">
        <v>3169</v>
      </c>
      <c r="F367" t="s">
        <v>379</v>
      </c>
      <c r="G367" t="s">
        <v>162</v>
      </c>
      <c r="H367" t="s">
        <v>163</v>
      </c>
      <c r="J367" t="s">
        <v>388</v>
      </c>
      <c r="K367" t="s">
        <v>389</v>
      </c>
      <c r="R367" t="s">
        <v>73</v>
      </c>
      <c r="S367" t="s">
        <v>73</v>
      </c>
      <c r="U367" t="s">
        <v>73</v>
      </c>
      <c r="V367" t="s">
        <v>73</v>
      </c>
      <c r="X367" t="s">
        <v>73</v>
      </c>
      <c r="Y367" t="s">
        <v>73</v>
      </c>
      <c r="AF367">
        <v>437.45064588179378</v>
      </c>
      <c r="AG367">
        <v>7.5714285714285996</v>
      </c>
      <c r="AH367">
        <v>6</v>
      </c>
      <c r="AI367">
        <v>499</v>
      </c>
      <c r="AJ367">
        <v>120.31024145595975</v>
      </c>
      <c r="AK367">
        <v>758.34285714286</v>
      </c>
      <c r="AM367">
        <v>62.434338038343633</v>
      </c>
      <c r="AN367">
        <v>424</v>
      </c>
      <c r="AO367" t="s">
        <v>5818</v>
      </c>
      <c r="AP367" t="s">
        <v>1027</v>
      </c>
    </row>
    <row r="368" spans="1:42" x14ac:dyDescent="0.25">
      <c r="A368">
        <v>367</v>
      </c>
      <c r="B368" t="s">
        <v>3395</v>
      </c>
      <c r="C368" t="s">
        <v>3395</v>
      </c>
      <c r="D368" t="s">
        <v>3703</v>
      </c>
      <c r="E368" t="s">
        <v>183</v>
      </c>
      <c r="F368" t="s">
        <v>184</v>
      </c>
      <c r="G368" t="s">
        <v>158</v>
      </c>
      <c r="H368" t="s">
        <v>159</v>
      </c>
      <c r="I368" t="s">
        <v>3406</v>
      </c>
      <c r="J368" t="s">
        <v>185</v>
      </c>
      <c r="K368" t="s">
        <v>3021</v>
      </c>
      <c r="R368" t="s">
        <v>73</v>
      </c>
      <c r="S368" t="s">
        <v>73</v>
      </c>
      <c r="U368" t="s">
        <v>73</v>
      </c>
      <c r="V368" t="s">
        <v>73</v>
      </c>
      <c r="X368" t="s">
        <v>73</v>
      </c>
      <c r="Y368" t="s">
        <v>73</v>
      </c>
      <c r="AA368" t="s">
        <v>73</v>
      </c>
      <c r="AB368" t="s">
        <v>73</v>
      </c>
      <c r="AF368">
        <v>437.21732597836166</v>
      </c>
      <c r="AG368">
        <v>7.3</v>
      </c>
      <c r="AH368">
        <v>9</v>
      </c>
      <c r="AI368">
        <v>439</v>
      </c>
      <c r="AJ368">
        <v>134.79702886484631</v>
      </c>
      <c r="AK368">
        <v>731.8</v>
      </c>
      <c r="AM368">
        <v>188.71584041078481</v>
      </c>
      <c r="AN368">
        <v>0</v>
      </c>
      <c r="AO368" t="s">
        <v>5819</v>
      </c>
      <c r="AP368" t="s">
        <v>3703</v>
      </c>
    </row>
    <row r="369" spans="1:42" x14ac:dyDescent="0.25">
      <c r="A369">
        <v>368</v>
      </c>
      <c r="B369" t="s">
        <v>1905</v>
      </c>
      <c r="C369" t="s">
        <v>4066</v>
      </c>
      <c r="D369" t="s">
        <v>3819</v>
      </c>
      <c r="E369" t="s">
        <v>199</v>
      </c>
      <c r="F369" t="s">
        <v>200</v>
      </c>
      <c r="G369" t="s">
        <v>139</v>
      </c>
      <c r="H369" t="s">
        <v>140</v>
      </c>
      <c r="I369" t="s">
        <v>1906</v>
      </c>
      <c r="J369" t="s">
        <v>326</v>
      </c>
      <c r="K369" t="s">
        <v>327</v>
      </c>
      <c r="L369" t="s">
        <v>4753</v>
      </c>
      <c r="M369" t="s">
        <v>4754</v>
      </c>
      <c r="R369" t="s">
        <v>73</v>
      </c>
      <c r="S369" t="s">
        <v>73</v>
      </c>
      <c r="U369" t="s">
        <v>73</v>
      </c>
      <c r="V369" t="s">
        <v>73</v>
      </c>
      <c r="X369" t="s">
        <v>73</v>
      </c>
      <c r="Y369" t="s">
        <v>73</v>
      </c>
      <c r="AA369" t="s">
        <v>3821</v>
      </c>
      <c r="AB369" t="s">
        <v>3820</v>
      </c>
      <c r="AF369">
        <v>436.81901331597464</v>
      </c>
      <c r="AG369">
        <v>6.8</v>
      </c>
      <c r="AH369">
        <v>9</v>
      </c>
      <c r="AI369">
        <v>316</v>
      </c>
      <c r="AJ369">
        <v>162.13223701774959</v>
      </c>
      <c r="AK369">
        <v>681.8</v>
      </c>
      <c r="AM369">
        <v>226.98513182484942</v>
      </c>
      <c r="AN369">
        <v>0</v>
      </c>
      <c r="AO369" t="s">
        <v>5820</v>
      </c>
      <c r="AP369" t="s">
        <v>3819</v>
      </c>
    </row>
    <row r="370" spans="1:42" x14ac:dyDescent="0.25">
      <c r="A370">
        <v>369</v>
      </c>
      <c r="B370" t="s">
        <v>833</v>
      </c>
      <c r="C370" t="s">
        <v>833</v>
      </c>
      <c r="D370" t="s">
        <v>834</v>
      </c>
      <c r="E370" t="s">
        <v>183</v>
      </c>
      <c r="F370" t="s">
        <v>184</v>
      </c>
      <c r="G370" t="s">
        <v>158</v>
      </c>
      <c r="H370" t="s">
        <v>159</v>
      </c>
      <c r="I370" t="s">
        <v>3018</v>
      </c>
      <c r="J370" t="s">
        <v>663</v>
      </c>
      <c r="K370" t="s">
        <v>664</v>
      </c>
      <c r="R370" t="s">
        <v>2406</v>
      </c>
      <c r="S370" t="s">
        <v>2407</v>
      </c>
      <c r="T370">
        <v>1</v>
      </c>
      <c r="U370" t="s">
        <v>73</v>
      </c>
      <c r="V370" t="s">
        <v>73</v>
      </c>
      <c r="X370" t="s">
        <v>73</v>
      </c>
      <c r="Y370" t="s">
        <v>73</v>
      </c>
      <c r="AF370">
        <v>436.49820856347981</v>
      </c>
      <c r="AG370">
        <v>7.3076923076923004</v>
      </c>
      <c r="AH370">
        <v>12</v>
      </c>
      <c r="AI370">
        <v>446</v>
      </c>
      <c r="AJ370">
        <v>133.2373257542942</v>
      </c>
      <c r="AK370">
        <v>733.16923076923001</v>
      </c>
      <c r="AM370">
        <v>186.53225605601187</v>
      </c>
      <c r="AN370">
        <v>0</v>
      </c>
      <c r="AO370" t="s">
        <v>5821</v>
      </c>
      <c r="AP370" t="s">
        <v>834</v>
      </c>
    </row>
    <row r="371" spans="1:42" x14ac:dyDescent="0.25">
      <c r="A371">
        <v>370</v>
      </c>
      <c r="B371" t="s">
        <v>2168</v>
      </c>
      <c r="C371" t="s">
        <v>2168</v>
      </c>
      <c r="D371" t="s">
        <v>2169</v>
      </c>
      <c r="E371" t="s">
        <v>2170</v>
      </c>
      <c r="F371" t="s">
        <v>2171</v>
      </c>
      <c r="G371" t="s">
        <v>60</v>
      </c>
      <c r="H371" t="s">
        <v>61</v>
      </c>
      <c r="I371" t="s">
        <v>2169</v>
      </c>
      <c r="L371" t="s">
        <v>4855</v>
      </c>
      <c r="M371" t="s">
        <v>4856</v>
      </c>
      <c r="R371" t="s">
        <v>73</v>
      </c>
      <c r="S371" t="s">
        <v>73</v>
      </c>
      <c r="U371" t="s">
        <v>73</v>
      </c>
      <c r="V371" t="s">
        <v>73</v>
      </c>
      <c r="X371" t="s">
        <v>73</v>
      </c>
      <c r="Y371" t="s">
        <v>73</v>
      </c>
      <c r="AA371" t="s">
        <v>73</v>
      </c>
      <c r="AB371" t="s">
        <v>73</v>
      </c>
      <c r="AF371">
        <v>436.15053164893504</v>
      </c>
      <c r="AG371">
        <v>7.4</v>
      </c>
      <c r="AH371">
        <v>14</v>
      </c>
      <c r="AI371">
        <v>467</v>
      </c>
      <c r="AJ371">
        <v>127.50059072103893</v>
      </c>
      <c r="AK371">
        <v>742.8</v>
      </c>
      <c r="AM371">
        <v>66.500827009454511</v>
      </c>
      <c r="AN371">
        <v>448</v>
      </c>
      <c r="AO371" t="s">
        <v>5822</v>
      </c>
      <c r="AP371" t="s">
        <v>2169</v>
      </c>
    </row>
    <row r="372" spans="1:42" x14ac:dyDescent="0.25">
      <c r="A372">
        <v>371</v>
      </c>
      <c r="B372" t="s">
        <v>3475</v>
      </c>
      <c r="C372" t="s">
        <v>3475</v>
      </c>
      <c r="D372" t="s">
        <v>3640</v>
      </c>
      <c r="E372" t="s">
        <v>666</v>
      </c>
      <c r="F372" t="s">
        <v>667</v>
      </c>
      <c r="G372" t="s">
        <v>60</v>
      </c>
      <c r="H372" t="s">
        <v>61</v>
      </c>
      <c r="I372" t="s">
        <v>3661</v>
      </c>
      <c r="J372" t="s">
        <v>3629</v>
      </c>
      <c r="K372" t="s">
        <v>3630</v>
      </c>
      <c r="L372" t="s">
        <v>4444</v>
      </c>
      <c r="M372" t="s">
        <v>4446</v>
      </c>
      <c r="Q372">
        <v>14</v>
      </c>
      <c r="R372" t="s">
        <v>2420</v>
      </c>
      <c r="S372" t="s">
        <v>2421</v>
      </c>
      <c r="T372">
        <v>5</v>
      </c>
      <c r="U372" t="s">
        <v>3137</v>
      </c>
      <c r="V372" t="s">
        <v>3136</v>
      </c>
      <c r="W372">
        <v>5</v>
      </c>
      <c r="X372" t="s">
        <v>2440</v>
      </c>
      <c r="Y372" t="s">
        <v>2441</v>
      </c>
      <c r="Z372">
        <v>2</v>
      </c>
      <c r="AA372" t="s">
        <v>73</v>
      </c>
      <c r="AB372" t="s">
        <v>73</v>
      </c>
      <c r="AF372">
        <v>435.9270099028098</v>
      </c>
      <c r="AG372">
        <v>6.2857142857142998</v>
      </c>
      <c r="AH372">
        <v>6</v>
      </c>
      <c r="AI372">
        <v>239</v>
      </c>
      <c r="AJ372">
        <v>190.0458840189942</v>
      </c>
      <c r="AK372">
        <v>629.77142857143008</v>
      </c>
      <c r="AM372">
        <v>182.06423762659188</v>
      </c>
      <c r="AN372">
        <v>336</v>
      </c>
      <c r="AO372" t="s">
        <v>5823</v>
      </c>
      <c r="AP372" t="s">
        <v>3640</v>
      </c>
    </row>
    <row r="373" spans="1:42" x14ac:dyDescent="0.25">
      <c r="A373">
        <v>372</v>
      </c>
      <c r="B373" t="s">
        <v>3780</v>
      </c>
      <c r="C373" t="s">
        <v>3780</v>
      </c>
      <c r="D373" t="s">
        <v>3927</v>
      </c>
      <c r="E373" t="s">
        <v>137</v>
      </c>
      <c r="F373" t="s">
        <v>138</v>
      </c>
      <c r="G373" t="s">
        <v>139</v>
      </c>
      <c r="H373" t="s">
        <v>140</v>
      </c>
      <c r="I373" t="s">
        <v>3784</v>
      </c>
      <c r="J373" t="s">
        <v>651</v>
      </c>
      <c r="K373" t="s">
        <v>652</v>
      </c>
      <c r="L373" t="s">
        <v>4664</v>
      </c>
      <c r="M373" t="s">
        <v>4665</v>
      </c>
      <c r="Q373">
        <v>12</v>
      </c>
      <c r="R373" t="s">
        <v>2409</v>
      </c>
      <c r="S373" t="s">
        <v>2410</v>
      </c>
      <c r="T373">
        <v>2</v>
      </c>
      <c r="U373" t="s">
        <v>2430</v>
      </c>
      <c r="V373" t="s">
        <v>2431</v>
      </c>
      <c r="W373">
        <v>6</v>
      </c>
      <c r="X373" t="s">
        <v>2440</v>
      </c>
      <c r="Y373" t="s">
        <v>2441</v>
      </c>
      <c r="Z373">
        <v>2</v>
      </c>
      <c r="AA373" t="s">
        <v>73</v>
      </c>
      <c r="AB373" t="s">
        <v>73</v>
      </c>
      <c r="AE373" t="s">
        <v>3926</v>
      </c>
      <c r="AF373">
        <v>435.30606168308827</v>
      </c>
      <c r="AG373">
        <v>7.4444444444444002</v>
      </c>
      <c r="AH373">
        <v>8</v>
      </c>
      <c r="AI373">
        <v>484</v>
      </c>
      <c r="AJ373">
        <v>124.75982162318695</v>
      </c>
      <c r="AK373">
        <v>746.04444444444005</v>
      </c>
      <c r="AM373">
        <v>174.66375027246173</v>
      </c>
      <c r="AN373">
        <v>0</v>
      </c>
      <c r="AO373" t="s">
        <v>5824</v>
      </c>
      <c r="AP373" t="s">
        <v>3927</v>
      </c>
    </row>
    <row r="374" spans="1:42" x14ac:dyDescent="0.25">
      <c r="A374">
        <v>373</v>
      </c>
      <c r="B374" t="s">
        <v>701</v>
      </c>
      <c r="C374" t="s">
        <v>701</v>
      </c>
      <c r="D374" t="s">
        <v>702</v>
      </c>
      <c r="E374" t="s">
        <v>199</v>
      </c>
      <c r="F374" t="s">
        <v>200</v>
      </c>
      <c r="I374" t="s">
        <v>703</v>
      </c>
      <c r="J374" t="s">
        <v>360</v>
      </c>
      <c r="K374" t="s">
        <v>361</v>
      </c>
      <c r="L374" t="s">
        <v>4558</v>
      </c>
      <c r="M374" t="s">
        <v>4559</v>
      </c>
      <c r="R374" t="s">
        <v>2420</v>
      </c>
      <c r="S374" t="s">
        <v>2421</v>
      </c>
      <c r="T374">
        <v>5</v>
      </c>
      <c r="U374" t="s">
        <v>2430</v>
      </c>
      <c r="V374" t="s">
        <v>2431</v>
      </c>
      <c r="W374">
        <v>6</v>
      </c>
      <c r="X374" t="s">
        <v>2446</v>
      </c>
      <c r="Y374" t="s">
        <v>2447</v>
      </c>
      <c r="Z374">
        <v>4</v>
      </c>
      <c r="AA374" t="s">
        <v>73</v>
      </c>
      <c r="AB374" t="s">
        <v>73</v>
      </c>
      <c r="AE374" t="s">
        <v>704</v>
      </c>
      <c r="AF374">
        <v>435.23638131030668</v>
      </c>
      <c r="AG374">
        <v>7.0357142857142998</v>
      </c>
      <c r="AH374">
        <v>27</v>
      </c>
      <c r="AI374">
        <v>389</v>
      </c>
      <c r="AJ374">
        <v>145.27851891621293</v>
      </c>
      <c r="AK374">
        <v>708.97142857143001</v>
      </c>
      <c r="AL374">
        <v>2005</v>
      </c>
      <c r="AM374">
        <v>203.38992648269809</v>
      </c>
      <c r="AN374">
        <v>0</v>
      </c>
      <c r="AO374" t="s">
        <v>5825</v>
      </c>
      <c r="AP374" t="s">
        <v>702</v>
      </c>
    </row>
    <row r="375" spans="1:42" x14ac:dyDescent="0.25">
      <c r="A375">
        <v>374</v>
      </c>
      <c r="B375" t="s">
        <v>3361</v>
      </c>
      <c r="C375" t="s">
        <v>3361</v>
      </c>
      <c r="D375" t="s">
        <v>4859</v>
      </c>
      <c r="E375" t="s">
        <v>4858</v>
      </c>
      <c r="F375" t="s">
        <v>4857</v>
      </c>
      <c r="G375" t="s">
        <v>60</v>
      </c>
      <c r="H375" t="s">
        <v>61</v>
      </c>
      <c r="I375" t="s">
        <v>3362</v>
      </c>
      <c r="L375" t="s">
        <v>4853</v>
      </c>
      <c r="M375" t="s">
        <v>4854</v>
      </c>
      <c r="R375" t="s">
        <v>2420</v>
      </c>
      <c r="S375" t="s">
        <v>2421</v>
      </c>
      <c r="T375">
        <v>5</v>
      </c>
      <c r="U375" t="s">
        <v>73</v>
      </c>
      <c r="V375" t="s">
        <v>73</v>
      </c>
      <c r="X375" t="s">
        <v>73</v>
      </c>
      <c r="Y375" t="s">
        <v>73</v>
      </c>
      <c r="AA375" t="s">
        <v>73</v>
      </c>
      <c r="AB375" t="s">
        <v>73</v>
      </c>
      <c r="AF375">
        <v>434.91513535822037</v>
      </c>
      <c r="AG375">
        <v>7.2</v>
      </c>
      <c r="AH375">
        <v>4</v>
      </c>
      <c r="AI375">
        <v>422</v>
      </c>
      <c r="AJ375">
        <v>138.35015039802269</v>
      </c>
      <c r="AK375">
        <v>720.8</v>
      </c>
      <c r="AM375">
        <v>81.690210557231737</v>
      </c>
      <c r="AN375">
        <v>448</v>
      </c>
      <c r="AO375" t="s">
        <v>5826</v>
      </c>
      <c r="AP375" t="s">
        <v>4859</v>
      </c>
    </row>
    <row r="376" spans="1:42" x14ac:dyDescent="0.25">
      <c r="A376">
        <v>375</v>
      </c>
      <c r="B376" t="s">
        <v>346</v>
      </c>
      <c r="C376" t="s">
        <v>346</v>
      </c>
      <c r="D376" t="s">
        <v>347</v>
      </c>
      <c r="E376" t="s">
        <v>218</v>
      </c>
      <c r="F376" t="s">
        <v>219</v>
      </c>
      <c r="G376" t="s">
        <v>69</v>
      </c>
      <c r="H376" t="s">
        <v>70</v>
      </c>
      <c r="I376" t="s">
        <v>348</v>
      </c>
      <c r="J376" t="s">
        <v>241</v>
      </c>
      <c r="K376" t="s">
        <v>242</v>
      </c>
      <c r="L376" t="s">
        <v>4897</v>
      </c>
      <c r="M376">
        <v>-4.5636390000000002</v>
      </c>
      <c r="R376" t="s">
        <v>2420</v>
      </c>
      <c r="S376" t="s">
        <v>2421</v>
      </c>
      <c r="T376">
        <v>5</v>
      </c>
      <c r="U376" t="s">
        <v>73</v>
      </c>
      <c r="V376" t="s">
        <v>73</v>
      </c>
      <c r="X376" t="s">
        <v>73</v>
      </c>
      <c r="Y376" t="s">
        <v>73</v>
      </c>
      <c r="AA376" t="s">
        <v>73</v>
      </c>
      <c r="AB376" t="s">
        <v>73</v>
      </c>
      <c r="AF376">
        <v>434.90347155364054</v>
      </c>
      <c r="AG376">
        <v>7.25</v>
      </c>
      <c r="AH376">
        <v>7</v>
      </c>
      <c r="AI376">
        <v>438</v>
      </c>
      <c r="AJ376">
        <v>135.22607950404506</v>
      </c>
      <c r="AK376">
        <v>726.4</v>
      </c>
      <c r="AM376">
        <v>133.31651130566308</v>
      </c>
      <c r="AN376">
        <v>224</v>
      </c>
      <c r="AO376" t="s">
        <v>5827</v>
      </c>
      <c r="AP376" t="s">
        <v>347</v>
      </c>
    </row>
    <row r="377" spans="1:42" x14ac:dyDescent="0.25">
      <c r="A377">
        <v>376</v>
      </c>
      <c r="B377" t="s">
        <v>1550</v>
      </c>
      <c r="C377" t="s">
        <v>1550</v>
      </c>
      <c r="D377" t="s">
        <v>2537</v>
      </c>
      <c r="E377" t="s">
        <v>595</v>
      </c>
      <c r="F377" t="s">
        <v>596</v>
      </c>
      <c r="G377" t="s">
        <v>3167</v>
      </c>
      <c r="H377" t="s">
        <v>3166</v>
      </c>
      <c r="I377" t="s">
        <v>597</v>
      </c>
      <c r="J377" t="s">
        <v>598</v>
      </c>
      <c r="K377" t="s">
        <v>599</v>
      </c>
      <c r="R377" t="s">
        <v>73</v>
      </c>
      <c r="S377" t="s">
        <v>73</v>
      </c>
      <c r="U377" t="s">
        <v>73</v>
      </c>
      <c r="V377" t="s">
        <v>73</v>
      </c>
      <c r="X377" t="s">
        <v>73</v>
      </c>
      <c r="Y377" t="s">
        <v>73</v>
      </c>
      <c r="AA377" t="s">
        <v>73</v>
      </c>
      <c r="AB377" t="s">
        <v>73</v>
      </c>
      <c r="AF377">
        <v>434.85627736483639</v>
      </c>
      <c r="AG377">
        <v>6.625</v>
      </c>
      <c r="AH377">
        <v>15</v>
      </c>
      <c r="AI377">
        <v>299</v>
      </c>
      <c r="AJ377">
        <v>169.00697484981819</v>
      </c>
      <c r="AK377">
        <v>665.5</v>
      </c>
      <c r="AM377">
        <v>180.60976478974544</v>
      </c>
      <c r="AN377">
        <v>224</v>
      </c>
      <c r="AO377" t="s">
        <v>5828</v>
      </c>
      <c r="AP377" t="s">
        <v>2537</v>
      </c>
    </row>
    <row r="378" spans="1:42" x14ac:dyDescent="0.25">
      <c r="A378">
        <v>377</v>
      </c>
      <c r="B378" t="s">
        <v>1842</v>
      </c>
      <c r="C378" t="s">
        <v>1842</v>
      </c>
      <c r="D378" t="s">
        <v>1843</v>
      </c>
      <c r="E378" t="s">
        <v>199</v>
      </c>
      <c r="F378" t="s">
        <v>200</v>
      </c>
      <c r="I378" t="s">
        <v>3362</v>
      </c>
      <c r="J378" t="s">
        <v>202</v>
      </c>
      <c r="K378" t="s">
        <v>203</v>
      </c>
      <c r="L378" t="s">
        <v>5050</v>
      </c>
      <c r="M378" t="s">
        <v>5051</v>
      </c>
      <c r="R378" t="s">
        <v>73</v>
      </c>
      <c r="S378" t="s">
        <v>73</v>
      </c>
      <c r="U378" t="s">
        <v>73</v>
      </c>
      <c r="V378" t="s">
        <v>73</v>
      </c>
      <c r="X378" t="s">
        <v>73</v>
      </c>
      <c r="Y378" t="s">
        <v>73</v>
      </c>
      <c r="AA378" t="s">
        <v>73</v>
      </c>
      <c r="AB378" t="s">
        <v>73</v>
      </c>
      <c r="AE378" t="s">
        <v>5052</v>
      </c>
      <c r="AF378">
        <v>434.67421081277536</v>
      </c>
      <c r="AG378">
        <v>8.16</v>
      </c>
      <c r="AH378">
        <v>24</v>
      </c>
      <c r="AI378">
        <v>659</v>
      </c>
      <c r="AJ378">
        <v>82.526900903083742</v>
      </c>
      <c r="AK378">
        <v>820.8</v>
      </c>
      <c r="AL378">
        <v>2011</v>
      </c>
      <c r="AM378">
        <v>115.53766126431724</v>
      </c>
      <c r="AN378">
        <v>0</v>
      </c>
      <c r="AO378" t="s">
        <v>5829</v>
      </c>
      <c r="AP378" t="s">
        <v>1843</v>
      </c>
    </row>
    <row r="379" spans="1:42" x14ac:dyDescent="0.25">
      <c r="A379">
        <v>378</v>
      </c>
      <c r="B379" t="s">
        <v>2212</v>
      </c>
      <c r="C379" t="s">
        <v>2212</v>
      </c>
      <c r="D379" t="s">
        <v>2213</v>
      </c>
      <c r="E379" t="s">
        <v>282</v>
      </c>
      <c r="F379" t="s">
        <v>283</v>
      </c>
      <c r="G379" t="s">
        <v>3167</v>
      </c>
      <c r="H379" t="s">
        <v>3166</v>
      </c>
      <c r="I379" t="s">
        <v>898</v>
      </c>
      <c r="J379" t="s">
        <v>518</v>
      </c>
      <c r="K379" t="s">
        <v>519</v>
      </c>
      <c r="Q379">
        <v>11</v>
      </c>
      <c r="R379" t="s">
        <v>2406</v>
      </c>
      <c r="S379" t="s">
        <v>2407</v>
      </c>
      <c r="T379">
        <v>1</v>
      </c>
      <c r="U379" t="s">
        <v>2424</v>
      </c>
      <c r="V379" t="s">
        <v>2425</v>
      </c>
      <c r="W379">
        <v>1</v>
      </c>
      <c r="X379" t="s">
        <v>2443</v>
      </c>
      <c r="Y379" t="s">
        <v>2444</v>
      </c>
      <c r="Z379">
        <v>3</v>
      </c>
      <c r="AA379" t="s">
        <v>73</v>
      </c>
      <c r="AB379" t="s">
        <v>73</v>
      </c>
      <c r="AF379">
        <v>434.41602848479675</v>
      </c>
      <c r="AG379">
        <v>7.7142857142857002</v>
      </c>
      <c r="AH379">
        <v>13</v>
      </c>
      <c r="AI379">
        <v>558</v>
      </c>
      <c r="AJ379">
        <v>108.22415863390195</v>
      </c>
      <c r="AK379">
        <v>774.02857142856999</v>
      </c>
      <c r="AM379">
        <v>95.513822087462728</v>
      </c>
      <c r="AN379">
        <v>224</v>
      </c>
      <c r="AO379" t="s">
        <v>5830</v>
      </c>
      <c r="AP379" t="s">
        <v>2213</v>
      </c>
    </row>
    <row r="380" spans="1:42" x14ac:dyDescent="0.25">
      <c r="A380">
        <v>379</v>
      </c>
      <c r="B380" t="s">
        <v>2155</v>
      </c>
      <c r="C380" t="s">
        <v>2155</v>
      </c>
      <c r="D380" t="s">
        <v>2949</v>
      </c>
      <c r="E380" t="s">
        <v>91</v>
      </c>
      <c r="F380" t="s">
        <v>92</v>
      </c>
      <c r="G380" t="s">
        <v>632</v>
      </c>
      <c r="H380" t="s">
        <v>633</v>
      </c>
      <c r="I380" t="s">
        <v>2156</v>
      </c>
      <c r="J380" t="s">
        <v>2771</v>
      </c>
      <c r="K380" t="s">
        <v>2772</v>
      </c>
      <c r="L380" t="s">
        <v>4530</v>
      </c>
      <c r="M380" t="s">
        <v>4531</v>
      </c>
      <c r="O380" t="s">
        <v>2787</v>
      </c>
      <c r="P380" t="s">
        <v>2786</v>
      </c>
      <c r="Q380">
        <v>14</v>
      </c>
      <c r="R380" t="s">
        <v>2420</v>
      </c>
      <c r="S380" t="s">
        <v>2421</v>
      </c>
      <c r="T380">
        <v>5</v>
      </c>
      <c r="U380" t="s">
        <v>2430</v>
      </c>
      <c r="V380" t="s">
        <v>2431</v>
      </c>
      <c r="W380">
        <v>6</v>
      </c>
      <c r="X380" t="s">
        <v>2446</v>
      </c>
      <c r="Y380" t="s">
        <v>2447</v>
      </c>
      <c r="Z380">
        <v>4</v>
      </c>
      <c r="AA380" t="s">
        <v>73</v>
      </c>
      <c r="AB380" t="s">
        <v>73</v>
      </c>
      <c r="AC380" t="s">
        <v>2788</v>
      </c>
      <c r="AD380" t="s">
        <v>2788</v>
      </c>
      <c r="AF380">
        <v>433.3507388171854</v>
      </c>
      <c r="AG380">
        <v>7.2666666666667004</v>
      </c>
      <c r="AH380">
        <v>14</v>
      </c>
      <c r="AI380">
        <v>450</v>
      </c>
      <c r="AJ380">
        <v>131.79711720427821</v>
      </c>
      <c r="AK380">
        <v>729.46666666666999</v>
      </c>
      <c r="AM380">
        <v>128.51596408598948</v>
      </c>
      <c r="AN380">
        <v>224</v>
      </c>
      <c r="AO380" t="s">
        <v>5831</v>
      </c>
      <c r="AP380" t="s">
        <v>2949</v>
      </c>
    </row>
    <row r="381" spans="1:42" x14ac:dyDescent="0.25">
      <c r="A381">
        <v>380</v>
      </c>
      <c r="B381" t="s">
        <v>752</v>
      </c>
      <c r="C381" t="s">
        <v>752</v>
      </c>
      <c r="D381" t="s">
        <v>4888</v>
      </c>
      <c r="E381" t="s">
        <v>218</v>
      </c>
      <c r="F381" t="s">
        <v>219</v>
      </c>
      <c r="G381" t="s">
        <v>69</v>
      </c>
      <c r="H381" t="s">
        <v>70</v>
      </c>
      <c r="I381" t="s">
        <v>4890</v>
      </c>
      <c r="J381" t="s">
        <v>241</v>
      </c>
      <c r="K381" t="s">
        <v>242</v>
      </c>
      <c r="L381" t="s">
        <v>4886</v>
      </c>
      <c r="M381" t="s">
        <v>4887</v>
      </c>
      <c r="R381" t="s">
        <v>73</v>
      </c>
      <c r="S381" t="s">
        <v>73</v>
      </c>
      <c r="U381" t="s">
        <v>73</v>
      </c>
      <c r="V381" t="s">
        <v>73</v>
      </c>
      <c r="X381" t="s">
        <v>73</v>
      </c>
      <c r="Y381" t="s">
        <v>73</v>
      </c>
      <c r="AA381" t="s">
        <v>73</v>
      </c>
      <c r="AB381" t="s">
        <v>73</v>
      </c>
      <c r="AF381">
        <v>432.98588205045536</v>
      </c>
      <c r="AG381">
        <v>7.0909090909090997</v>
      </c>
      <c r="AH381">
        <v>10</v>
      </c>
      <c r="AI381">
        <v>404</v>
      </c>
      <c r="AJ381">
        <v>141.60047500555601</v>
      </c>
      <c r="AK381">
        <v>711.09090909090992</v>
      </c>
      <c r="AM381">
        <v>142.2406650077784</v>
      </c>
      <c r="AN381">
        <v>224</v>
      </c>
      <c r="AO381" t="s">
        <v>5832</v>
      </c>
      <c r="AP381" t="s">
        <v>4888</v>
      </c>
    </row>
    <row r="382" spans="1:42" x14ac:dyDescent="0.25">
      <c r="A382">
        <v>381</v>
      </c>
      <c r="B382" t="s">
        <v>2757</v>
      </c>
      <c r="C382" t="s">
        <v>2757</v>
      </c>
      <c r="D382" t="s">
        <v>2097</v>
      </c>
      <c r="E382" t="s">
        <v>67</v>
      </c>
      <c r="F382" t="s">
        <v>68</v>
      </c>
      <c r="G382" t="s">
        <v>3845</v>
      </c>
      <c r="H382" t="s">
        <v>3846</v>
      </c>
      <c r="I382" t="s">
        <v>2098</v>
      </c>
      <c r="J382" t="s">
        <v>328</v>
      </c>
      <c r="K382" t="s">
        <v>329</v>
      </c>
      <c r="L382" t="s">
        <v>5385</v>
      </c>
      <c r="M382" t="s">
        <v>5375</v>
      </c>
      <c r="R382" t="s">
        <v>73</v>
      </c>
      <c r="S382" t="s">
        <v>73</v>
      </c>
      <c r="U382" t="s">
        <v>73</v>
      </c>
      <c r="V382" t="s">
        <v>73</v>
      </c>
      <c r="X382" t="s">
        <v>73</v>
      </c>
      <c r="Y382" t="s">
        <v>73</v>
      </c>
      <c r="AA382" t="s">
        <v>73</v>
      </c>
      <c r="AB382" t="s">
        <v>73</v>
      </c>
      <c r="AF382">
        <v>432.87271258940211</v>
      </c>
      <c r="AG382">
        <v>8</v>
      </c>
      <c r="AH382">
        <v>5</v>
      </c>
      <c r="AI382">
        <v>625</v>
      </c>
      <c r="AJ382">
        <v>91.52523621044682</v>
      </c>
      <c r="AK382">
        <v>801</v>
      </c>
      <c r="AM382">
        <v>100.13533069462554</v>
      </c>
      <c r="AN382">
        <v>112</v>
      </c>
      <c r="AO382" t="s">
        <v>5833</v>
      </c>
      <c r="AP382" t="s">
        <v>2097</v>
      </c>
    </row>
    <row r="383" spans="1:42" x14ac:dyDescent="0.25">
      <c r="A383">
        <v>382</v>
      </c>
      <c r="B383" t="s">
        <v>2812</v>
      </c>
      <c r="C383" t="s">
        <v>2812</v>
      </c>
      <c r="D383" t="s">
        <v>2813</v>
      </c>
      <c r="E383" t="s">
        <v>91</v>
      </c>
      <c r="F383" t="s">
        <v>92</v>
      </c>
      <c r="G383" t="s">
        <v>93</v>
      </c>
      <c r="H383" t="s">
        <v>94</v>
      </c>
      <c r="I383" t="s">
        <v>2807</v>
      </c>
      <c r="J383" t="s">
        <v>3067</v>
      </c>
      <c r="K383" t="s">
        <v>3066</v>
      </c>
      <c r="L383" t="s">
        <v>4502</v>
      </c>
      <c r="M383" t="s">
        <v>4503</v>
      </c>
      <c r="O383" t="s">
        <v>2830</v>
      </c>
      <c r="P383" t="s">
        <v>2829</v>
      </c>
      <c r="Q383">
        <v>15</v>
      </c>
      <c r="R383" t="s">
        <v>2409</v>
      </c>
      <c r="S383" t="s">
        <v>2410</v>
      </c>
      <c r="T383">
        <v>2</v>
      </c>
      <c r="U383" t="s">
        <v>3137</v>
      </c>
      <c r="V383" t="s">
        <v>3136</v>
      </c>
      <c r="W383">
        <v>5</v>
      </c>
      <c r="X383" t="s">
        <v>2446</v>
      </c>
      <c r="Y383" t="s">
        <v>2447</v>
      </c>
      <c r="Z383">
        <v>4</v>
      </c>
      <c r="AA383" t="s">
        <v>73</v>
      </c>
      <c r="AB383" t="s">
        <v>73</v>
      </c>
      <c r="AF383">
        <v>432.3343893470269</v>
      </c>
      <c r="AG383">
        <v>6.7692307692308002</v>
      </c>
      <c r="AH383">
        <v>12</v>
      </c>
      <c r="AI383">
        <v>332</v>
      </c>
      <c r="AJ383">
        <v>158.52538987276324</v>
      </c>
      <c r="AK383">
        <v>679.32307692307995</v>
      </c>
      <c r="AL383">
        <v>2010</v>
      </c>
      <c r="AM383">
        <v>165.93554582186852</v>
      </c>
      <c r="AN383">
        <v>224</v>
      </c>
      <c r="AO383" t="s">
        <v>5834</v>
      </c>
      <c r="AP383" t="s">
        <v>2813</v>
      </c>
    </row>
    <row r="384" spans="1:42" x14ac:dyDescent="0.25">
      <c r="A384">
        <v>383</v>
      </c>
      <c r="B384" t="s">
        <v>2730</v>
      </c>
      <c r="C384" t="s">
        <v>2730</v>
      </c>
      <c r="D384" t="s">
        <v>5413</v>
      </c>
      <c r="E384" t="s">
        <v>67</v>
      </c>
      <c r="F384" t="s">
        <v>68</v>
      </c>
      <c r="G384" t="s">
        <v>69</v>
      </c>
      <c r="H384" t="s">
        <v>70</v>
      </c>
      <c r="I384" t="s">
        <v>722</v>
      </c>
      <c r="J384" t="s">
        <v>1795</v>
      </c>
      <c r="K384" t="s">
        <v>1796</v>
      </c>
      <c r="L384" t="s">
        <v>5377</v>
      </c>
      <c r="M384" t="s">
        <v>5378</v>
      </c>
      <c r="R384" t="s">
        <v>73</v>
      </c>
      <c r="S384" t="s">
        <v>73</v>
      </c>
      <c r="U384" t="s">
        <v>73</v>
      </c>
      <c r="V384" t="s">
        <v>73</v>
      </c>
      <c r="X384" t="s">
        <v>73</v>
      </c>
      <c r="Y384" t="s">
        <v>73</v>
      </c>
      <c r="AA384" t="s">
        <v>73</v>
      </c>
      <c r="AB384" t="s">
        <v>73</v>
      </c>
      <c r="AE384" t="s">
        <v>5376</v>
      </c>
      <c r="AF384">
        <v>432.12143663702227</v>
      </c>
      <c r="AG384">
        <v>7</v>
      </c>
      <c r="AH384">
        <v>3</v>
      </c>
      <c r="AI384">
        <v>377</v>
      </c>
      <c r="AJ384">
        <v>146.46826293002476</v>
      </c>
      <c r="AK384">
        <v>700.6</v>
      </c>
      <c r="AM384">
        <v>177.05556810203464</v>
      </c>
      <c r="AN384">
        <v>112</v>
      </c>
      <c r="AO384" t="s">
        <v>5835</v>
      </c>
      <c r="AP384" t="s">
        <v>5413</v>
      </c>
    </row>
    <row r="385" spans="1:42" x14ac:dyDescent="0.25">
      <c r="A385">
        <v>384</v>
      </c>
      <c r="B385" t="s">
        <v>1537</v>
      </c>
      <c r="C385" t="s">
        <v>1537</v>
      </c>
      <c r="D385" t="s">
        <v>2533</v>
      </c>
      <c r="E385" t="s">
        <v>67</v>
      </c>
      <c r="F385" t="s">
        <v>68</v>
      </c>
      <c r="G385" t="s">
        <v>3845</v>
      </c>
      <c r="H385" t="s">
        <v>3846</v>
      </c>
      <c r="I385" t="s">
        <v>1538</v>
      </c>
      <c r="J385" t="s">
        <v>225</v>
      </c>
      <c r="K385" t="s">
        <v>226</v>
      </c>
      <c r="L385" t="s">
        <v>5383</v>
      </c>
      <c r="M385" t="s">
        <v>5384</v>
      </c>
      <c r="R385" t="s">
        <v>73</v>
      </c>
      <c r="S385" t="s">
        <v>73</v>
      </c>
      <c r="U385" t="s">
        <v>73</v>
      </c>
      <c r="V385" t="s">
        <v>73</v>
      </c>
      <c r="X385" t="s">
        <v>73</v>
      </c>
      <c r="Y385" t="s">
        <v>73</v>
      </c>
      <c r="AA385" t="s">
        <v>73</v>
      </c>
      <c r="AB385" t="s">
        <v>73</v>
      </c>
      <c r="AF385">
        <v>432.03395413172007</v>
      </c>
      <c r="AG385">
        <v>6.8947368421053001</v>
      </c>
      <c r="AH385">
        <v>18</v>
      </c>
      <c r="AI385">
        <v>359</v>
      </c>
      <c r="AJ385">
        <v>150.55234669606114</v>
      </c>
      <c r="AK385">
        <v>693.07368421053002</v>
      </c>
      <c r="AM385">
        <v>182.77328537448557</v>
      </c>
      <c r="AN385">
        <v>112</v>
      </c>
      <c r="AO385" t="s">
        <v>5836</v>
      </c>
      <c r="AP385" t="s">
        <v>2533</v>
      </c>
    </row>
    <row r="386" spans="1:42" x14ac:dyDescent="0.25">
      <c r="A386">
        <v>385</v>
      </c>
      <c r="B386" t="s">
        <v>1391</v>
      </c>
      <c r="C386" t="s">
        <v>1391</v>
      </c>
      <c r="D386" t="s">
        <v>2488</v>
      </c>
      <c r="E386" t="s">
        <v>137</v>
      </c>
      <c r="F386" t="s">
        <v>138</v>
      </c>
      <c r="G386" t="s">
        <v>139</v>
      </c>
      <c r="H386" t="s">
        <v>140</v>
      </c>
      <c r="J386" t="s">
        <v>1234</v>
      </c>
      <c r="K386" t="s">
        <v>1235</v>
      </c>
      <c r="L386" t="s">
        <v>4715</v>
      </c>
      <c r="M386" t="s">
        <v>4716</v>
      </c>
      <c r="R386" t="s">
        <v>73</v>
      </c>
      <c r="S386" t="s">
        <v>73</v>
      </c>
      <c r="U386" t="s">
        <v>73</v>
      </c>
      <c r="V386" t="s">
        <v>73</v>
      </c>
      <c r="X386" t="s">
        <v>73</v>
      </c>
      <c r="Y386" t="s">
        <v>73</v>
      </c>
      <c r="AF386">
        <v>431.97252167748837</v>
      </c>
      <c r="AG386">
        <v>8.375</v>
      </c>
      <c r="AH386">
        <v>15</v>
      </c>
      <c r="AI386">
        <v>743</v>
      </c>
      <c r="AJ386">
        <v>68.580579641653756</v>
      </c>
      <c r="AK386">
        <v>840.5</v>
      </c>
      <c r="AM386">
        <v>96.012811498315259</v>
      </c>
      <c r="AN386">
        <v>0</v>
      </c>
      <c r="AO386" t="s">
        <v>5837</v>
      </c>
      <c r="AP386" t="s">
        <v>2488</v>
      </c>
    </row>
    <row r="387" spans="1:42" x14ac:dyDescent="0.25">
      <c r="A387">
        <v>386</v>
      </c>
      <c r="B387" t="s">
        <v>2198</v>
      </c>
      <c r="C387" t="s">
        <v>2198</v>
      </c>
      <c r="D387" t="s">
        <v>2199</v>
      </c>
      <c r="E387" t="s">
        <v>471</v>
      </c>
      <c r="F387" t="s">
        <v>472</v>
      </c>
      <c r="G387" t="s">
        <v>93</v>
      </c>
      <c r="H387" t="s">
        <v>94</v>
      </c>
      <c r="I387" t="s">
        <v>3179</v>
      </c>
      <c r="J387" t="s">
        <v>3245</v>
      </c>
      <c r="K387" t="s">
        <v>3170</v>
      </c>
      <c r="O387" t="s">
        <v>3183</v>
      </c>
      <c r="P387" t="s">
        <v>3183</v>
      </c>
      <c r="Q387">
        <v>15</v>
      </c>
      <c r="R387" t="s">
        <v>2406</v>
      </c>
      <c r="S387" t="s">
        <v>2407</v>
      </c>
      <c r="T387">
        <v>1</v>
      </c>
      <c r="U387" t="s">
        <v>3137</v>
      </c>
      <c r="V387" t="s">
        <v>3136</v>
      </c>
      <c r="W387">
        <v>5</v>
      </c>
      <c r="X387" t="s">
        <v>2443</v>
      </c>
      <c r="Y387" t="s">
        <v>2444</v>
      </c>
      <c r="Z387">
        <v>3</v>
      </c>
      <c r="AA387" t="s">
        <v>73</v>
      </c>
      <c r="AB387" t="s">
        <v>73</v>
      </c>
      <c r="AE387" t="s">
        <v>3187</v>
      </c>
      <c r="AF387">
        <v>431.88062438756299</v>
      </c>
      <c r="AG387">
        <v>6.2962962962963003</v>
      </c>
      <c r="AH387">
        <v>26</v>
      </c>
      <c r="AI387">
        <v>262</v>
      </c>
      <c r="AJ387">
        <v>182.73978841416437</v>
      </c>
      <c r="AK387">
        <v>634.82962962963006</v>
      </c>
      <c r="AL387">
        <v>2005</v>
      </c>
      <c r="AM387">
        <v>227.83570377983011</v>
      </c>
      <c r="AN387">
        <v>112</v>
      </c>
      <c r="AO387" t="s">
        <v>5838</v>
      </c>
      <c r="AP387" t="s">
        <v>2199</v>
      </c>
    </row>
    <row r="388" spans="1:42" x14ac:dyDescent="0.25">
      <c r="A388">
        <v>387</v>
      </c>
      <c r="B388" t="s">
        <v>1044</v>
      </c>
      <c r="C388" t="s">
        <v>1044</v>
      </c>
      <c r="D388" t="s">
        <v>3873</v>
      </c>
      <c r="E388" t="s">
        <v>183</v>
      </c>
      <c r="F388" t="s">
        <v>184</v>
      </c>
      <c r="G388" t="s">
        <v>158</v>
      </c>
      <c r="H388" t="s">
        <v>159</v>
      </c>
      <c r="J388" t="s">
        <v>185</v>
      </c>
      <c r="K388" t="s">
        <v>3021</v>
      </c>
      <c r="O388" t="s">
        <v>1045</v>
      </c>
      <c r="P388" t="s">
        <v>1046</v>
      </c>
      <c r="Q388">
        <v>12</v>
      </c>
      <c r="R388" t="s">
        <v>2409</v>
      </c>
      <c r="S388" t="s">
        <v>2410</v>
      </c>
      <c r="T388">
        <v>2</v>
      </c>
      <c r="U388" t="s">
        <v>2430</v>
      </c>
      <c r="V388" t="s">
        <v>2431</v>
      </c>
      <c r="W388">
        <v>6</v>
      </c>
      <c r="X388" t="s">
        <v>2440</v>
      </c>
      <c r="Y388" t="s">
        <v>2441</v>
      </c>
      <c r="Z388">
        <v>2</v>
      </c>
      <c r="AA388" t="s">
        <v>1047</v>
      </c>
      <c r="AB388" t="s">
        <v>1047</v>
      </c>
      <c r="AC388" t="s">
        <v>1048</v>
      </c>
      <c r="AD388" t="s">
        <v>1048</v>
      </c>
      <c r="AF388">
        <v>431.84442284580678</v>
      </c>
      <c r="AG388">
        <v>6.1578947368421</v>
      </c>
      <c r="AH388">
        <v>18</v>
      </c>
      <c r="AI388">
        <v>234</v>
      </c>
      <c r="AJ388">
        <v>191.27742889300202</v>
      </c>
      <c r="AK388">
        <v>619.38947368420997</v>
      </c>
      <c r="AM388">
        <v>267.7884004502028</v>
      </c>
      <c r="AN388">
        <v>0</v>
      </c>
      <c r="AO388" t="s">
        <v>5839</v>
      </c>
      <c r="AP388" t="s">
        <v>3873</v>
      </c>
    </row>
    <row r="389" spans="1:42" x14ac:dyDescent="0.25">
      <c r="A389">
        <v>388</v>
      </c>
      <c r="B389" t="s">
        <v>3644</v>
      </c>
      <c r="C389" t="s">
        <v>3644</v>
      </c>
      <c r="D389" t="s">
        <v>4016</v>
      </c>
      <c r="E389" t="s">
        <v>3643</v>
      </c>
      <c r="F389" t="s">
        <v>786</v>
      </c>
      <c r="G389" t="s">
        <v>60</v>
      </c>
      <c r="H389" t="s">
        <v>61</v>
      </c>
      <c r="I389" t="s">
        <v>3646</v>
      </c>
      <c r="R389" t="s">
        <v>73</v>
      </c>
      <c r="S389" t="s">
        <v>73</v>
      </c>
      <c r="U389" t="s">
        <v>73</v>
      </c>
      <c r="V389" t="s">
        <v>73</v>
      </c>
      <c r="X389" t="s">
        <v>73</v>
      </c>
      <c r="Y389" t="s">
        <v>73</v>
      </c>
      <c r="AA389" t="s">
        <v>73</v>
      </c>
      <c r="AB389" t="s">
        <v>73</v>
      </c>
      <c r="AF389">
        <v>431.81513535822046</v>
      </c>
      <c r="AG389">
        <v>7.5</v>
      </c>
      <c r="AH389">
        <v>3</v>
      </c>
      <c r="AI389">
        <v>511</v>
      </c>
      <c r="AJ389">
        <v>118.35015039802269</v>
      </c>
      <c r="AK389">
        <v>750.6</v>
      </c>
      <c r="AM389">
        <v>81.690210557231737</v>
      </c>
      <c r="AN389">
        <v>336</v>
      </c>
      <c r="AO389" t="s">
        <v>5840</v>
      </c>
      <c r="AP389" t="s">
        <v>4016</v>
      </c>
    </row>
    <row r="390" spans="1:42" x14ac:dyDescent="0.25">
      <c r="A390">
        <v>389</v>
      </c>
      <c r="B390" t="s">
        <v>1081</v>
      </c>
      <c r="C390" t="s">
        <v>1081</v>
      </c>
      <c r="D390" t="s">
        <v>1082</v>
      </c>
      <c r="E390" t="s">
        <v>137</v>
      </c>
      <c r="F390" t="s">
        <v>138</v>
      </c>
      <c r="G390" t="s">
        <v>139</v>
      </c>
      <c r="H390" t="s">
        <v>140</v>
      </c>
      <c r="J390" t="s">
        <v>426</v>
      </c>
      <c r="K390" t="s">
        <v>427</v>
      </c>
      <c r="L390" t="s">
        <v>4694</v>
      </c>
      <c r="M390" t="s">
        <v>4695</v>
      </c>
      <c r="R390" t="s">
        <v>73</v>
      </c>
      <c r="S390" t="s">
        <v>73</v>
      </c>
      <c r="U390" t="s">
        <v>73</v>
      </c>
      <c r="V390" t="s">
        <v>73</v>
      </c>
      <c r="X390" t="s">
        <v>73</v>
      </c>
      <c r="Y390" t="s">
        <v>73</v>
      </c>
      <c r="AF390">
        <v>430.8741098648095</v>
      </c>
      <c r="AG390">
        <v>6.9583333333333002</v>
      </c>
      <c r="AH390">
        <v>23</v>
      </c>
      <c r="AI390">
        <v>390</v>
      </c>
      <c r="AJ390">
        <v>145.17493688682717</v>
      </c>
      <c r="AK390">
        <v>700.4333333333301</v>
      </c>
      <c r="AL390">
        <v>2004</v>
      </c>
      <c r="AM390">
        <v>203.24491164155802</v>
      </c>
      <c r="AN390">
        <v>0</v>
      </c>
      <c r="AO390" t="s">
        <v>5841</v>
      </c>
      <c r="AP390" t="s">
        <v>1082</v>
      </c>
    </row>
    <row r="391" spans="1:42" x14ac:dyDescent="0.25">
      <c r="A391">
        <v>390</v>
      </c>
      <c r="B391" t="s">
        <v>1281</v>
      </c>
      <c r="C391" t="s">
        <v>1281</v>
      </c>
      <c r="D391" t="s">
        <v>2796</v>
      </c>
      <c r="E391" t="s">
        <v>91</v>
      </c>
      <c r="F391" t="s">
        <v>92</v>
      </c>
      <c r="G391" t="s">
        <v>93</v>
      </c>
      <c r="H391" t="s">
        <v>94</v>
      </c>
      <c r="I391" t="s">
        <v>2797</v>
      </c>
      <c r="J391" t="s">
        <v>3068</v>
      </c>
      <c r="K391" t="s">
        <v>3062</v>
      </c>
      <c r="L391" t="s">
        <v>4544</v>
      </c>
      <c r="M391" t="s">
        <v>4545</v>
      </c>
      <c r="O391" t="s">
        <v>2798</v>
      </c>
      <c r="P391" t="s">
        <v>2798</v>
      </c>
      <c r="Q391">
        <v>13</v>
      </c>
      <c r="R391" t="s">
        <v>2406</v>
      </c>
      <c r="S391" t="s">
        <v>2407</v>
      </c>
      <c r="T391">
        <v>1</v>
      </c>
      <c r="U391" t="s">
        <v>2430</v>
      </c>
      <c r="V391" t="s">
        <v>2431</v>
      </c>
      <c r="W391">
        <v>6</v>
      </c>
      <c r="X391" t="s">
        <v>2440</v>
      </c>
      <c r="Y391" t="s">
        <v>2441</v>
      </c>
      <c r="Z391">
        <v>2</v>
      </c>
      <c r="AA391" t="s">
        <v>2800</v>
      </c>
      <c r="AC391" t="s">
        <v>2799</v>
      </c>
      <c r="AD391" t="s">
        <v>2799</v>
      </c>
      <c r="AE391" t="s">
        <v>1282</v>
      </c>
      <c r="AF391">
        <v>430.81601711854302</v>
      </c>
      <c r="AG391">
        <v>7.8292682926829</v>
      </c>
      <c r="AH391">
        <v>40</v>
      </c>
      <c r="AI391">
        <v>612</v>
      </c>
      <c r="AJ391">
        <v>94.836224982664447</v>
      </c>
      <c r="AK391">
        <v>790.92682926829002</v>
      </c>
      <c r="AM391">
        <v>76.770714975730215</v>
      </c>
      <c r="AN391">
        <v>224</v>
      </c>
      <c r="AO391" t="s">
        <v>5842</v>
      </c>
      <c r="AP391" t="s">
        <v>2796</v>
      </c>
    </row>
    <row r="392" spans="1:42" x14ac:dyDescent="0.25">
      <c r="A392">
        <v>391</v>
      </c>
      <c r="B392" t="s">
        <v>2121</v>
      </c>
      <c r="C392" t="s">
        <v>2121</v>
      </c>
      <c r="D392" t="s">
        <v>3677</v>
      </c>
      <c r="E392" t="s">
        <v>595</v>
      </c>
      <c r="F392" t="s">
        <v>596</v>
      </c>
      <c r="G392" t="s">
        <v>3167</v>
      </c>
      <c r="H392" t="s">
        <v>3166</v>
      </c>
      <c r="I392" t="s">
        <v>930</v>
      </c>
      <c r="J392" t="s">
        <v>607</v>
      </c>
      <c r="K392" t="s">
        <v>608</v>
      </c>
      <c r="O392" t="s">
        <v>2646</v>
      </c>
      <c r="P392" t="s">
        <v>2646</v>
      </c>
      <c r="Q392">
        <v>15</v>
      </c>
      <c r="R392" t="s">
        <v>2414</v>
      </c>
      <c r="S392" t="s">
        <v>2415</v>
      </c>
      <c r="T392">
        <v>3</v>
      </c>
      <c r="U392" t="s">
        <v>3139</v>
      </c>
      <c r="V392" t="s">
        <v>3140</v>
      </c>
      <c r="W392">
        <v>4</v>
      </c>
      <c r="X392" t="s">
        <v>2437</v>
      </c>
      <c r="Y392" t="s">
        <v>2438</v>
      </c>
      <c r="Z392">
        <v>1</v>
      </c>
      <c r="AA392" t="s">
        <v>2122</v>
      </c>
      <c r="AB392" t="s">
        <v>2122</v>
      </c>
      <c r="AF392">
        <v>430.5275049670351</v>
      </c>
      <c r="AG392">
        <v>8.0961538461538005</v>
      </c>
      <c r="AH392">
        <v>51</v>
      </c>
      <c r="AI392">
        <v>693</v>
      </c>
      <c r="AJ392">
        <v>78.466458510383376</v>
      </c>
      <c r="AK392">
        <v>819.81538461538014</v>
      </c>
      <c r="AM392">
        <v>53.853041914536718</v>
      </c>
      <c r="AN392">
        <v>224</v>
      </c>
      <c r="AO392" t="s">
        <v>5843</v>
      </c>
      <c r="AP392" t="s">
        <v>3677</v>
      </c>
    </row>
    <row r="393" spans="1:42" x14ac:dyDescent="0.25">
      <c r="A393">
        <v>392</v>
      </c>
      <c r="B393" t="s">
        <v>228</v>
      </c>
      <c r="C393" t="s">
        <v>228</v>
      </c>
      <c r="D393" t="s">
        <v>4944</v>
      </c>
      <c r="E393" t="s">
        <v>218</v>
      </c>
      <c r="F393" t="s">
        <v>219</v>
      </c>
      <c r="G393" t="s">
        <v>69</v>
      </c>
      <c r="H393" t="s">
        <v>70</v>
      </c>
      <c r="I393" t="s">
        <v>2886</v>
      </c>
      <c r="J393" t="s">
        <v>1751</v>
      </c>
      <c r="K393" t="s">
        <v>2885</v>
      </c>
      <c r="L393" t="s">
        <v>4945</v>
      </c>
      <c r="M393" t="s">
        <v>4946</v>
      </c>
      <c r="R393" t="s">
        <v>73</v>
      </c>
      <c r="S393" t="s">
        <v>73</v>
      </c>
      <c r="U393" t="s">
        <v>73</v>
      </c>
      <c r="V393" t="s">
        <v>73</v>
      </c>
      <c r="X393" t="s">
        <v>73</v>
      </c>
      <c r="Y393" t="s">
        <v>73</v>
      </c>
      <c r="AA393" t="s">
        <v>73</v>
      </c>
      <c r="AB393" t="s">
        <v>73</v>
      </c>
      <c r="AE393" t="s">
        <v>4947</v>
      </c>
      <c r="AF393">
        <v>430.35110293524946</v>
      </c>
      <c r="AG393">
        <v>5.8947368421053001</v>
      </c>
      <c r="AH393">
        <v>18</v>
      </c>
      <c r="AI393">
        <v>203</v>
      </c>
      <c r="AJ393">
        <v>204.23806758887162</v>
      </c>
      <c r="AK393">
        <v>593.07368421053002</v>
      </c>
      <c r="AM393">
        <v>229.93329462442023</v>
      </c>
      <c r="AN393">
        <v>224</v>
      </c>
      <c r="AO393" t="s">
        <v>5844</v>
      </c>
      <c r="AP393" t="s">
        <v>4944</v>
      </c>
    </row>
    <row r="394" spans="1:42" x14ac:dyDescent="0.25">
      <c r="A394">
        <v>393</v>
      </c>
      <c r="B394" t="s">
        <v>2225</v>
      </c>
      <c r="C394" t="s">
        <v>2225</v>
      </c>
      <c r="D394" t="s">
        <v>2226</v>
      </c>
      <c r="E394" t="s">
        <v>137</v>
      </c>
      <c r="F394" t="s">
        <v>138</v>
      </c>
      <c r="G394" t="s">
        <v>139</v>
      </c>
      <c r="H394" t="s">
        <v>140</v>
      </c>
      <c r="I394" t="s">
        <v>2227</v>
      </c>
      <c r="J394" t="s">
        <v>689</v>
      </c>
      <c r="K394" t="s">
        <v>690</v>
      </c>
      <c r="L394" t="s">
        <v>4579</v>
      </c>
      <c r="M394" t="s">
        <v>4580</v>
      </c>
      <c r="Q394">
        <v>13</v>
      </c>
      <c r="R394" t="s">
        <v>2406</v>
      </c>
      <c r="S394" t="s">
        <v>2407</v>
      </c>
      <c r="T394">
        <v>1</v>
      </c>
      <c r="U394" t="s">
        <v>3137</v>
      </c>
      <c r="V394" t="s">
        <v>3136</v>
      </c>
      <c r="W394">
        <v>5</v>
      </c>
      <c r="X394" t="s">
        <v>2437</v>
      </c>
      <c r="Y394" t="s">
        <v>2438</v>
      </c>
      <c r="Z394">
        <v>1</v>
      </c>
      <c r="AF394">
        <v>429.80110385680371</v>
      </c>
      <c r="AG394">
        <v>7.6923076923076996</v>
      </c>
      <c r="AH394">
        <v>12</v>
      </c>
      <c r="AI394">
        <v>573</v>
      </c>
      <c r="AJ394">
        <v>104.42857693490967</v>
      </c>
      <c r="AK394">
        <v>771.63076923076994</v>
      </c>
      <c r="AM394">
        <v>146.20000770887353</v>
      </c>
      <c r="AN394">
        <v>0</v>
      </c>
      <c r="AO394" t="s">
        <v>5845</v>
      </c>
      <c r="AP394" t="s">
        <v>2226</v>
      </c>
    </row>
    <row r="395" spans="1:42" x14ac:dyDescent="0.25">
      <c r="A395">
        <v>394</v>
      </c>
      <c r="B395" t="s">
        <v>1892</v>
      </c>
      <c r="C395" t="s">
        <v>1892</v>
      </c>
      <c r="D395" t="s">
        <v>2789</v>
      </c>
      <c r="E395" t="s">
        <v>91</v>
      </c>
      <c r="F395" t="s">
        <v>92</v>
      </c>
      <c r="G395" t="s">
        <v>93</v>
      </c>
      <c r="H395" t="s">
        <v>94</v>
      </c>
      <c r="I395" t="s">
        <v>2543</v>
      </c>
      <c r="J395" t="s">
        <v>3069</v>
      </c>
      <c r="K395" t="s">
        <v>3063</v>
      </c>
      <c r="L395" t="s">
        <v>4526</v>
      </c>
      <c r="M395" t="s">
        <v>4527</v>
      </c>
      <c r="O395" t="s">
        <v>63</v>
      </c>
      <c r="P395" t="s">
        <v>63</v>
      </c>
      <c r="Q395">
        <v>13</v>
      </c>
      <c r="R395" t="s">
        <v>2420</v>
      </c>
      <c r="S395" t="s">
        <v>2421</v>
      </c>
      <c r="T395">
        <v>5</v>
      </c>
      <c r="U395" t="s">
        <v>2430</v>
      </c>
      <c r="V395" t="s">
        <v>2431</v>
      </c>
      <c r="W395">
        <v>6</v>
      </c>
      <c r="X395" t="s">
        <v>2446</v>
      </c>
      <c r="Y395" t="s">
        <v>2447</v>
      </c>
      <c r="Z395">
        <v>4</v>
      </c>
      <c r="AA395" t="s">
        <v>73</v>
      </c>
      <c r="AB395" t="s">
        <v>73</v>
      </c>
      <c r="AC395" t="s">
        <v>2790</v>
      </c>
      <c r="AD395" t="s">
        <v>2790</v>
      </c>
      <c r="AF395">
        <v>429.73673687601058</v>
      </c>
      <c r="AG395">
        <v>6.8918918918919001</v>
      </c>
      <c r="AH395">
        <v>36</v>
      </c>
      <c r="AI395">
        <v>380</v>
      </c>
      <c r="AJ395">
        <v>146.15793586823949</v>
      </c>
      <c r="AK395">
        <v>696.38918918919001</v>
      </c>
      <c r="AL395">
        <v>2010</v>
      </c>
      <c r="AM395">
        <v>190.62111021553528</v>
      </c>
      <c r="AN395">
        <v>56</v>
      </c>
      <c r="AO395" t="s">
        <v>5846</v>
      </c>
      <c r="AP395" t="s">
        <v>2789</v>
      </c>
    </row>
    <row r="396" spans="1:42" x14ac:dyDescent="0.25">
      <c r="A396">
        <v>395</v>
      </c>
      <c r="B396" t="s">
        <v>1717</v>
      </c>
      <c r="C396" t="s">
        <v>1717</v>
      </c>
      <c r="D396" t="s">
        <v>1718</v>
      </c>
      <c r="E396" t="s">
        <v>3169</v>
      </c>
      <c r="F396" t="s">
        <v>379</v>
      </c>
      <c r="G396" t="s">
        <v>162</v>
      </c>
      <c r="H396" t="s">
        <v>163</v>
      </c>
      <c r="J396" t="s">
        <v>1719</v>
      </c>
      <c r="K396" t="s">
        <v>1720</v>
      </c>
      <c r="R396" t="s">
        <v>73</v>
      </c>
      <c r="S396" t="s">
        <v>73</v>
      </c>
      <c r="U396" t="s">
        <v>73</v>
      </c>
      <c r="V396" t="s">
        <v>73</v>
      </c>
      <c r="X396" t="s">
        <v>73</v>
      </c>
      <c r="Y396" t="s">
        <v>73</v>
      </c>
      <c r="AA396" t="s">
        <v>73</v>
      </c>
      <c r="AB396" t="s">
        <v>73</v>
      </c>
      <c r="AF396">
        <v>428.66520264033124</v>
      </c>
      <c r="AG396">
        <v>6.25</v>
      </c>
      <c r="AH396">
        <v>7</v>
      </c>
      <c r="AI396">
        <v>259</v>
      </c>
      <c r="AJ396">
        <v>183.85022515592362</v>
      </c>
      <c r="AK396">
        <v>626.4</v>
      </c>
      <c r="AM396">
        <v>151.39031521829307</v>
      </c>
      <c r="AN396">
        <v>424</v>
      </c>
      <c r="AO396" t="s">
        <v>5847</v>
      </c>
      <c r="AP396" t="s">
        <v>1718</v>
      </c>
    </row>
    <row r="397" spans="1:42" x14ac:dyDescent="0.25">
      <c r="A397">
        <v>396</v>
      </c>
      <c r="B397" t="s">
        <v>2157</v>
      </c>
      <c r="C397" t="s">
        <v>3180</v>
      </c>
      <c r="D397" t="s">
        <v>3238</v>
      </c>
      <c r="E397" t="s">
        <v>471</v>
      </c>
      <c r="F397" t="s">
        <v>472</v>
      </c>
      <c r="G397" t="s">
        <v>93</v>
      </c>
      <c r="H397" t="s">
        <v>94</v>
      </c>
      <c r="I397" t="s">
        <v>3180</v>
      </c>
      <c r="J397" t="s">
        <v>3240</v>
      </c>
      <c r="K397" t="s">
        <v>3175</v>
      </c>
      <c r="O397" t="s">
        <v>3184</v>
      </c>
      <c r="P397" t="s">
        <v>3184</v>
      </c>
      <c r="Q397">
        <v>14</v>
      </c>
      <c r="R397" t="s">
        <v>2420</v>
      </c>
      <c r="S397" t="s">
        <v>2421</v>
      </c>
      <c r="T397">
        <v>5</v>
      </c>
      <c r="U397" t="s">
        <v>3137</v>
      </c>
      <c r="V397" t="s">
        <v>3136</v>
      </c>
      <c r="W397">
        <v>5</v>
      </c>
      <c r="X397" t="s">
        <v>2446</v>
      </c>
      <c r="Y397" t="s">
        <v>2447</v>
      </c>
      <c r="Z397">
        <v>4</v>
      </c>
      <c r="AA397" t="s">
        <v>73</v>
      </c>
      <c r="AB397" t="s">
        <v>73</v>
      </c>
      <c r="AC397" t="s">
        <v>3185</v>
      </c>
      <c r="AD397" t="s">
        <v>3186</v>
      </c>
      <c r="AF397">
        <v>428.63306848601303</v>
      </c>
      <c r="AG397">
        <v>6.6666666666666998</v>
      </c>
      <c r="AH397">
        <v>14</v>
      </c>
      <c r="AI397">
        <v>329</v>
      </c>
      <c r="AJ397">
        <v>159.8885946140868</v>
      </c>
      <c r="AK397">
        <v>669.46666666666988</v>
      </c>
      <c r="AM397">
        <v>195.84403245972152</v>
      </c>
      <c r="AN397">
        <v>112</v>
      </c>
      <c r="AO397" t="s">
        <v>5848</v>
      </c>
      <c r="AP397" t="s">
        <v>3238</v>
      </c>
    </row>
    <row r="398" spans="1:42" x14ac:dyDescent="0.25">
      <c r="A398">
        <v>397</v>
      </c>
      <c r="B398" t="s">
        <v>1680</v>
      </c>
      <c r="C398" t="s">
        <v>4086</v>
      </c>
      <c r="D398" t="s">
        <v>1681</v>
      </c>
      <c r="E398" t="s">
        <v>74</v>
      </c>
      <c r="F398" t="s">
        <v>74</v>
      </c>
      <c r="G398" t="s">
        <v>75</v>
      </c>
      <c r="H398" t="s">
        <v>76</v>
      </c>
      <c r="Q398">
        <v>13</v>
      </c>
      <c r="R398" t="s">
        <v>2409</v>
      </c>
      <c r="S398" t="s">
        <v>2410</v>
      </c>
      <c r="T398">
        <v>2</v>
      </c>
      <c r="U398" t="s">
        <v>2432</v>
      </c>
      <c r="V398" t="s">
        <v>2433</v>
      </c>
      <c r="W398">
        <v>7</v>
      </c>
      <c r="X398" t="s">
        <v>2443</v>
      </c>
      <c r="Y398" t="s">
        <v>2444</v>
      </c>
      <c r="Z398">
        <v>3</v>
      </c>
      <c r="AA398" t="s">
        <v>73</v>
      </c>
      <c r="AB398" t="s">
        <v>73</v>
      </c>
      <c r="AF398">
        <v>428.43024135096721</v>
      </c>
      <c r="AG398">
        <v>6.3571428571429003</v>
      </c>
      <c r="AH398">
        <v>13</v>
      </c>
      <c r="AI398">
        <v>276</v>
      </c>
      <c r="AJ398">
        <v>176.97010943758019</v>
      </c>
      <c r="AK398">
        <v>638.31428571429001</v>
      </c>
      <c r="AM398">
        <v>191.75815321261226</v>
      </c>
      <c r="AN398">
        <v>224</v>
      </c>
      <c r="AO398" t="s">
        <v>5849</v>
      </c>
      <c r="AP398" t="s">
        <v>1681</v>
      </c>
    </row>
    <row r="399" spans="1:42" x14ac:dyDescent="0.25">
      <c r="A399">
        <v>398</v>
      </c>
      <c r="B399" t="s">
        <v>1882</v>
      </c>
      <c r="C399" t="s">
        <v>1882</v>
      </c>
      <c r="D399" t="s">
        <v>1883</v>
      </c>
      <c r="E399" t="s">
        <v>183</v>
      </c>
      <c r="F399" t="s">
        <v>184</v>
      </c>
      <c r="G399" t="s">
        <v>158</v>
      </c>
      <c r="H399" t="s">
        <v>159</v>
      </c>
      <c r="I399" t="s">
        <v>3017</v>
      </c>
      <c r="J399" t="s">
        <v>3019</v>
      </c>
      <c r="K399" t="s">
        <v>3022</v>
      </c>
      <c r="R399" t="s">
        <v>73</v>
      </c>
      <c r="S399" t="s">
        <v>73</v>
      </c>
      <c r="U399" t="s">
        <v>73</v>
      </c>
      <c r="V399" t="s">
        <v>73</v>
      </c>
      <c r="X399" t="s">
        <v>73</v>
      </c>
      <c r="Y399" t="s">
        <v>73</v>
      </c>
      <c r="AF399">
        <v>428.23603848696348</v>
      </c>
      <c r="AG399">
        <v>7.4</v>
      </c>
      <c r="AH399">
        <v>9</v>
      </c>
      <c r="AI399">
        <v>507</v>
      </c>
      <c r="AJ399">
        <v>119.26226498551499</v>
      </c>
      <c r="AK399">
        <v>741.8</v>
      </c>
      <c r="AM399">
        <v>166.96717097972098</v>
      </c>
      <c r="AN399">
        <v>0</v>
      </c>
      <c r="AO399" t="s">
        <v>5850</v>
      </c>
      <c r="AP399" t="s">
        <v>1883</v>
      </c>
    </row>
    <row r="400" spans="1:42" x14ac:dyDescent="0.25">
      <c r="A400">
        <v>399</v>
      </c>
      <c r="B400" t="s">
        <v>2401</v>
      </c>
      <c r="C400" t="s">
        <v>2401</v>
      </c>
      <c r="D400" t="s">
        <v>4812</v>
      </c>
      <c r="E400" t="s">
        <v>556</v>
      </c>
      <c r="F400" t="s">
        <v>557</v>
      </c>
      <c r="G400" t="s">
        <v>60</v>
      </c>
      <c r="H400" t="s">
        <v>61</v>
      </c>
      <c r="J400" t="s">
        <v>3764</v>
      </c>
      <c r="K400" t="s">
        <v>3765</v>
      </c>
      <c r="Q400">
        <v>13</v>
      </c>
      <c r="R400" t="s">
        <v>73</v>
      </c>
      <c r="S400" t="s">
        <v>73</v>
      </c>
      <c r="U400" t="s">
        <v>73</v>
      </c>
      <c r="V400" t="s">
        <v>73</v>
      </c>
      <c r="X400" t="s">
        <v>2440</v>
      </c>
      <c r="Y400" t="s">
        <v>2441</v>
      </c>
      <c r="Z400">
        <v>2</v>
      </c>
      <c r="AA400" t="s">
        <v>73</v>
      </c>
      <c r="AB400" t="s">
        <v>73</v>
      </c>
      <c r="AD400" t="s">
        <v>2766</v>
      </c>
      <c r="AF400">
        <v>427.80882352941001</v>
      </c>
      <c r="AG400">
        <v>8.5661764705882</v>
      </c>
      <c r="AH400">
        <v>135</v>
      </c>
      <c r="AI400">
        <v>845</v>
      </c>
      <c r="AJ400">
        <v>40</v>
      </c>
      <c r="AK400">
        <v>883.61764705882001</v>
      </c>
      <c r="AM400">
        <v>0</v>
      </c>
      <c r="AN400">
        <v>224</v>
      </c>
      <c r="AO400" t="s">
        <v>5851</v>
      </c>
      <c r="AP400" t="s">
        <v>4812</v>
      </c>
    </row>
    <row r="401" spans="1:42" x14ac:dyDescent="0.25">
      <c r="A401">
        <v>400</v>
      </c>
      <c r="B401" t="s">
        <v>1678</v>
      </c>
      <c r="C401" t="s">
        <v>1678</v>
      </c>
      <c r="D401" t="s">
        <v>1679</v>
      </c>
      <c r="E401" t="s">
        <v>5312</v>
      </c>
      <c r="F401" t="s">
        <v>157</v>
      </c>
      <c r="G401" t="s">
        <v>158</v>
      </c>
      <c r="H401" t="s">
        <v>159</v>
      </c>
      <c r="I401" t="s">
        <v>765</v>
      </c>
      <c r="J401" t="s">
        <v>3090</v>
      </c>
      <c r="K401" t="s">
        <v>3091</v>
      </c>
      <c r="L401" t="s">
        <v>4415</v>
      </c>
      <c r="M401" t="s">
        <v>4416</v>
      </c>
      <c r="R401" t="s">
        <v>2420</v>
      </c>
      <c r="S401" t="s">
        <v>2421</v>
      </c>
      <c r="T401">
        <v>5</v>
      </c>
      <c r="U401" t="s">
        <v>73</v>
      </c>
      <c r="V401" t="s">
        <v>73</v>
      </c>
      <c r="X401" t="s">
        <v>73</v>
      </c>
      <c r="Y401" t="s">
        <v>73</v>
      </c>
      <c r="AA401" t="s">
        <v>73</v>
      </c>
      <c r="AB401" t="s">
        <v>73</v>
      </c>
      <c r="AF401">
        <v>427.41356630579605</v>
      </c>
      <c r="AG401">
        <v>7</v>
      </c>
      <c r="AH401">
        <v>14</v>
      </c>
      <c r="AI401">
        <v>411</v>
      </c>
      <c r="AJ401">
        <v>140.01507367310674</v>
      </c>
      <c r="AK401">
        <v>702.8</v>
      </c>
      <c r="AM401">
        <v>196.02110314234943</v>
      </c>
      <c r="AN401">
        <v>0</v>
      </c>
      <c r="AO401" t="s">
        <v>5852</v>
      </c>
      <c r="AP401" t="s">
        <v>1679</v>
      </c>
    </row>
    <row r="402" spans="1:42" x14ac:dyDescent="0.25">
      <c r="A402">
        <v>401</v>
      </c>
      <c r="B402" t="s">
        <v>540</v>
      </c>
      <c r="C402" t="s">
        <v>540</v>
      </c>
      <c r="D402" t="s">
        <v>541</v>
      </c>
      <c r="E402" t="s">
        <v>471</v>
      </c>
      <c r="F402" t="s">
        <v>472</v>
      </c>
      <c r="G402" t="s">
        <v>93</v>
      </c>
      <c r="H402" t="s">
        <v>94</v>
      </c>
      <c r="I402" t="s">
        <v>3213</v>
      </c>
      <c r="J402" t="s">
        <v>3241</v>
      </c>
      <c r="K402" t="s">
        <v>3191</v>
      </c>
      <c r="O402" t="s">
        <v>3184</v>
      </c>
      <c r="P402" t="s">
        <v>3184</v>
      </c>
      <c r="Q402">
        <v>13</v>
      </c>
      <c r="R402" t="s">
        <v>2406</v>
      </c>
      <c r="S402" t="s">
        <v>2407</v>
      </c>
      <c r="T402">
        <v>1</v>
      </c>
      <c r="U402" t="s">
        <v>2430</v>
      </c>
      <c r="V402" t="s">
        <v>2431</v>
      </c>
      <c r="W402">
        <v>6</v>
      </c>
      <c r="X402" t="s">
        <v>2443</v>
      </c>
      <c r="Y402" t="s">
        <v>2444</v>
      </c>
      <c r="Z402">
        <v>3</v>
      </c>
      <c r="AA402" t="s">
        <v>73</v>
      </c>
      <c r="AB402" t="s">
        <v>73</v>
      </c>
      <c r="AF402">
        <v>427.22584812272612</v>
      </c>
      <c r="AG402">
        <v>7.71875</v>
      </c>
      <c r="AH402">
        <v>31</v>
      </c>
      <c r="AI402">
        <v>599</v>
      </c>
      <c r="AJ402">
        <v>97.987053469695667</v>
      </c>
      <c r="AK402">
        <v>778.07500000000005</v>
      </c>
      <c r="AL402">
        <v>2005</v>
      </c>
      <c r="AM402">
        <v>109.18187485757393</v>
      </c>
      <c r="AN402">
        <v>112</v>
      </c>
      <c r="AO402" t="s">
        <v>5853</v>
      </c>
      <c r="AP402" t="s">
        <v>541</v>
      </c>
    </row>
    <row r="403" spans="1:42" x14ac:dyDescent="0.25">
      <c r="A403">
        <v>402</v>
      </c>
      <c r="B403" t="s">
        <v>2744</v>
      </c>
      <c r="C403" t="s">
        <v>4161</v>
      </c>
      <c r="D403" t="s">
        <v>1687</v>
      </c>
      <c r="E403" t="s">
        <v>199</v>
      </c>
      <c r="F403" t="s">
        <v>200</v>
      </c>
      <c r="J403" t="s">
        <v>2697</v>
      </c>
      <c r="K403" t="s">
        <v>1180</v>
      </c>
      <c r="L403" t="s">
        <v>5068</v>
      </c>
      <c r="M403" t="s">
        <v>5069</v>
      </c>
      <c r="O403" t="s">
        <v>73</v>
      </c>
      <c r="P403" t="s">
        <v>73</v>
      </c>
      <c r="R403" t="s">
        <v>2409</v>
      </c>
      <c r="S403" t="s">
        <v>2410</v>
      </c>
      <c r="T403">
        <v>2</v>
      </c>
      <c r="U403" t="s">
        <v>73</v>
      </c>
      <c r="V403" t="s">
        <v>73</v>
      </c>
      <c r="X403" t="s">
        <v>73</v>
      </c>
      <c r="Y403" t="s">
        <v>73</v>
      </c>
      <c r="AA403" t="s">
        <v>73</v>
      </c>
      <c r="AB403" t="s">
        <v>73</v>
      </c>
      <c r="AF403">
        <v>426.97238111075865</v>
      </c>
      <c r="AG403">
        <v>6.9655172413792998</v>
      </c>
      <c r="AH403">
        <v>28</v>
      </c>
      <c r="AI403">
        <v>413</v>
      </c>
      <c r="AJ403">
        <v>139.88502115754846</v>
      </c>
      <c r="AK403">
        <v>702.15172413793005</v>
      </c>
      <c r="AL403">
        <v>2011</v>
      </c>
      <c r="AM403">
        <v>195.83902962056786</v>
      </c>
      <c r="AN403">
        <v>0</v>
      </c>
      <c r="AO403" t="s">
        <v>5854</v>
      </c>
      <c r="AP403" t="s">
        <v>1687</v>
      </c>
    </row>
    <row r="404" spans="1:42" x14ac:dyDescent="0.25">
      <c r="A404">
        <v>403</v>
      </c>
      <c r="B404" t="s">
        <v>2759</v>
      </c>
      <c r="C404" t="s">
        <v>2759</v>
      </c>
      <c r="D404" t="s">
        <v>2119</v>
      </c>
      <c r="E404" t="s">
        <v>137</v>
      </c>
      <c r="F404" t="s">
        <v>138</v>
      </c>
      <c r="G404" t="s">
        <v>139</v>
      </c>
      <c r="H404" t="s">
        <v>140</v>
      </c>
      <c r="I404" t="s">
        <v>2120</v>
      </c>
      <c r="J404" t="s">
        <v>426</v>
      </c>
      <c r="K404" t="s">
        <v>427</v>
      </c>
      <c r="L404" t="s">
        <v>4624</v>
      </c>
      <c r="M404" t="s">
        <v>4625</v>
      </c>
      <c r="Q404">
        <v>12</v>
      </c>
      <c r="R404" t="s">
        <v>2409</v>
      </c>
      <c r="S404" t="s">
        <v>2410</v>
      </c>
      <c r="T404">
        <v>2</v>
      </c>
      <c r="U404" t="s">
        <v>2430</v>
      </c>
      <c r="V404" t="s">
        <v>2431</v>
      </c>
      <c r="W404">
        <v>6</v>
      </c>
      <c r="X404" t="s">
        <v>2443</v>
      </c>
      <c r="Y404" t="s">
        <v>2444</v>
      </c>
      <c r="Z404">
        <v>3</v>
      </c>
      <c r="AA404" t="s">
        <v>73</v>
      </c>
      <c r="AB404" t="s">
        <v>73</v>
      </c>
      <c r="AF404">
        <v>426.56939674005429</v>
      </c>
      <c r="AG404">
        <v>7.3448275862069003</v>
      </c>
      <c r="AH404">
        <v>28</v>
      </c>
      <c r="AI404">
        <v>510</v>
      </c>
      <c r="AJ404">
        <v>118.3644638107881</v>
      </c>
      <c r="AK404">
        <v>740.08275862069002</v>
      </c>
      <c r="AL404">
        <v>2004</v>
      </c>
      <c r="AM404">
        <v>165.71024933510333</v>
      </c>
      <c r="AN404">
        <v>0</v>
      </c>
      <c r="AO404" t="s">
        <v>5855</v>
      </c>
      <c r="AP404" t="s">
        <v>2119</v>
      </c>
    </row>
    <row r="405" spans="1:42" x14ac:dyDescent="0.25">
      <c r="A405">
        <v>404</v>
      </c>
      <c r="B405" t="s">
        <v>3040</v>
      </c>
      <c r="C405" t="s">
        <v>4080</v>
      </c>
      <c r="D405" t="s">
        <v>3051</v>
      </c>
      <c r="E405" t="s">
        <v>183</v>
      </c>
      <c r="F405" t="s">
        <v>184</v>
      </c>
      <c r="G405" t="s">
        <v>158</v>
      </c>
      <c r="H405" t="s">
        <v>159</v>
      </c>
      <c r="I405" t="s">
        <v>3039</v>
      </c>
      <c r="J405" t="s">
        <v>3019</v>
      </c>
      <c r="K405" t="s">
        <v>3022</v>
      </c>
      <c r="O405" t="s">
        <v>3037</v>
      </c>
      <c r="P405" t="s">
        <v>3038</v>
      </c>
      <c r="R405" t="s">
        <v>2409</v>
      </c>
      <c r="S405" t="s">
        <v>2410</v>
      </c>
      <c r="T405">
        <v>2</v>
      </c>
      <c r="U405" t="s">
        <v>73</v>
      </c>
      <c r="V405" t="s">
        <v>73</v>
      </c>
      <c r="X405" t="s">
        <v>2446</v>
      </c>
      <c r="Y405" t="s">
        <v>2447</v>
      </c>
      <c r="Z405">
        <v>4</v>
      </c>
      <c r="AA405" t="s">
        <v>73</v>
      </c>
      <c r="AB405" t="s">
        <v>73</v>
      </c>
      <c r="AF405">
        <v>426.31563793954365</v>
      </c>
      <c r="AG405">
        <v>6.6666666666666998</v>
      </c>
      <c r="AH405">
        <v>5</v>
      </c>
      <c r="AI405">
        <v>334</v>
      </c>
      <c r="AJ405">
        <v>158.31367178467633</v>
      </c>
      <c r="AK405">
        <v>667.66666666666993</v>
      </c>
      <c r="AM405">
        <v>221.63914049854685</v>
      </c>
      <c r="AN405">
        <v>0</v>
      </c>
      <c r="AO405" t="s">
        <v>5856</v>
      </c>
      <c r="AP405" t="s">
        <v>3051</v>
      </c>
    </row>
    <row r="406" spans="1:42" x14ac:dyDescent="0.25">
      <c r="A406">
        <v>405</v>
      </c>
      <c r="B406" t="s">
        <v>2746</v>
      </c>
      <c r="C406" t="s">
        <v>2746</v>
      </c>
      <c r="D406" t="s">
        <v>5070</v>
      </c>
      <c r="E406" t="s">
        <v>199</v>
      </c>
      <c r="F406" t="s">
        <v>200</v>
      </c>
      <c r="J406" t="s">
        <v>2697</v>
      </c>
      <c r="K406" t="s">
        <v>1180</v>
      </c>
      <c r="L406" t="s">
        <v>5071</v>
      </c>
      <c r="M406" t="s">
        <v>5072</v>
      </c>
      <c r="O406" t="s">
        <v>5073</v>
      </c>
      <c r="P406" t="s">
        <v>5074</v>
      </c>
      <c r="Q406">
        <v>13</v>
      </c>
      <c r="R406" t="s">
        <v>2409</v>
      </c>
      <c r="S406" t="s">
        <v>2410</v>
      </c>
      <c r="T406">
        <v>2</v>
      </c>
      <c r="U406" t="s">
        <v>3139</v>
      </c>
      <c r="V406" t="s">
        <v>3140</v>
      </c>
      <c r="W406">
        <v>4</v>
      </c>
      <c r="X406" t="s">
        <v>2443</v>
      </c>
      <c r="Y406" t="s">
        <v>2444</v>
      </c>
      <c r="Z406">
        <v>3</v>
      </c>
      <c r="AA406" t="s">
        <v>73</v>
      </c>
      <c r="AB406" t="s">
        <v>73</v>
      </c>
      <c r="AF406">
        <v>425.8177269134552</v>
      </c>
      <c r="AG406">
        <v>6.8</v>
      </c>
      <c r="AH406">
        <v>24</v>
      </c>
      <c r="AI406">
        <v>364</v>
      </c>
      <c r="AJ406">
        <v>148.241918792728</v>
      </c>
      <c r="AK406">
        <v>684.8</v>
      </c>
      <c r="AM406">
        <v>207.53868630981918</v>
      </c>
      <c r="AN406">
        <v>0</v>
      </c>
      <c r="AO406" t="s">
        <v>5857</v>
      </c>
      <c r="AP406" t="s">
        <v>5070</v>
      </c>
    </row>
    <row r="407" spans="1:42" x14ac:dyDescent="0.25">
      <c r="A407">
        <v>406</v>
      </c>
      <c r="B407" t="s">
        <v>1661</v>
      </c>
      <c r="C407" t="s">
        <v>4173</v>
      </c>
      <c r="D407" t="s">
        <v>3028</v>
      </c>
      <c r="E407" t="s">
        <v>218</v>
      </c>
      <c r="F407" t="s">
        <v>219</v>
      </c>
      <c r="G407" t="s">
        <v>69</v>
      </c>
      <c r="H407" t="s">
        <v>70</v>
      </c>
      <c r="I407" t="s">
        <v>3593</v>
      </c>
      <c r="J407" t="s">
        <v>251</v>
      </c>
      <c r="K407" t="s">
        <v>252</v>
      </c>
      <c r="L407" t="s">
        <v>4988</v>
      </c>
      <c r="M407" t="s">
        <v>4922</v>
      </c>
      <c r="R407" t="s">
        <v>73</v>
      </c>
      <c r="S407" t="s">
        <v>73</v>
      </c>
      <c r="U407" t="s">
        <v>73</v>
      </c>
      <c r="V407" t="s">
        <v>73</v>
      </c>
      <c r="X407" t="s">
        <v>73</v>
      </c>
      <c r="Y407" t="s">
        <v>73</v>
      </c>
      <c r="AF407">
        <v>424.96898254293978</v>
      </c>
      <c r="AG407">
        <v>7.5714285714285996</v>
      </c>
      <c r="AH407">
        <v>13</v>
      </c>
      <c r="AI407">
        <v>569</v>
      </c>
      <c r="AJ407">
        <v>105.66394885723312</v>
      </c>
      <c r="AK407">
        <v>759.74285714285998</v>
      </c>
      <c r="AM407">
        <v>91.929528400126372</v>
      </c>
      <c r="AN407">
        <v>224</v>
      </c>
      <c r="AO407" t="s">
        <v>5858</v>
      </c>
      <c r="AP407" t="s">
        <v>3028</v>
      </c>
    </row>
    <row r="408" spans="1:42" x14ac:dyDescent="0.25">
      <c r="A408">
        <v>407</v>
      </c>
      <c r="B408" t="s">
        <v>2323</v>
      </c>
      <c r="C408" t="s">
        <v>4155</v>
      </c>
      <c r="D408" t="s">
        <v>2324</v>
      </c>
      <c r="E408" t="s">
        <v>199</v>
      </c>
      <c r="F408" t="s">
        <v>200</v>
      </c>
      <c r="I408" t="s">
        <v>2325</v>
      </c>
      <c r="J408" t="s">
        <v>649</v>
      </c>
      <c r="K408" t="s">
        <v>650</v>
      </c>
      <c r="L408" t="s">
        <v>5191</v>
      </c>
      <c r="M408" t="s">
        <v>5192</v>
      </c>
      <c r="Q408">
        <v>11</v>
      </c>
      <c r="R408" t="s">
        <v>2409</v>
      </c>
      <c r="S408" t="s">
        <v>2410</v>
      </c>
      <c r="T408">
        <v>2</v>
      </c>
      <c r="U408" t="s">
        <v>3137</v>
      </c>
      <c r="V408" t="s">
        <v>3136</v>
      </c>
      <c r="W408">
        <v>5</v>
      </c>
      <c r="X408" t="s">
        <v>2437</v>
      </c>
      <c r="Y408" t="s">
        <v>2438</v>
      </c>
      <c r="Z408">
        <v>1</v>
      </c>
      <c r="AA408" t="s">
        <v>73</v>
      </c>
      <c r="AB408" t="s">
        <v>73</v>
      </c>
      <c r="AE408" t="s">
        <v>2326</v>
      </c>
      <c r="AF408">
        <v>424.92466973656741</v>
      </c>
      <c r="AG408">
        <v>8.375</v>
      </c>
      <c r="AH408">
        <v>47</v>
      </c>
      <c r="AI408">
        <v>804</v>
      </c>
      <c r="AJ408">
        <v>57.194077485074914</v>
      </c>
      <c r="AK408">
        <v>846.9</v>
      </c>
      <c r="AL408">
        <v>2005</v>
      </c>
      <c r="AM408">
        <v>80.071708479104871</v>
      </c>
      <c r="AN408">
        <v>0</v>
      </c>
      <c r="AO408" t="s">
        <v>5859</v>
      </c>
      <c r="AP408" t="s">
        <v>2324</v>
      </c>
    </row>
    <row r="409" spans="1:42" x14ac:dyDescent="0.25">
      <c r="A409">
        <v>408</v>
      </c>
      <c r="B409" t="s">
        <v>4025</v>
      </c>
      <c r="C409" t="s">
        <v>4025</v>
      </c>
      <c r="D409" t="s">
        <v>4045</v>
      </c>
      <c r="E409" t="s">
        <v>3643</v>
      </c>
      <c r="F409" t="s">
        <v>786</v>
      </c>
      <c r="G409" t="s">
        <v>60</v>
      </c>
      <c r="H409" t="s">
        <v>61</v>
      </c>
      <c r="I409" t="s">
        <v>4044</v>
      </c>
      <c r="R409" t="s">
        <v>73</v>
      </c>
      <c r="S409" t="s">
        <v>73</v>
      </c>
      <c r="U409" t="s">
        <v>73</v>
      </c>
      <c r="V409" t="s">
        <v>73</v>
      </c>
      <c r="X409" t="s">
        <v>73</v>
      </c>
      <c r="Y409" t="s">
        <v>73</v>
      </c>
      <c r="AA409" t="s">
        <v>73</v>
      </c>
      <c r="AB409" t="s">
        <v>73</v>
      </c>
      <c r="AF409">
        <v>424.79073032354813</v>
      </c>
      <c r="AG409">
        <v>6.75</v>
      </c>
      <c r="AH409">
        <v>3</v>
      </c>
      <c r="AI409">
        <v>352</v>
      </c>
      <c r="AJ409">
        <v>152.21192258172016</v>
      </c>
      <c r="AK409">
        <v>675.6</v>
      </c>
      <c r="AM409">
        <v>101.0966916144082</v>
      </c>
      <c r="AN409">
        <v>448</v>
      </c>
      <c r="AO409" t="s">
        <v>5860</v>
      </c>
      <c r="AP409" t="s">
        <v>4045</v>
      </c>
    </row>
    <row r="410" spans="1:42" x14ac:dyDescent="0.25">
      <c r="A410">
        <v>409</v>
      </c>
      <c r="B410" t="s">
        <v>1632</v>
      </c>
      <c r="C410" t="s">
        <v>1632</v>
      </c>
      <c r="D410" t="s">
        <v>5075</v>
      </c>
      <c r="E410" t="s">
        <v>255</v>
      </c>
      <c r="F410" t="s">
        <v>256</v>
      </c>
      <c r="G410" t="s">
        <v>257</v>
      </c>
      <c r="H410" t="s">
        <v>258</v>
      </c>
      <c r="I410" t="s">
        <v>1633</v>
      </c>
      <c r="J410" t="s">
        <v>382</v>
      </c>
      <c r="K410" t="s">
        <v>383</v>
      </c>
      <c r="L410">
        <v>52.772574924700002</v>
      </c>
      <c r="M410">
        <v>5.1131466255099998</v>
      </c>
      <c r="O410" t="s">
        <v>2580</v>
      </c>
      <c r="P410" t="s">
        <v>2581</v>
      </c>
      <c r="Q410">
        <v>13</v>
      </c>
      <c r="R410" t="s">
        <v>2414</v>
      </c>
      <c r="S410" t="s">
        <v>2415</v>
      </c>
      <c r="T410">
        <v>3</v>
      </c>
      <c r="U410" t="s">
        <v>3137</v>
      </c>
      <c r="V410" t="s">
        <v>3136</v>
      </c>
      <c r="W410">
        <v>5</v>
      </c>
      <c r="X410" t="s">
        <v>2446</v>
      </c>
      <c r="Y410" t="s">
        <v>2447</v>
      </c>
      <c r="Z410">
        <v>4</v>
      </c>
      <c r="AA410" t="s">
        <v>73</v>
      </c>
      <c r="AB410" t="s">
        <v>73</v>
      </c>
      <c r="AE410" t="s">
        <v>5076</v>
      </c>
      <c r="AF410">
        <v>424.69369546066969</v>
      </c>
      <c r="AG410">
        <v>6.9282051282051</v>
      </c>
      <c r="AH410">
        <v>194</v>
      </c>
      <c r="AI410">
        <v>496</v>
      </c>
      <c r="AJ410">
        <v>120.98159894490523</v>
      </c>
      <c r="AK410">
        <v>731.62051282050993</v>
      </c>
      <c r="AM410">
        <v>169.3742385228673</v>
      </c>
      <c r="AN410">
        <v>0</v>
      </c>
      <c r="AO410" t="s">
        <v>5861</v>
      </c>
      <c r="AP410" t="s">
        <v>5075</v>
      </c>
    </row>
    <row r="411" spans="1:42" x14ac:dyDescent="0.25">
      <c r="A411">
        <v>410</v>
      </c>
      <c r="B411" t="s">
        <v>959</v>
      </c>
      <c r="C411" t="s">
        <v>959</v>
      </c>
      <c r="D411" t="s">
        <v>960</v>
      </c>
      <c r="E411" t="s">
        <v>199</v>
      </c>
      <c r="F411" t="s">
        <v>200</v>
      </c>
      <c r="J411" t="s">
        <v>649</v>
      </c>
      <c r="K411" t="s">
        <v>650</v>
      </c>
      <c r="L411" t="s">
        <v>5171</v>
      </c>
      <c r="M411" t="s">
        <v>5172</v>
      </c>
      <c r="R411" t="s">
        <v>73</v>
      </c>
      <c r="S411" t="s">
        <v>73</v>
      </c>
      <c r="U411" t="s">
        <v>73</v>
      </c>
      <c r="V411" t="s">
        <v>73</v>
      </c>
      <c r="X411" t="s">
        <v>73</v>
      </c>
      <c r="Y411" t="s">
        <v>73</v>
      </c>
      <c r="AA411" t="s">
        <v>961</v>
      </c>
      <c r="AB411" t="s">
        <v>961</v>
      </c>
      <c r="AF411">
        <v>424.42812062972519</v>
      </c>
      <c r="AG411">
        <v>6.2142857142857002</v>
      </c>
      <c r="AH411">
        <v>13</v>
      </c>
      <c r="AI411">
        <v>269</v>
      </c>
      <c r="AJ411">
        <v>180.45981657271128</v>
      </c>
      <c r="AK411">
        <v>624.02857142856999</v>
      </c>
      <c r="AL411">
        <v>2008</v>
      </c>
      <c r="AM411">
        <v>252.64374320179579</v>
      </c>
      <c r="AN411">
        <v>0</v>
      </c>
      <c r="AO411" t="s">
        <v>5862</v>
      </c>
      <c r="AP411" t="s">
        <v>960</v>
      </c>
    </row>
    <row r="412" spans="1:42" x14ac:dyDescent="0.25">
      <c r="A412">
        <v>411</v>
      </c>
      <c r="B412" t="s">
        <v>3371</v>
      </c>
      <c r="C412" t="s">
        <v>3371</v>
      </c>
      <c r="D412" t="s">
        <v>5439</v>
      </c>
      <c r="E412" t="s">
        <v>67</v>
      </c>
      <c r="F412" t="s">
        <v>68</v>
      </c>
      <c r="G412" t="s">
        <v>69</v>
      </c>
      <c r="H412" t="s">
        <v>70</v>
      </c>
      <c r="I412" t="s">
        <v>3842</v>
      </c>
      <c r="J412" t="s">
        <v>437</v>
      </c>
      <c r="K412" t="s">
        <v>438</v>
      </c>
      <c r="L412" t="s">
        <v>5352</v>
      </c>
      <c r="M412" t="s">
        <v>5353</v>
      </c>
      <c r="O412" t="s">
        <v>439</v>
      </c>
      <c r="P412" t="s">
        <v>440</v>
      </c>
      <c r="Q412">
        <v>13</v>
      </c>
      <c r="R412" t="s">
        <v>2417</v>
      </c>
      <c r="S412" t="s">
        <v>2418</v>
      </c>
      <c r="T412">
        <v>4</v>
      </c>
      <c r="U412" t="s">
        <v>3137</v>
      </c>
      <c r="V412" t="s">
        <v>3136</v>
      </c>
      <c r="W412">
        <v>5</v>
      </c>
      <c r="X412" t="s">
        <v>2437</v>
      </c>
      <c r="Y412" t="s">
        <v>2438</v>
      </c>
      <c r="Z412">
        <v>1</v>
      </c>
      <c r="AA412" t="s">
        <v>73</v>
      </c>
      <c r="AB412" t="s">
        <v>73</v>
      </c>
      <c r="AF412">
        <v>424.33301238298941</v>
      </c>
      <c r="AG412">
        <v>6.3333333333333002</v>
      </c>
      <c r="AH412">
        <v>5</v>
      </c>
      <c r="AI412">
        <v>284</v>
      </c>
      <c r="AJ412">
        <v>174.62927301813818</v>
      </c>
      <c r="AK412">
        <v>634.33333333333007</v>
      </c>
      <c r="AM412">
        <v>216.48098222539343</v>
      </c>
      <c r="AN412">
        <v>112</v>
      </c>
      <c r="AO412" t="s">
        <v>5863</v>
      </c>
      <c r="AP412" t="s">
        <v>5439</v>
      </c>
    </row>
    <row r="413" spans="1:42" x14ac:dyDescent="0.25">
      <c r="A413">
        <v>412</v>
      </c>
      <c r="B413" t="s">
        <v>2857</v>
      </c>
      <c r="C413" t="s">
        <v>2857</v>
      </c>
      <c r="D413" t="s">
        <v>2947</v>
      </c>
      <c r="E413" t="s">
        <v>91</v>
      </c>
      <c r="F413" t="s">
        <v>92</v>
      </c>
      <c r="G413" t="s">
        <v>632</v>
      </c>
      <c r="H413" t="s">
        <v>633</v>
      </c>
      <c r="I413" t="s">
        <v>3061</v>
      </c>
      <c r="J413" t="s">
        <v>3070</v>
      </c>
      <c r="K413" t="s">
        <v>3071</v>
      </c>
      <c r="L413" t="s">
        <v>4496</v>
      </c>
      <c r="M413" t="s">
        <v>4497</v>
      </c>
      <c r="R413" t="s">
        <v>2409</v>
      </c>
      <c r="S413" t="s">
        <v>2410</v>
      </c>
      <c r="T413">
        <v>2</v>
      </c>
      <c r="U413" t="s">
        <v>2430</v>
      </c>
      <c r="V413" t="s">
        <v>2431</v>
      </c>
      <c r="W413">
        <v>6</v>
      </c>
      <c r="X413" t="s">
        <v>2446</v>
      </c>
      <c r="Y413" t="s">
        <v>2447</v>
      </c>
      <c r="Z413">
        <v>4</v>
      </c>
      <c r="AF413">
        <v>424.10506857942852</v>
      </c>
      <c r="AG413">
        <v>7.8571428571429003</v>
      </c>
      <c r="AH413">
        <v>6</v>
      </c>
      <c r="AI413">
        <v>633</v>
      </c>
      <c r="AJ413">
        <v>89.608806358092764</v>
      </c>
      <c r="AK413">
        <v>786.91428571429003</v>
      </c>
      <c r="AM413">
        <v>69.452328901329864</v>
      </c>
      <c r="AN413">
        <v>224</v>
      </c>
      <c r="AO413" t="s">
        <v>5864</v>
      </c>
      <c r="AP413" t="s">
        <v>2947</v>
      </c>
    </row>
    <row r="414" spans="1:42" x14ac:dyDescent="0.25">
      <c r="A414">
        <v>413</v>
      </c>
      <c r="B414" t="s">
        <v>1707</v>
      </c>
      <c r="C414" t="s">
        <v>4160</v>
      </c>
      <c r="D414" t="s">
        <v>4823</v>
      </c>
      <c r="E414" t="s">
        <v>420</v>
      </c>
      <c r="F414" t="s">
        <v>421</v>
      </c>
      <c r="G414" t="s">
        <v>179</v>
      </c>
      <c r="H414" t="s">
        <v>180</v>
      </c>
      <c r="I414" t="s">
        <v>1121</v>
      </c>
      <c r="O414" t="s">
        <v>3031</v>
      </c>
      <c r="P414" t="s">
        <v>3031</v>
      </c>
      <c r="Q414">
        <v>12</v>
      </c>
      <c r="R414" t="s">
        <v>2420</v>
      </c>
      <c r="S414" t="s">
        <v>2421</v>
      </c>
      <c r="T414">
        <v>5</v>
      </c>
      <c r="U414" t="s">
        <v>2432</v>
      </c>
      <c r="V414" t="s">
        <v>2433</v>
      </c>
      <c r="W414">
        <v>7</v>
      </c>
      <c r="X414" t="s">
        <v>2437</v>
      </c>
      <c r="Y414" t="s">
        <v>2438</v>
      </c>
      <c r="Z414">
        <v>1</v>
      </c>
      <c r="AA414" t="s">
        <v>3030</v>
      </c>
      <c r="AB414" t="s">
        <v>3030</v>
      </c>
      <c r="AC414" t="s">
        <v>3032</v>
      </c>
      <c r="AD414" t="s">
        <v>3032</v>
      </c>
      <c r="AF414">
        <v>423.96542796870989</v>
      </c>
      <c r="AG414">
        <v>7.375</v>
      </c>
      <c r="AH414">
        <v>7</v>
      </c>
      <c r="AI414">
        <v>527</v>
      </c>
      <c r="AJ414">
        <v>116.12825329856655</v>
      </c>
      <c r="AK414">
        <v>738.9</v>
      </c>
      <c r="AM414">
        <v>50.579554617993146</v>
      </c>
      <c r="AN414">
        <v>448</v>
      </c>
      <c r="AO414" t="s">
        <v>5865</v>
      </c>
      <c r="AP414" t="s">
        <v>4823</v>
      </c>
    </row>
    <row r="415" spans="1:42" x14ac:dyDescent="0.25">
      <c r="A415">
        <v>414</v>
      </c>
      <c r="B415" t="s">
        <v>1475</v>
      </c>
      <c r="C415" t="s">
        <v>4148</v>
      </c>
      <c r="D415" t="s">
        <v>1476</v>
      </c>
      <c r="E415" t="s">
        <v>137</v>
      </c>
      <c r="F415" t="s">
        <v>138</v>
      </c>
      <c r="G415" t="s">
        <v>139</v>
      </c>
      <c r="H415" t="s">
        <v>140</v>
      </c>
      <c r="I415" t="s">
        <v>1476</v>
      </c>
      <c r="J415" t="s">
        <v>296</v>
      </c>
      <c r="K415" t="s">
        <v>297</v>
      </c>
      <c r="L415" t="s">
        <v>4662</v>
      </c>
      <c r="M415" t="s">
        <v>4663</v>
      </c>
      <c r="Q415">
        <v>12</v>
      </c>
      <c r="R415" t="s">
        <v>2406</v>
      </c>
      <c r="S415" t="s">
        <v>2407</v>
      </c>
      <c r="T415">
        <v>1</v>
      </c>
      <c r="U415" t="s">
        <v>2430</v>
      </c>
      <c r="V415" t="s">
        <v>2431</v>
      </c>
      <c r="W415">
        <v>6</v>
      </c>
      <c r="X415" t="s">
        <v>2446</v>
      </c>
      <c r="Y415" t="s">
        <v>2447</v>
      </c>
      <c r="Z415">
        <v>4</v>
      </c>
      <c r="AF415">
        <v>423.79377724609412</v>
      </c>
      <c r="AG415">
        <v>7.2916666666666998</v>
      </c>
      <c r="AH415">
        <v>23</v>
      </c>
      <c r="AI415">
        <v>509</v>
      </c>
      <c r="AJ415">
        <v>118.78938212528793</v>
      </c>
      <c r="AK415">
        <v>733.76666666666995</v>
      </c>
      <c r="AM415">
        <v>166.30513497540309</v>
      </c>
      <c r="AN415">
        <v>0</v>
      </c>
      <c r="AO415" t="s">
        <v>5866</v>
      </c>
      <c r="AP415" t="s">
        <v>1476</v>
      </c>
    </row>
    <row r="416" spans="1:42" x14ac:dyDescent="0.25">
      <c r="A416">
        <v>415</v>
      </c>
      <c r="B416" t="s">
        <v>2923</v>
      </c>
      <c r="C416" t="s">
        <v>4154</v>
      </c>
      <c r="D416" t="s">
        <v>2924</v>
      </c>
      <c r="E416" t="s">
        <v>199</v>
      </c>
      <c r="F416" t="s">
        <v>200</v>
      </c>
      <c r="I416" t="s">
        <v>1853</v>
      </c>
      <c r="J416" t="s">
        <v>3164</v>
      </c>
      <c r="K416" t="s">
        <v>309</v>
      </c>
      <c r="L416" t="s">
        <v>5181</v>
      </c>
      <c r="M416" t="s">
        <v>5182</v>
      </c>
      <c r="O416" t="s">
        <v>2605</v>
      </c>
      <c r="P416" t="s">
        <v>2605</v>
      </c>
      <c r="Q416">
        <v>15</v>
      </c>
      <c r="R416" t="s">
        <v>2414</v>
      </c>
      <c r="S416" t="s">
        <v>2415</v>
      </c>
      <c r="T416">
        <v>3</v>
      </c>
      <c r="U416" t="s">
        <v>2432</v>
      </c>
      <c r="V416" t="s">
        <v>2433</v>
      </c>
      <c r="W416">
        <v>7</v>
      </c>
      <c r="X416" t="s">
        <v>2437</v>
      </c>
      <c r="Y416" t="s">
        <v>2438</v>
      </c>
      <c r="Z416">
        <v>1</v>
      </c>
      <c r="AA416" t="s">
        <v>73</v>
      </c>
      <c r="AB416" t="s">
        <v>73</v>
      </c>
      <c r="AE416" t="s">
        <v>1854</v>
      </c>
      <c r="AF416">
        <v>423.69641434551647</v>
      </c>
      <c r="AG416">
        <v>8.0857142857142996</v>
      </c>
      <c r="AH416">
        <v>34</v>
      </c>
      <c r="AI416">
        <v>725</v>
      </c>
      <c r="AJ416">
        <v>73.345222288668396</v>
      </c>
      <c r="AK416">
        <v>815.37142857142987</v>
      </c>
      <c r="AL416">
        <v>2005</v>
      </c>
      <c r="AM416">
        <v>102.68331120413575</v>
      </c>
      <c r="AN416">
        <v>0</v>
      </c>
      <c r="AO416" t="s">
        <v>5867</v>
      </c>
      <c r="AP416" t="s">
        <v>2924</v>
      </c>
    </row>
    <row r="417" spans="1:42" x14ac:dyDescent="0.25">
      <c r="A417">
        <v>416</v>
      </c>
      <c r="B417" t="s">
        <v>3326</v>
      </c>
      <c r="C417" t="s">
        <v>3326</v>
      </c>
      <c r="D417" t="s">
        <v>3529</v>
      </c>
      <c r="E417" t="s">
        <v>471</v>
      </c>
      <c r="F417" t="s">
        <v>472</v>
      </c>
      <c r="G417" t="s">
        <v>93</v>
      </c>
      <c r="H417" t="s">
        <v>94</v>
      </c>
      <c r="J417" t="s">
        <v>3513</v>
      </c>
      <c r="K417" t="s">
        <v>3467</v>
      </c>
      <c r="O417" t="s">
        <v>3488</v>
      </c>
      <c r="P417" t="s">
        <v>3489</v>
      </c>
      <c r="Q417">
        <v>13</v>
      </c>
      <c r="R417" t="s">
        <v>2409</v>
      </c>
      <c r="S417" t="s">
        <v>2410</v>
      </c>
      <c r="T417">
        <v>2</v>
      </c>
      <c r="U417" t="s">
        <v>2432</v>
      </c>
      <c r="V417" t="s">
        <v>2433</v>
      </c>
      <c r="W417">
        <v>7</v>
      </c>
      <c r="X417" t="s">
        <v>2440</v>
      </c>
      <c r="Y417" t="s">
        <v>2441</v>
      </c>
      <c r="Z417">
        <v>2</v>
      </c>
      <c r="AA417" t="s">
        <v>73</v>
      </c>
      <c r="AB417" t="s">
        <v>73</v>
      </c>
      <c r="AE417" t="s">
        <v>3490</v>
      </c>
      <c r="AF417">
        <v>423.20494987629803</v>
      </c>
      <c r="AG417">
        <v>7.3333333333333002</v>
      </c>
      <c r="AH417">
        <v>8</v>
      </c>
      <c r="AI417">
        <v>518</v>
      </c>
      <c r="AJ417">
        <v>117.48698134403665</v>
      </c>
      <c r="AK417">
        <v>734.9333333333301</v>
      </c>
      <c r="AM417">
        <v>136.48177388165129</v>
      </c>
      <c r="AN417">
        <v>112</v>
      </c>
      <c r="AO417" t="s">
        <v>5868</v>
      </c>
      <c r="AP417" t="s">
        <v>3529</v>
      </c>
    </row>
    <row r="418" spans="1:42" x14ac:dyDescent="0.25">
      <c r="A418">
        <v>417</v>
      </c>
      <c r="B418" t="s">
        <v>2763</v>
      </c>
      <c r="C418" t="s">
        <v>2763</v>
      </c>
      <c r="D418" t="s">
        <v>2307</v>
      </c>
      <c r="E418" t="s">
        <v>199</v>
      </c>
      <c r="F418" t="s">
        <v>200</v>
      </c>
      <c r="J418" t="s">
        <v>452</v>
      </c>
      <c r="K418" t="s">
        <v>453</v>
      </c>
      <c r="L418" t="s">
        <v>4573</v>
      </c>
      <c r="M418" t="s">
        <v>4574</v>
      </c>
      <c r="R418" t="s">
        <v>2414</v>
      </c>
      <c r="S418" t="s">
        <v>2415</v>
      </c>
      <c r="T418">
        <v>3</v>
      </c>
      <c r="U418" t="s">
        <v>73</v>
      </c>
      <c r="V418" t="s">
        <v>73</v>
      </c>
      <c r="X418" t="s">
        <v>73</v>
      </c>
      <c r="Y418" t="s">
        <v>73</v>
      </c>
      <c r="AA418" t="s">
        <v>73</v>
      </c>
      <c r="AB418" t="s">
        <v>73</v>
      </c>
      <c r="AF418">
        <v>422.98192474002963</v>
      </c>
      <c r="AG418">
        <v>6.1666666666666998</v>
      </c>
      <c r="AH418">
        <v>11</v>
      </c>
      <c r="AI418">
        <v>264</v>
      </c>
      <c r="AJ418">
        <v>181.72065711854964</v>
      </c>
      <c r="AK418">
        <v>618.86666666666997</v>
      </c>
      <c r="AM418">
        <v>254.40891996596949</v>
      </c>
      <c r="AN418">
        <v>0</v>
      </c>
      <c r="AO418" t="s">
        <v>5869</v>
      </c>
      <c r="AP418" t="s">
        <v>2307</v>
      </c>
    </row>
    <row r="419" spans="1:42" x14ac:dyDescent="0.25">
      <c r="A419">
        <v>418</v>
      </c>
      <c r="B419" t="s">
        <v>230</v>
      </c>
      <c r="C419" t="s">
        <v>230</v>
      </c>
      <c r="D419" t="s">
        <v>231</v>
      </c>
      <c r="E419" t="s">
        <v>218</v>
      </c>
      <c r="F419" t="s">
        <v>219</v>
      </c>
      <c r="G419" t="s">
        <v>69</v>
      </c>
      <c r="H419" t="s">
        <v>70</v>
      </c>
      <c r="I419" t="s">
        <v>232</v>
      </c>
      <c r="J419" t="s">
        <v>233</v>
      </c>
      <c r="K419" t="s">
        <v>234</v>
      </c>
      <c r="L419" t="s">
        <v>4948</v>
      </c>
      <c r="M419" t="s">
        <v>4949</v>
      </c>
      <c r="R419" t="s">
        <v>73</v>
      </c>
      <c r="S419" t="s">
        <v>73</v>
      </c>
      <c r="U419" t="s">
        <v>73</v>
      </c>
      <c r="V419" t="s">
        <v>73</v>
      </c>
      <c r="X419" t="s">
        <v>73</v>
      </c>
      <c r="Y419" t="s">
        <v>73</v>
      </c>
      <c r="AF419">
        <v>422.00654867226558</v>
      </c>
      <c r="AG419">
        <v>6.7692307692308002</v>
      </c>
      <c r="AH419">
        <v>12</v>
      </c>
      <c r="AI419">
        <v>376</v>
      </c>
      <c r="AJ419">
        <v>147.05001134525062</v>
      </c>
      <c r="AK419">
        <v>679.32307692307995</v>
      </c>
      <c r="AM419">
        <v>149.87001588335087</v>
      </c>
      <c r="AN419">
        <v>224</v>
      </c>
      <c r="AO419" t="s">
        <v>5870</v>
      </c>
      <c r="AP419" t="s">
        <v>231</v>
      </c>
    </row>
    <row r="420" spans="1:42" x14ac:dyDescent="0.25">
      <c r="A420">
        <v>419</v>
      </c>
      <c r="B420" t="s">
        <v>1634</v>
      </c>
      <c r="C420" t="s">
        <v>1634</v>
      </c>
      <c r="D420" t="s">
        <v>1635</v>
      </c>
      <c r="E420" t="s">
        <v>137</v>
      </c>
      <c r="F420" t="s">
        <v>138</v>
      </c>
      <c r="G420" t="s">
        <v>139</v>
      </c>
      <c r="H420" t="s">
        <v>140</v>
      </c>
      <c r="I420" t="s">
        <v>1636</v>
      </c>
      <c r="J420" t="s">
        <v>689</v>
      </c>
      <c r="K420" t="s">
        <v>690</v>
      </c>
      <c r="L420" t="s">
        <v>4658</v>
      </c>
      <c r="M420" t="s">
        <v>4659</v>
      </c>
      <c r="O420" t="s">
        <v>2582</v>
      </c>
      <c r="P420" t="s">
        <v>2583</v>
      </c>
      <c r="R420" t="s">
        <v>2406</v>
      </c>
      <c r="S420" t="s">
        <v>2407</v>
      </c>
      <c r="T420">
        <v>1</v>
      </c>
      <c r="U420" t="s">
        <v>2432</v>
      </c>
      <c r="V420" t="s">
        <v>2433</v>
      </c>
      <c r="W420">
        <v>7</v>
      </c>
      <c r="X420" t="s">
        <v>2437</v>
      </c>
      <c r="Y420" t="s">
        <v>2438</v>
      </c>
      <c r="Z420">
        <v>1</v>
      </c>
      <c r="AA420" t="s">
        <v>73</v>
      </c>
      <c r="AB420" t="s">
        <v>73</v>
      </c>
      <c r="AE420" t="s">
        <v>1637</v>
      </c>
      <c r="AF420">
        <v>421.74197980490408</v>
      </c>
      <c r="AG420">
        <v>8.1999999999999993</v>
      </c>
      <c r="AH420">
        <v>54</v>
      </c>
      <c r="AI420">
        <v>759</v>
      </c>
      <c r="AJ420">
        <v>62.60219978322683</v>
      </c>
      <c r="AK420">
        <v>830.79999999999984</v>
      </c>
      <c r="AM420">
        <v>87.64307969651756</v>
      </c>
      <c r="AN420">
        <v>0</v>
      </c>
      <c r="AO420" t="s">
        <v>5871</v>
      </c>
      <c r="AP420" t="s">
        <v>1635</v>
      </c>
    </row>
    <row r="421" spans="1:42" x14ac:dyDescent="0.25">
      <c r="A421">
        <v>420</v>
      </c>
      <c r="B421" t="s">
        <v>2206</v>
      </c>
      <c r="C421" t="s">
        <v>2206</v>
      </c>
      <c r="D421" t="s">
        <v>3836</v>
      </c>
      <c r="E421" t="s">
        <v>67</v>
      </c>
      <c r="F421" t="s">
        <v>68</v>
      </c>
      <c r="G421" t="s">
        <v>3845</v>
      </c>
      <c r="H421" t="s">
        <v>3846</v>
      </c>
      <c r="J421" t="s">
        <v>71</v>
      </c>
      <c r="K421" t="s">
        <v>72</v>
      </c>
      <c r="L421" t="s">
        <v>5356</v>
      </c>
      <c r="M421" t="s">
        <v>5357</v>
      </c>
      <c r="R421" t="s">
        <v>73</v>
      </c>
      <c r="S421" t="s">
        <v>73</v>
      </c>
      <c r="U421" t="s">
        <v>73</v>
      </c>
      <c r="V421" t="s">
        <v>73</v>
      </c>
      <c r="X421" t="s">
        <v>73</v>
      </c>
      <c r="Y421" t="s">
        <v>73</v>
      </c>
      <c r="AA421" t="s">
        <v>73</v>
      </c>
      <c r="AB421" t="s">
        <v>73</v>
      </c>
      <c r="AF421">
        <v>421.40577478386001</v>
      </c>
      <c r="AG421">
        <v>7.6875</v>
      </c>
      <c r="AH421">
        <v>31</v>
      </c>
      <c r="AI421">
        <v>616</v>
      </c>
      <c r="AJ421">
        <v>93.256416426511109</v>
      </c>
      <c r="AK421">
        <v>774.95</v>
      </c>
      <c r="AL421">
        <v>2007</v>
      </c>
      <c r="AM421">
        <v>102.55898299711554</v>
      </c>
      <c r="AN421">
        <v>112</v>
      </c>
      <c r="AO421" t="s">
        <v>5872</v>
      </c>
      <c r="AP421" t="s">
        <v>3836</v>
      </c>
    </row>
    <row r="422" spans="1:42" x14ac:dyDescent="0.25">
      <c r="A422">
        <v>421</v>
      </c>
      <c r="B422" t="s">
        <v>4022</v>
      </c>
      <c r="C422" t="s">
        <v>4022</v>
      </c>
      <c r="D422" t="s">
        <v>4024</v>
      </c>
      <c r="E422" t="s">
        <v>3377</v>
      </c>
      <c r="F422" t="s">
        <v>3355</v>
      </c>
      <c r="G422" t="s">
        <v>60</v>
      </c>
      <c r="H422" t="s">
        <v>61</v>
      </c>
      <c r="R422" t="s">
        <v>73</v>
      </c>
      <c r="S422" t="s">
        <v>73</v>
      </c>
      <c r="U422" t="s">
        <v>73</v>
      </c>
      <c r="V422" t="s">
        <v>73</v>
      </c>
      <c r="X422" t="s">
        <v>73</v>
      </c>
      <c r="Y422" t="s">
        <v>73</v>
      </c>
      <c r="AA422" t="s">
        <v>73</v>
      </c>
      <c r="AB422" t="s">
        <v>73</v>
      </c>
      <c r="AF422">
        <v>421.28089279698469</v>
      </c>
      <c r="AG422">
        <v>7.2857142857142998</v>
      </c>
      <c r="AH422">
        <v>6</v>
      </c>
      <c r="AI422">
        <v>512</v>
      </c>
      <c r="AJ422">
        <v>118.21686501252185</v>
      </c>
      <c r="AK422">
        <v>729.77142857143008</v>
      </c>
      <c r="AM422">
        <v>53.503611017530567</v>
      </c>
      <c r="AN422">
        <v>448</v>
      </c>
      <c r="AO422" t="s">
        <v>5873</v>
      </c>
      <c r="AP422" t="s">
        <v>4024</v>
      </c>
    </row>
    <row r="423" spans="1:42" x14ac:dyDescent="0.25">
      <c r="A423">
        <v>422</v>
      </c>
      <c r="B423" t="s">
        <v>741</v>
      </c>
      <c r="C423" t="s">
        <v>741</v>
      </c>
      <c r="D423" t="s">
        <v>742</v>
      </c>
      <c r="E423" t="s">
        <v>161</v>
      </c>
      <c r="F423" t="s">
        <v>161</v>
      </c>
      <c r="G423" t="s">
        <v>3167</v>
      </c>
      <c r="H423" t="s">
        <v>3166</v>
      </c>
      <c r="I423" t="s">
        <v>3675</v>
      </c>
      <c r="J423" t="s">
        <v>716</v>
      </c>
      <c r="K423" t="s">
        <v>717</v>
      </c>
      <c r="L423">
        <v>51.482352777777798</v>
      </c>
      <c r="M423">
        <v>-3.1812194444444399</v>
      </c>
      <c r="N423" t="s">
        <v>4223</v>
      </c>
      <c r="O423" t="s">
        <v>3797</v>
      </c>
      <c r="P423" t="s">
        <v>3797</v>
      </c>
      <c r="Q423">
        <v>11</v>
      </c>
      <c r="R423" t="s">
        <v>2406</v>
      </c>
      <c r="S423" t="s">
        <v>2407</v>
      </c>
      <c r="T423">
        <v>1</v>
      </c>
      <c r="U423" t="s">
        <v>2424</v>
      </c>
      <c r="V423" t="s">
        <v>2425</v>
      </c>
      <c r="W423">
        <v>1</v>
      </c>
      <c r="X423" t="s">
        <v>2440</v>
      </c>
      <c r="Y423" t="s">
        <v>2441</v>
      </c>
      <c r="Z423">
        <v>2</v>
      </c>
      <c r="AA423" t="s">
        <v>3799</v>
      </c>
      <c r="AC423" t="s">
        <v>3800</v>
      </c>
      <c r="AD423" t="s">
        <v>3801</v>
      </c>
      <c r="AE423" t="s">
        <v>3798</v>
      </c>
      <c r="AF423">
        <v>421.11602564512845</v>
      </c>
      <c r="AG423">
        <v>7.4545454545455003</v>
      </c>
      <c r="AH423">
        <v>32</v>
      </c>
      <c r="AI423">
        <v>566</v>
      </c>
      <c r="AJ423">
        <v>105.76528101983716</v>
      </c>
      <c r="AK423">
        <v>751.85454545455002</v>
      </c>
      <c r="AM423">
        <v>148.07139342777202</v>
      </c>
      <c r="AN423">
        <v>0</v>
      </c>
      <c r="AO423" t="s">
        <v>5874</v>
      </c>
      <c r="AP423" t="s">
        <v>742</v>
      </c>
    </row>
    <row r="424" spans="1:42" x14ac:dyDescent="0.25">
      <c r="A424">
        <v>423</v>
      </c>
      <c r="B424" t="s">
        <v>2854</v>
      </c>
      <c r="C424" t="s">
        <v>2854</v>
      </c>
      <c r="D424" t="s">
        <v>2842</v>
      </c>
      <c r="E424" t="s">
        <v>91</v>
      </c>
      <c r="F424" t="s">
        <v>92</v>
      </c>
      <c r="G424" t="s">
        <v>632</v>
      </c>
      <c r="H424" t="s">
        <v>633</v>
      </c>
      <c r="I424" t="s">
        <v>2842</v>
      </c>
      <c r="J424" t="s">
        <v>3083</v>
      </c>
      <c r="K424" t="s">
        <v>3084</v>
      </c>
      <c r="L424" t="s">
        <v>4556</v>
      </c>
      <c r="M424" t="s">
        <v>4557</v>
      </c>
      <c r="R424" t="s">
        <v>2409</v>
      </c>
      <c r="S424" t="s">
        <v>2410</v>
      </c>
      <c r="T424">
        <v>2</v>
      </c>
      <c r="U424" t="s">
        <v>2432</v>
      </c>
      <c r="V424" t="s">
        <v>2433</v>
      </c>
      <c r="W424">
        <v>7</v>
      </c>
      <c r="X424" t="s">
        <v>2440</v>
      </c>
      <c r="Y424" t="s">
        <v>2441</v>
      </c>
      <c r="Z424">
        <v>2</v>
      </c>
      <c r="AF424">
        <v>421.04749987968216</v>
      </c>
      <c r="AG424">
        <v>7.5</v>
      </c>
      <c r="AH424">
        <v>9</v>
      </c>
      <c r="AI424">
        <v>567</v>
      </c>
      <c r="AJ424">
        <v>105.71944431075796</v>
      </c>
      <c r="AK424">
        <v>751.8</v>
      </c>
      <c r="AM424">
        <v>92.007222035061133</v>
      </c>
      <c r="AN424">
        <v>224</v>
      </c>
      <c r="AO424" t="s">
        <v>5875</v>
      </c>
      <c r="AP424" t="s">
        <v>2842</v>
      </c>
    </row>
    <row r="425" spans="1:42" x14ac:dyDescent="0.25">
      <c r="A425">
        <v>424</v>
      </c>
      <c r="B425" t="s">
        <v>528</v>
      </c>
      <c r="C425" t="s">
        <v>528</v>
      </c>
      <c r="D425" t="s">
        <v>529</v>
      </c>
      <c r="E425" t="s">
        <v>137</v>
      </c>
      <c r="F425" t="s">
        <v>138</v>
      </c>
      <c r="G425" t="s">
        <v>139</v>
      </c>
      <c r="H425" t="s">
        <v>140</v>
      </c>
      <c r="I425" t="s">
        <v>530</v>
      </c>
      <c r="J425" t="s">
        <v>426</v>
      </c>
      <c r="K425" t="s">
        <v>427</v>
      </c>
      <c r="L425" t="s">
        <v>4583</v>
      </c>
      <c r="M425" t="s">
        <v>4584</v>
      </c>
      <c r="Q425">
        <v>12</v>
      </c>
      <c r="R425" t="s">
        <v>2409</v>
      </c>
      <c r="S425" t="s">
        <v>2410</v>
      </c>
      <c r="T425">
        <v>2</v>
      </c>
      <c r="U425" t="s">
        <v>2430</v>
      </c>
      <c r="V425" t="s">
        <v>2431</v>
      </c>
      <c r="W425">
        <v>6</v>
      </c>
      <c r="X425" t="s">
        <v>2440</v>
      </c>
      <c r="Y425" t="s">
        <v>2441</v>
      </c>
      <c r="Z425">
        <v>2</v>
      </c>
      <c r="AA425" t="s">
        <v>531</v>
      </c>
      <c r="AB425" t="s">
        <v>531</v>
      </c>
      <c r="AC425" t="s">
        <v>532</v>
      </c>
      <c r="AD425" t="s">
        <v>532</v>
      </c>
      <c r="AE425" t="s">
        <v>533</v>
      </c>
      <c r="AF425">
        <v>420.98986429800556</v>
      </c>
      <c r="AG425">
        <v>6.9677419354839003</v>
      </c>
      <c r="AH425">
        <v>30</v>
      </c>
      <c r="AI425">
        <v>447</v>
      </c>
      <c r="AJ425">
        <v>132.89196391534506</v>
      </c>
      <c r="AK425">
        <v>702.77419354839003</v>
      </c>
      <c r="AL425">
        <v>2004</v>
      </c>
      <c r="AM425">
        <v>186.04874948148307</v>
      </c>
      <c r="AN425">
        <v>0</v>
      </c>
      <c r="AO425" t="s">
        <v>5876</v>
      </c>
      <c r="AP425" t="s">
        <v>529</v>
      </c>
    </row>
    <row r="426" spans="1:42" x14ac:dyDescent="0.25">
      <c r="A426">
        <v>425</v>
      </c>
      <c r="B426" t="s">
        <v>1481</v>
      </c>
      <c r="C426" t="s">
        <v>1481</v>
      </c>
      <c r="D426" t="s">
        <v>2512</v>
      </c>
      <c r="E426" t="s">
        <v>556</v>
      </c>
      <c r="F426" t="s">
        <v>557</v>
      </c>
      <c r="G426" t="s">
        <v>60</v>
      </c>
      <c r="H426" t="s">
        <v>61</v>
      </c>
      <c r="J426" t="s">
        <v>3760</v>
      </c>
      <c r="K426" t="s">
        <v>3761</v>
      </c>
      <c r="R426" t="s">
        <v>73</v>
      </c>
      <c r="S426" t="s">
        <v>73</v>
      </c>
      <c r="U426" t="s">
        <v>73</v>
      </c>
      <c r="V426" t="s">
        <v>73</v>
      </c>
      <c r="X426" t="s">
        <v>73</v>
      </c>
      <c r="Y426" t="s">
        <v>73</v>
      </c>
      <c r="AA426" t="s">
        <v>73</v>
      </c>
      <c r="AB426" t="s">
        <v>73</v>
      </c>
      <c r="AF426">
        <v>420.96007217038573</v>
      </c>
      <c r="AG426">
        <v>7.1428571428570997</v>
      </c>
      <c r="AH426">
        <v>6</v>
      </c>
      <c r="AI426">
        <v>480</v>
      </c>
      <c r="AJ426">
        <v>125.79690558614524</v>
      </c>
      <c r="AK426">
        <v>715.48571428571006</v>
      </c>
      <c r="AM426">
        <v>120.11566782060333</v>
      </c>
      <c r="AN426">
        <v>224</v>
      </c>
      <c r="AO426" t="s">
        <v>5877</v>
      </c>
      <c r="AP426" t="s">
        <v>2512</v>
      </c>
    </row>
    <row r="427" spans="1:42" x14ac:dyDescent="0.25">
      <c r="A427">
        <v>426</v>
      </c>
      <c r="B427" t="s">
        <v>3689</v>
      </c>
      <c r="C427" t="s">
        <v>3689</v>
      </c>
      <c r="D427" t="s">
        <v>3690</v>
      </c>
      <c r="E427" t="s">
        <v>282</v>
      </c>
      <c r="F427" t="s">
        <v>283</v>
      </c>
      <c r="G427" t="s">
        <v>3167</v>
      </c>
      <c r="H427" t="s">
        <v>3166</v>
      </c>
      <c r="I427" t="s">
        <v>3691</v>
      </c>
      <c r="J427" t="s">
        <v>375</v>
      </c>
      <c r="K427" t="s">
        <v>376</v>
      </c>
      <c r="R427" t="s">
        <v>73</v>
      </c>
      <c r="S427" t="s">
        <v>73</v>
      </c>
      <c r="U427" t="s">
        <v>73</v>
      </c>
      <c r="V427" t="s">
        <v>73</v>
      </c>
      <c r="X427" t="s">
        <v>2440</v>
      </c>
      <c r="Y427" t="s">
        <v>2441</v>
      </c>
      <c r="Z427">
        <v>2</v>
      </c>
      <c r="AA427" t="s">
        <v>73</v>
      </c>
      <c r="AB427" t="s">
        <v>73</v>
      </c>
      <c r="AF427">
        <v>420.95339782026463</v>
      </c>
      <c r="AG427">
        <v>6.5</v>
      </c>
      <c r="AH427">
        <v>9</v>
      </c>
      <c r="AI427">
        <v>320</v>
      </c>
      <c r="AJ427">
        <v>161.17044202251631</v>
      </c>
      <c r="AK427">
        <v>651.79999999999995</v>
      </c>
      <c r="AM427">
        <v>169.63861883152282</v>
      </c>
      <c r="AN427">
        <v>224</v>
      </c>
      <c r="AO427" t="s">
        <v>5878</v>
      </c>
      <c r="AP427" t="s">
        <v>3690</v>
      </c>
    </row>
    <row r="428" spans="1:42" x14ac:dyDescent="0.25">
      <c r="A428">
        <v>427</v>
      </c>
      <c r="B428" t="s">
        <v>3748</v>
      </c>
      <c r="C428" t="s">
        <v>3748</v>
      </c>
      <c r="D428" t="s">
        <v>4806</v>
      </c>
      <c r="E428" t="s">
        <v>556</v>
      </c>
      <c r="F428" t="s">
        <v>557</v>
      </c>
      <c r="G428" t="s">
        <v>60</v>
      </c>
      <c r="H428" t="s">
        <v>61</v>
      </c>
      <c r="J428" t="s">
        <v>3754</v>
      </c>
      <c r="K428" t="s">
        <v>3755</v>
      </c>
      <c r="Q428">
        <v>13</v>
      </c>
      <c r="R428" t="s">
        <v>2409</v>
      </c>
      <c r="S428" t="s">
        <v>2410</v>
      </c>
      <c r="T428">
        <v>2</v>
      </c>
      <c r="U428" t="s">
        <v>2432</v>
      </c>
      <c r="V428" t="s">
        <v>2433</v>
      </c>
      <c r="W428">
        <v>7</v>
      </c>
      <c r="X428" t="s">
        <v>73</v>
      </c>
      <c r="Y428" t="s">
        <v>73</v>
      </c>
      <c r="AA428" t="s">
        <v>73</v>
      </c>
      <c r="AB428" t="s">
        <v>73</v>
      </c>
      <c r="AF428">
        <v>420.69517851126966</v>
      </c>
      <c r="AG428">
        <v>8</v>
      </c>
      <c r="AH428">
        <v>3</v>
      </c>
      <c r="AI428">
        <v>695</v>
      </c>
      <c r="AJ428">
        <v>78.216865012521836</v>
      </c>
      <c r="AK428">
        <v>800.6</v>
      </c>
      <c r="AM428">
        <v>53.503611017530567</v>
      </c>
      <c r="AN428">
        <v>224</v>
      </c>
      <c r="AO428" t="s">
        <v>5879</v>
      </c>
      <c r="AP428" t="s">
        <v>4806</v>
      </c>
    </row>
    <row r="429" spans="1:42" x14ac:dyDescent="0.25">
      <c r="A429">
        <v>428</v>
      </c>
      <c r="B429" t="s">
        <v>899</v>
      </c>
      <c r="C429" t="s">
        <v>899</v>
      </c>
      <c r="D429" t="s">
        <v>900</v>
      </c>
      <c r="E429" t="s">
        <v>351</v>
      </c>
      <c r="F429" t="s">
        <v>352</v>
      </c>
      <c r="G429" t="s">
        <v>257</v>
      </c>
      <c r="H429" t="s">
        <v>258</v>
      </c>
      <c r="I429" t="s">
        <v>901</v>
      </c>
      <c r="J429" t="s">
        <v>536</v>
      </c>
      <c r="K429" t="s">
        <v>537</v>
      </c>
      <c r="L429">
        <v>50.532844924999999</v>
      </c>
      <c r="M429">
        <v>4.6562048921899999</v>
      </c>
      <c r="O429" t="s">
        <v>902</v>
      </c>
      <c r="P429" t="s">
        <v>903</v>
      </c>
      <c r="Q429">
        <v>13</v>
      </c>
      <c r="R429" t="s">
        <v>2414</v>
      </c>
      <c r="S429" t="s">
        <v>2415</v>
      </c>
      <c r="T429">
        <v>3</v>
      </c>
      <c r="U429" t="s">
        <v>3137</v>
      </c>
      <c r="V429" t="s">
        <v>3136</v>
      </c>
      <c r="W429">
        <v>5</v>
      </c>
      <c r="X429" t="s">
        <v>2437</v>
      </c>
      <c r="Y429" t="s">
        <v>2438</v>
      </c>
      <c r="Z429">
        <v>1</v>
      </c>
      <c r="AF429">
        <v>420.44458068035999</v>
      </c>
      <c r="AG429">
        <v>7.9743589743590002</v>
      </c>
      <c r="AH429">
        <v>77</v>
      </c>
      <c r="AI429">
        <v>734</v>
      </c>
      <c r="AJ429">
        <v>71.14070218045552</v>
      </c>
      <c r="AK429">
        <v>812.83589743590005</v>
      </c>
      <c r="AL429">
        <v>2004</v>
      </c>
      <c r="AM429">
        <v>99.596983052637725</v>
      </c>
      <c r="AN429">
        <v>0</v>
      </c>
      <c r="AO429" t="s">
        <v>5880</v>
      </c>
      <c r="AP429" t="s">
        <v>900</v>
      </c>
    </row>
    <row r="430" spans="1:42" x14ac:dyDescent="0.25">
      <c r="A430">
        <v>429</v>
      </c>
      <c r="B430" t="s">
        <v>1377</v>
      </c>
      <c r="C430" t="s">
        <v>1377</v>
      </c>
      <c r="D430" t="s">
        <v>2484</v>
      </c>
      <c r="E430" t="s">
        <v>255</v>
      </c>
      <c r="F430" t="s">
        <v>256</v>
      </c>
      <c r="G430" t="s">
        <v>257</v>
      </c>
      <c r="H430" t="s">
        <v>258</v>
      </c>
      <c r="I430" t="s">
        <v>1378</v>
      </c>
      <c r="J430" t="s">
        <v>1379</v>
      </c>
      <c r="K430" t="s">
        <v>1380</v>
      </c>
      <c r="L430">
        <v>50.917008292799999</v>
      </c>
      <c r="M430">
        <v>5.9184451332199997</v>
      </c>
      <c r="O430" t="s">
        <v>2569</v>
      </c>
      <c r="P430" t="s">
        <v>2569</v>
      </c>
      <c r="Q430">
        <v>14</v>
      </c>
      <c r="R430" t="s">
        <v>2414</v>
      </c>
      <c r="S430" t="s">
        <v>2415</v>
      </c>
      <c r="T430">
        <v>3</v>
      </c>
      <c r="U430" t="s">
        <v>3137</v>
      </c>
      <c r="V430" t="s">
        <v>3136</v>
      </c>
      <c r="W430">
        <v>5</v>
      </c>
      <c r="X430" t="s">
        <v>2440</v>
      </c>
      <c r="Y430" t="s">
        <v>2441</v>
      </c>
      <c r="Z430">
        <v>2</v>
      </c>
      <c r="AA430" t="s">
        <v>73</v>
      </c>
      <c r="AB430" t="s">
        <v>73</v>
      </c>
      <c r="AC430" t="s">
        <v>1381</v>
      </c>
      <c r="AD430" t="s">
        <v>1381</v>
      </c>
      <c r="AE430" t="s">
        <v>1382</v>
      </c>
      <c r="AF430">
        <v>420.28875121283943</v>
      </c>
      <c r="AG430">
        <v>8.2139037433155</v>
      </c>
      <c r="AH430">
        <v>186</v>
      </c>
      <c r="AI430">
        <v>826</v>
      </c>
      <c r="AJ430">
        <v>45.548404496738215</v>
      </c>
      <c r="AK430">
        <v>858.59037433155004</v>
      </c>
      <c r="AL430">
        <v>2004</v>
      </c>
      <c r="AM430">
        <v>63.767766295433496</v>
      </c>
      <c r="AN430">
        <v>0</v>
      </c>
      <c r="AO430" t="s">
        <v>5881</v>
      </c>
      <c r="AP430" t="s">
        <v>2484</v>
      </c>
    </row>
    <row r="431" spans="1:42" x14ac:dyDescent="0.25">
      <c r="A431">
        <v>430</v>
      </c>
      <c r="B431" t="s">
        <v>1508</v>
      </c>
      <c r="C431" t="s">
        <v>1508</v>
      </c>
      <c r="D431" t="s">
        <v>2521</v>
      </c>
      <c r="E431" t="s">
        <v>137</v>
      </c>
      <c r="F431" t="s">
        <v>138</v>
      </c>
      <c r="G431" t="s">
        <v>139</v>
      </c>
      <c r="H431" t="s">
        <v>140</v>
      </c>
      <c r="J431" t="s">
        <v>426</v>
      </c>
      <c r="K431" t="s">
        <v>427</v>
      </c>
      <c r="L431" t="s">
        <v>4676</v>
      </c>
      <c r="M431" t="s">
        <v>4677</v>
      </c>
      <c r="R431" t="s">
        <v>73</v>
      </c>
      <c r="S431" t="s">
        <v>73</v>
      </c>
      <c r="U431" t="s">
        <v>73</v>
      </c>
      <c r="V431" t="s">
        <v>73</v>
      </c>
      <c r="X431" t="s">
        <v>73</v>
      </c>
      <c r="Y431" t="s">
        <v>73</v>
      </c>
      <c r="AF431">
        <v>420.15268155840806</v>
      </c>
      <c r="AG431">
        <v>7.5555555555555998</v>
      </c>
      <c r="AH431">
        <v>17</v>
      </c>
      <c r="AI431">
        <v>587</v>
      </c>
      <c r="AJ431">
        <v>100.74989308958675</v>
      </c>
      <c r="AK431">
        <v>758.95555555555995</v>
      </c>
      <c r="AL431">
        <v>2004</v>
      </c>
      <c r="AM431">
        <v>141.04985032542143</v>
      </c>
      <c r="AN431">
        <v>0</v>
      </c>
      <c r="AO431" t="s">
        <v>5882</v>
      </c>
      <c r="AP431" t="s">
        <v>2521</v>
      </c>
    </row>
    <row r="432" spans="1:42" x14ac:dyDescent="0.25">
      <c r="A432">
        <v>431</v>
      </c>
      <c r="B432" t="s">
        <v>1428</v>
      </c>
      <c r="C432" t="s">
        <v>1428</v>
      </c>
      <c r="D432" t="s">
        <v>2497</v>
      </c>
      <c r="E432" t="s">
        <v>218</v>
      </c>
      <c r="F432" t="s">
        <v>219</v>
      </c>
      <c r="G432" t="s">
        <v>69</v>
      </c>
      <c r="H432" t="s">
        <v>70</v>
      </c>
      <c r="I432" t="s">
        <v>3600</v>
      </c>
      <c r="J432" t="s">
        <v>1429</v>
      </c>
      <c r="K432" t="s">
        <v>1430</v>
      </c>
      <c r="L432" t="s">
        <v>4914</v>
      </c>
      <c r="M432" t="s">
        <v>4915</v>
      </c>
      <c r="R432" t="s">
        <v>73</v>
      </c>
      <c r="S432" t="s">
        <v>73</v>
      </c>
      <c r="U432" t="s">
        <v>73</v>
      </c>
      <c r="V432" t="s">
        <v>73</v>
      </c>
      <c r="X432" t="s">
        <v>73</v>
      </c>
      <c r="Y432" t="s">
        <v>73</v>
      </c>
      <c r="AA432" t="s">
        <v>73</v>
      </c>
      <c r="AB432" t="s">
        <v>73</v>
      </c>
      <c r="AF432">
        <v>419.88513882226613</v>
      </c>
      <c r="AG432">
        <v>8</v>
      </c>
      <c r="AH432">
        <v>21</v>
      </c>
      <c r="AI432">
        <v>713</v>
      </c>
      <c r="AJ432">
        <v>75.316820913628987</v>
      </c>
      <c r="AK432">
        <v>804.2</v>
      </c>
      <c r="AM432">
        <v>49.443549279080585</v>
      </c>
      <c r="AN432">
        <v>224</v>
      </c>
      <c r="AO432" t="s">
        <v>5883</v>
      </c>
      <c r="AP432" t="s">
        <v>2497</v>
      </c>
    </row>
    <row r="433" spans="1:42" x14ac:dyDescent="0.25">
      <c r="A433">
        <v>432</v>
      </c>
      <c r="B433" t="s">
        <v>1034</v>
      </c>
      <c r="C433" t="s">
        <v>1034</v>
      </c>
      <c r="D433" t="s">
        <v>1035</v>
      </c>
      <c r="E433" t="s">
        <v>595</v>
      </c>
      <c r="F433" t="s">
        <v>596</v>
      </c>
      <c r="G433" t="s">
        <v>3167</v>
      </c>
      <c r="H433" t="s">
        <v>3166</v>
      </c>
      <c r="I433" t="s">
        <v>1036</v>
      </c>
      <c r="J433" t="s">
        <v>1037</v>
      </c>
      <c r="K433" t="s">
        <v>1038</v>
      </c>
      <c r="L433">
        <v>57.448497000000003</v>
      </c>
      <c r="M433">
        <v>-6.5900699999999999</v>
      </c>
      <c r="N433" t="s">
        <v>4227</v>
      </c>
      <c r="O433" t="s">
        <v>1039</v>
      </c>
      <c r="P433" t="s">
        <v>1039</v>
      </c>
      <c r="Q433">
        <v>14</v>
      </c>
      <c r="R433" t="s">
        <v>2406</v>
      </c>
      <c r="S433" t="s">
        <v>2407</v>
      </c>
      <c r="T433">
        <v>1</v>
      </c>
      <c r="U433" t="s">
        <v>2432</v>
      </c>
      <c r="V433" t="s">
        <v>2433</v>
      </c>
      <c r="W433">
        <v>7</v>
      </c>
      <c r="X433" t="s">
        <v>2437</v>
      </c>
      <c r="Y433" t="s">
        <v>2438</v>
      </c>
      <c r="Z433">
        <v>1</v>
      </c>
      <c r="AA433" t="s">
        <v>1040</v>
      </c>
      <c r="AB433" t="s">
        <v>1040</v>
      </c>
      <c r="AC433" t="s">
        <v>1041</v>
      </c>
      <c r="AD433" t="s">
        <v>1041</v>
      </c>
      <c r="AF433">
        <v>419.03231265934505</v>
      </c>
      <c r="AG433">
        <v>7.90625</v>
      </c>
      <c r="AH433">
        <v>31</v>
      </c>
      <c r="AI433">
        <v>694</v>
      </c>
      <c r="AJ433">
        <v>78.466458510383376</v>
      </c>
      <c r="AK433">
        <v>796.82500000000005</v>
      </c>
      <c r="AM433">
        <v>53.853041914536718</v>
      </c>
      <c r="AN433">
        <v>224</v>
      </c>
      <c r="AO433" t="s">
        <v>5884</v>
      </c>
      <c r="AP433" t="s">
        <v>1035</v>
      </c>
    </row>
    <row r="434" spans="1:42" x14ac:dyDescent="0.25">
      <c r="A434">
        <v>433</v>
      </c>
      <c r="B434" t="s">
        <v>2954</v>
      </c>
      <c r="C434" t="s">
        <v>2954</v>
      </c>
      <c r="D434" t="s">
        <v>2962</v>
      </c>
      <c r="E434" t="s">
        <v>169</v>
      </c>
      <c r="F434" t="s">
        <v>170</v>
      </c>
      <c r="G434" t="s">
        <v>79</v>
      </c>
      <c r="H434" t="s">
        <v>80</v>
      </c>
      <c r="R434" t="s">
        <v>73</v>
      </c>
      <c r="S434" t="s">
        <v>73</v>
      </c>
      <c r="U434" t="s">
        <v>73</v>
      </c>
      <c r="V434" t="s">
        <v>73</v>
      </c>
      <c r="X434" t="s">
        <v>73</v>
      </c>
      <c r="Y434" t="s">
        <v>73</v>
      </c>
      <c r="AA434" t="s">
        <v>73</v>
      </c>
      <c r="AB434" t="s">
        <v>73</v>
      </c>
      <c r="AF434">
        <v>418.6760144846869</v>
      </c>
      <c r="AG434">
        <v>6.8181818181817997</v>
      </c>
      <c r="AH434">
        <v>10</v>
      </c>
      <c r="AI434">
        <v>407</v>
      </c>
      <c r="AJ434">
        <v>140.85213730621879</v>
      </c>
      <c r="AK434">
        <v>683.81818181817994</v>
      </c>
      <c r="AM434">
        <v>113.19299222870633</v>
      </c>
      <c r="AN434">
        <v>336</v>
      </c>
      <c r="AO434" t="s">
        <v>5885</v>
      </c>
      <c r="AP434" t="s">
        <v>2962</v>
      </c>
    </row>
    <row r="435" spans="1:42" x14ac:dyDescent="0.25">
      <c r="A435">
        <v>434</v>
      </c>
      <c r="B435" t="s">
        <v>582</v>
      </c>
      <c r="C435" t="s">
        <v>582</v>
      </c>
      <c r="D435" t="s">
        <v>583</v>
      </c>
      <c r="E435" t="s">
        <v>282</v>
      </c>
      <c r="F435" t="s">
        <v>283</v>
      </c>
      <c r="G435" t="s">
        <v>3167</v>
      </c>
      <c r="H435" t="s">
        <v>3166</v>
      </c>
      <c r="I435" t="s">
        <v>584</v>
      </c>
      <c r="J435" t="s">
        <v>585</v>
      </c>
      <c r="K435" t="s">
        <v>586</v>
      </c>
      <c r="L435">
        <v>54.323117000000003</v>
      </c>
      <c r="M435">
        <v>-1.9469289999999999</v>
      </c>
      <c r="N435" t="s">
        <v>4225</v>
      </c>
      <c r="O435" t="s">
        <v>587</v>
      </c>
      <c r="P435" t="s">
        <v>587</v>
      </c>
      <c r="R435" t="s">
        <v>73</v>
      </c>
      <c r="S435" t="s">
        <v>73</v>
      </c>
      <c r="U435" t="s">
        <v>73</v>
      </c>
      <c r="V435" t="s">
        <v>73</v>
      </c>
      <c r="X435" t="s">
        <v>73</v>
      </c>
      <c r="Y435" t="s">
        <v>73</v>
      </c>
      <c r="AA435" t="s">
        <v>73</v>
      </c>
      <c r="AB435" t="s">
        <v>73</v>
      </c>
      <c r="AF435">
        <v>418.48491201222953</v>
      </c>
      <c r="AG435">
        <v>7.0588235294118</v>
      </c>
      <c r="AH435">
        <v>16</v>
      </c>
      <c r="AI435">
        <v>474</v>
      </c>
      <c r="AJ435">
        <v>126.60415060182167</v>
      </c>
      <c r="AK435">
        <v>709.08235294118003</v>
      </c>
      <c r="AM435">
        <v>121.24581084255033</v>
      </c>
      <c r="AN435">
        <v>224</v>
      </c>
      <c r="AO435" t="s">
        <v>5886</v>
      </c>
      <c r="AP435" t="s">
        <v>583</v>
      </c>
    </row>
    <row r="436" spans="1:42" x14ac:dyDescent="0.25">
      <c r="A436">
        <v>435</v>
      </c>
      <c r="B436" t="s">
        <v>2338</v>
      </c>
      <c r="C436" t="s">
        <v>2338</v>
      </c>
      <c r="D436" t="s">
        <v>2339</v>
      </c>
      <c r="E436" t="s">
        <v>5312</v>
      </c>
      <c r="F436" t="s">
        <v>157</v>
      </c>
      <c r="G436" t="s">
        <v>158</v>
      </c>
      <c r="H436" t="s">
        <v>159</v>
      </c>
      <c r="I436" t="s">
        <v>5323</v>
      </c>
      <c r="J436" t="s">
        <v>3087</v>
      </c>
      <c r="K436" t="s">
        <v>3088</v>
      </c>
      <c r="L436" t="s">
        <v>5100</v>
      </c>
      <c r="M436" t="s">
        <v>5101</v>
      </c>
      <c r="R436" t="s">
        <v>73</v>
      </c>
      <c r="S436" t="s">
        <v>73</v>
      </c>
      <c r="U436" t="s">
        <v>73</v>
      </c>
      <c r="V436" t="s">
        <v>73</v>
      </c>
      <c r="X436" t="s">
        <v>73</v>
      </c>
      <c r="Y436" t="s">
        <v>73</v>
      </c>
      <c r="AA436" t="s">
        <v>73</v>
      </c>
      <c r="AB436" t="s">
        <v>73</v>
      </c>
      <c r="AF436">
        <v>417.70577171479221</v>
      </c>
      <c r="AG436">
        <v>6.9411764705882</v>
      </c>
      <c r="AH436">
        <v>16</v>
      </c>
      <c r="AI436">
        <v>449</v>
      </c>
      <c r="AJ436">
        <v>132.27438687264686</v>
      </c>
      <c r="AK436">
        <v>697.31764705882006</v>
      </c>
      <c r="AL436">
        <v>2012</v>
      </c>
      <c r="AM436">
        <v>185.18414162170561</v>
      </c>
      <c r="AN436">
        <v>0</v>
      </c>
      <c r="AO436" t="s">
        <v>5887</v>
      </c>
      <c r="AP436" t="s">
        <v>2339</v>
      </c>
    </row>
    <row r="437" spans="1:42" x14ac:dyDescent="0.25">
      <c r="A437">
        <v>436</v>
      </c>
      <c r="B437" t="s">
        <v>1480</v>
      </c>
      <c r="C437" t="s">
        <v>1480</v>
      </c>
      <c r="D437" t="s">
        <v>2511</v>
      </c>
      <c r="E437" t="s">
        <v>471</v>
      </c>
      <c r="F437" t="s">
        <v>472</v>
      </c>
      <c r="G437" t="s">
        <v>93</v>
      </c>
      <c r="H437" t="s">
        <v>94</v>
      </c>
      <c r="I437" t="s">
        <v>3195</v>
      </c>
      <c r="J437" t="s">
        <v>3248</v>
      </c>
      <c r="K437" t="s">
        <v>3194</v>
      </c>
      <c r="O437" t="s">
        <v>3193</v>
      </c>
      <c r="P437" t="s">
        <v>3193</v>
      </c>
      <c r="Q437">
        <v>14</v>
      </c>
      <c r="R437" t="s">
        <v>2409</v>
      </c>
      <c r="S437" t="s">
        <v>2410</v>
      </c>
      <c r="T437">
        <v>2</v>
      </c>
      <c r="U437" t="s">
        <v>2432</v>
      </c>
      <c r="V437" t="s">
        <v>2433</v>
      </c>
      <c r="W437">
        <v>7</v>
      </c>
      <c r="X437" t="s">
        <v>2440</v>
      </c>
      <c r="Y437" t="s">
        <v>2441</v>
      </c>
      <c r="Z437">
        <v>2</v>
      </c>
      <c r="AA437" t="s">
        <v>73</v>
      </c>
      <c r="AB437" t="s">
        <v>73</v>
      </c>
      <c r="AE437" t="s">
        <v>3192</v>
      </c>
      <c r="AF437">
        <v>417.65356973117963</v>
      </c>
      <c r="AG437">
        <v>7.8571428571429003</v>
      </c>
      <c r="AH437">
        <v>34</v>
      </c>
      <c r="AI437">
        <v>690</v>
      </c>
      <c r="AJ437">
        <v>79.329363193371861</v>
      </c>
      <c r="AK437">
        <v>792.51428571428994</v>
      </c>
      <c r="AM437">
        <v>83.061108470720598</v>
      </c>
      <c r="AN437">
        <v>112</v>
      </c>
      <c r="AO437" t="s">
        <v>5888</v>
      </c>
      <c r="AP437" t="s">
        <v>2511</v>
      </c>
    </row>
    <row r="438" spans="1:42" x14ac:dyDescent="0.25">
      <c r="A438">
        <v>437</v>
      </c>
      <c r="B438" t="s">
        <v>3366</v>
      </c>
      <c r="C438" t="s">
        <v>3366</v>
      </c>
      <c r="D438" t="s">
        <v>4043</v>
      </c>
      <c r="E438" t="s">
        <v>3643</v>
      </c>
      <c r="F438" t="s">
        <v>786</v>
      </c>
      <c r="G438" t="s">
        <v>60</v>
      </c>
      <c r="H438" t="s">
        <v>61</v>
      </c>
      <c r="J438" t="s">
        <v>4039</v>
      </c>
      <c r="K438" t="s">
        <v>4040</v>
      </c>
      <c r="O438" t="s">
        <v>4042</v>
      </c>
      <c r="P438" t="s">
        <v>4041</v>
      </c>
      <c r="R438" t="s">
        <v>73</v>
      </c>
      <c r="S438" t="s">
        <v>73</v>
      </c>
      <c r="U438" t="s">
        <v>73</v>
      </c>
      <c r="V438" t="s">
        <v>73</v>
      </c>
      <c r="X438" t="s">
        <v>2446</v>
      </c>
      <c r="Y438" t="s">
        <v>2447</v>
      </c>
      <c r="Z438">
        <v>4</v>
      </c>
      <c r="AA438" t="s">
        <v>73</v>
      </c>
      <c r="AB438" t="s">
        <v>73</v>
      </c>
      <c r="AF438">
        <v>417.39073032354815</v>
      </c>
      <c r="AG438">
        <v>6.6</v>
      </c>
      <c r="AH438">
        <v>4</v>
      </c>
      <c r="AI438">
        <v>353</v>
      </c>
      <c r="AJ438">
        <v>152.21192258172016</v>
      </c>
      <c r="AK438">
        <v>660.8</v>
      </c>
      <c r="AM438">
        <v>101.0966916144082</v>
      </c>
      <c r="AN438">
        <v>448</v>
      </c>
      <c r="AO438" t="s">
        <v>5889</v>
      </c>
      <c r="AP438" t="s">
        <v>4043</v>
      </c>
    </row>
    <row r="439" spans="1:42" x14ac:dyDescent="0.25">
      <c r="A439">
        <v>438</v>
      </c>
      <c r="B439" t="s">
        <v>1837</v>
      </c>
      <c r="C439" t="s">
        <v>1837</v>
      </c>
      <c r="D439" t="s">
        <v>1838</v>
      </c>
      <c r="E439" t="s">
        <v>282</v>
      </c>
      <c r="F439" t="s">
        <v>283</v>
      </c>
      <c r="G439" t="s">
        <v>3167</v>
      </c>
      <c r="H439" t="s">
        <v>3166</v>
      </c>
      <c r="I439" t="s">
        <v>1139</v>
      </c>
      <c r="J439" t="s">
        <v>368</v>
      </c>
      <c r="K439" t="s">
        <v>369</v>
      </c>
      <c r="R439" t="s">
        <v>73</v>
      </c>
      <c r="S439" t="s">
        <v>73</v>
      </c>
      <c r="U439" t="s">
        <v>73</v>
      </c>
      <c r="V439" t="s">
        <v>73</v>
      </c>
      <c r="X439" t="s">
        <v>73</v>
      </c>
      <c r="Y439" t="s">
        <v>73</v>
      </c>
      <c r="AF439">
        <v>416.31637355435316</v>
      </c>
      <c r="AG439">
        <v>5.9565217391304</v>
      </c>
      <c r="AH439">
        <v>22</v>
      </c>
      <c r="AI439">
        <v>256</v>
      </c>
      <c r="AJ439">
        <v>184.76698510870352</v>
      </c>
      <c r="AK439">
        <v>600.05217391303995</v>
      </c>
      <c r="AL439">
        <v>2009</v>
      </c>
      <c r="AM439">
        <v>202.67377915218495</v>
      </c>
      <c r="AN439">
        <v>224</v>
      </c>
      <c r="AO439" t="s">
        <v>5890</v>
      </c>
      <c r="AP439" t="s">
        <v>1838</v>
      </c>
    </row>
    <row r="440" spans="1:42" x14ac:dyDescent="0.25">
      <c r="A440">
        <v>439</v>
      </c>
      <c r="B440" t="s">
        <v>2228</v>
      </c>
      <c r="C440" t="s">
        <v>2228</v>
      </c>
      <c r="D440" t="s">
        <v>2229</v>
      </c>
      <c r="E440" t="s">
        <v>282</v>
      </c>
      <c r="F440" t="s">
        <v>283</v>
      </c>
      <c r="G440" t="s">
        <v>3167</v>
      </c>
      <c r="H440" t="s">
        <v>3166</v>
      </c>
      <c r="I440" t="s">
        <v>2230</v>
      </c>
      <c r="J440" t="s">
        <v>518</v>
      </c>
      <c r="K440" t="s">
        <v>519</v>
      </c>
      <c r="Q440">
        <v>11</v>
      </c>
      <c r="R440" t="s">
        <v>73</v>
      </c>
      <c r="S440" t="s">
        <v>73</v>
      </c>
      <c r="U440" t="s">
        <v>73</v>
      </c>
      <c r="V440" t="s">
        <v>73</v>
      </c>
      <c r="X440" t="s">
        <v>73</v>
      </c>
      <c r="Y440" t="s">
        <v>73</v>
      </c>
      <c r="AA440" t="s">
        <v>73</v>
      </c>
      <c r="AB440" t="s">
        <v>73</v>
      </c>
      <c r="AF440">
        <v>416.0895346208917</v>
      </c>
      <c r="AG440">
        <v>7</v>
      </c>
      <c r="AH440">
        <v>8</v>
      </c>
      <c r="AI440">
        <v>465</v>
      </c>
      <c r="AJ440">
        <v>128.09948291210188</v>
      </c>
      <c r="AK440">
        <v>701.6</v>
      </c>
      <c r="AM440">
        <v>123.3392760769426</v>
      </c>
      <c r="AN440">
        <v>224</v>
      </c>
      <c r="AO440" t="s">
        <v>5891</v>
      </c>
      <c r="AP440" t="s">
        <v>2229</v>
      </c>
    </row>
    <row r="441" spans="1:42" x14ac:dyDescent="0.25">
      <c r="A441">
        <v>440</v>
      </c>
      <c r="B441" t="s">
        <v>2756</v>
      </c>
      <c r="C441" t="s">
        <v>2756</v>
      </c>
      <c r="D441" t="s">
        <v>2081</v>
      </c>
      <c r="E441" t="s">
        <v>218</v>
      </c>
      <c r="F441" t="s">
        <v>219</v>
      </c>
      <c r="G441" t="s">
        <v>69</v>
      </c>
      <c r="H441" t="s">
        <v>70</v>
      </c>
      <c r="I441" t="s">
        <v>4931</v>
      </c>
      <c r="J441" t="s">
        <v>408</v>
      </c>
      <c r="K441" t="s">
        <v>409</v>
      </c>
      <c r="L441" t="s">
        <v>4932</v>
      </c>
      <c r="M441" t="s">
        <v>4933</v>
      </c>
      <c r="R441" t="s">
        <v>73</v>
      </c>
      <c r="S441" t="s">
        <v>73</v>
      </c>
      <c r="U441" t="s">
        <v>73</v>
      </c>
      <c r="V441" t="s">
        <v>73</v>
      </c>
      <c r="X441" t="s">
        <v>73</v>
      </c>
      <c r="Y441" t="s">
        <v>73</v>
      </c>
      <c r="AF441">
        <v>415.96855316983738</v>
      </c>
      <c r="AG441">
        <v>7.7894736842104999</v>
      </c>
      <c r="AH441">
        <v>18</v>
      </c>
      <c r="AI441">
        <v>657</v>
      </c>
      <c r="AJ441">
        <v>82.994298843680397</v>
      </c>
      <c r="AK441">
        <v>782.54736842105001</v>
      </c>
      <c r="AM441">
        <v>60.19201838115255</v>
      </c>
      <c r="AN441">
        <v>224</v>
      </c>
      <c r="AO441" t="s">
        <v>5892</v>
      </c>
      <c r="AP441" t="s">
        <v>2081</v>
      </c>
    </row>
    <row r="442" spans="1:42" x14ac:dyDescent="0.25">
      <c r="A442">
        <v>441</v>
      </c>
      <c r="B442" t="s">
        <v>1779</v>
      </c>
      <c r="C442" t="s">
        <v>1779</v>
      </c>
      <c r="D442" t="s">
        <v>1780</v>
      </c>
      <c r="E442" t="s">
        <v>91</v>
      </c>
      <c r="F442" t="s">
        <v>92</v>
      </c>
      <c r="G442" t="s">
        <v>93</v>
      </c>
      <c r="H442" t="s">
        <v>94</v>
      </c>
      <c r="I442" t="s">
        <v>2807</v>
      </c>
      <c r="J442" t="s">
        <v>3067</v>
      </c>
      <c r="K442" t="s">
        <v>3066</v>
      </c>
      <c r="L442" t="s">
        <v>4524</v>
      </c>
      <c r="M442" t="s">
        <v>4525</v>
      </c>
      <c r="O442" t="s">
        <v>2809</v>
      </c>
      <c r="P442" t="s">
        <v>2808</v>
      </c>
      <c r="Q442">
        <v>14</v>
      </c>
      <c r="R442" t="s">
        <v>2409</v>
      </c>
      <c r="S442" t="s">
        <v>2410</v>
      </c>
      <c r="T442">
        <v>2</v>
      </c>
      <c r="U442" t="s">
        <v>2430</v>
      </c>
      <c r="V442" t="s">
        <v>2431</v>
      </c>
      <c r="W442">
        <v>6</v>
      </c>
      <c r="X442" t="s">
        <v>2446</v>
      </c>
      <c r="Y442" t="s">
        <v>2447</v>
      </c>
      <c r="Z442">
        <v>4</v>
      </c>
      <c r="AA442" t="s">
        <v>73</v>
      </c>
      <c r="AC442" t="s">
        <v>2810</v>
      </c>
      <c r="AD442" t="s">
        <v>2810</v>
      </c>
      <c r="AF442">
        <v>415.922457064909</v>
      </c>
      <c r="AG442">
        <v>7.6428571428570997</v>
      </c>
      <c r="AH442">
        <v>27</v>
      </c>
      <c r="AI442">
        <v>630</v>
      </c>
      <c r="AJ442">
        <v>90.088444357837759</v>
      </c>
      <c r="AK442">
        <v>769.68571428570999</v>
      </c>
      <c r="AL442">
        <v>2010</v>
      </c>
      <c r="AM442">
        <v>70.123822100972859</v>
      </c>
      <c r="AN442">
        <v>224</v>
      </c>
      <c r="AO442" t="s">
        <v>5893</v>
      </c>
      <c r="AP442" t="s">
        <v>1780</v>
      </c>
    </row>
    <row r="443" spans="1:42" x14ac:dyDescent="0.25">
      <c r="A443">
        <v>442</v>
      </c>
      <c r="B443" t="s">
        <v>2751</v>
      </c>
      <c r="C443" t="s">
        <v>2751</v>
      </c>
      <c r="D443" t="s">
        <v>1831</v>
      </c>
      <c r="E443" t="s">
        <v>218</v>
      </c>
      <c r="F443" t="s">
        <v>219</v>
      </c>
      <c r="G443" t="s">
        <v>69</v>
      </c>
      <c r="H443" t="s">
        <v>70</v>
      </c>
      <c r="I443" t="s">
        <v>1832</v>
      </c>
      <c r="J443" t="s">
        <v>220</v>
      </c>
      <c r="K443" t="s">
        <v>221</v>
      </c>
      <c r="L443" t="s">
        <v>4927</v>
      </c>
      <c r="M443" t="s">
        <v>4928</v>
      </c>
      <c r="R443" t="s">
        <v>73</v>
      </c>
      <c r="S443" t="s">
        <v>73</v>
      </c>
      <c r="U443" t="s">
        <v>73</v>
      </c>
      <c r="V443" t="s">
        <v>73</v>
      </c>
      <c r="X443" t="s">
        <v>73</v>
      </c>
      <c r="Y443" t="s">
        <v>73</v>
      </c>
      <c r="AF443">
        <v>415.89572818735996</v>
      </c>
      <c r="AG443">
        <v>7.8461538461537996</v>
      </c>
      <c r="AH443">
        <v>25</v>
      </c>
      <c r="AI443">
        <v>691</v>
      </c>
      <c r="AJ443">
        <v>78.986706532966622</v>
      </c>
      <c r="AK443">
        <v>789.61538461537998</v>
      </c>
      <c r="AM443">
        <v>54.581389146153278</v>
      </c>
      <c r="AN443">
        <v>224</v>
      </c>
      <c r="AO443" t="s">
        <v>5894</v>
      </c>
      <c r="AP443" t="s">
        <v>1831</v>
      </c>
    </row>
    <row r="444" spans="1:42" x14ac:dyDescent="0.25">
      <c r="A444">
        <v>443</v>
      </c>
      <c r="B444" t="s">
        <v>1967</v>
      </c>
      <c r="C444" t="s">
        <v>1967</v>
      </c>
      <c r="D444" t="s">
        <v>1968</v>
      </c>
      <c r="E444" t="s">
        <v>595</v>
      </c>
      <c r="F444" t="s">
        <v>596</v>
      </c>
      <c r="G444" t="s">
        <v>3167</v>
      </c>
      <c r="H444" t="s">
        <v>3166</v>
      </c>
      <c r="I444" t="s">
        <v>597</v>
      </c>
      <c r="J444" t="s">
        <v>598</v>
      </c>
      <c r="K444" t="s">
        <v>599</v>
      </c>
      <c r="R444" t="s">
        <v>73</v>
      </c>
      <c r="S444" t="s">
        <v>73</v>
      </c>
      <c r="U444" t="s">
        <v>73</v>
      </c>
      <c r="V444" t="s">
        <v>73</v>
      </c>
      <c r="X444" t="s">
        <v>73</v>
      </c>
      <c r="Y444" t="s">
        <v>73</v>
      </c>
      <c r="AA444" t="s">
        <v>73</v>
      </c>
      <c r="AB444" t="s">
        <v>73</v>
      </c>
      <c r="AF444">
        <v>415.83166658645473</v>
      </c>
      <c r="AG444">
        <v>7.8</v>
      </c>
      <c r="AH444">
        <v>4</v>
      </c>
      <c r="AI444">
        <v>653</v>
      </c>
      <c r="AJ444">
        <v>83.812962873838643</v>
      </c>
      <c r="AK444">
        <v>780.8</v>
      </c>
      <c r="AM444">
        <v>61.338148023374089</v>
      </c>
      <c r="AN444">
        <v>224</v>
      </c>
      <c r="AO444" t="s">
        <v>5895</v>
      </c>
      <c r="AP444" t="s">
        <v>1968</v>
      </c>
    </row>
    <row r="445" spans="1:42" x14ac:dyDescent="0.25">
      <c r="A445">
        <v>444</v>
      </c>
      <c r="B445" t="s">
        <v>1509</v>
      </c>
      <c r="C445" t="s">
        <v>1509</v>
      </c>
      <c r="D445" t="s">
        <v>2522</v>
      </c>
      <c r="E445" t="s">
        <v>199</v>
      </c>
      <c r="F445" t="s">
        <v>200</v>
      </c>
      <c r="G445" t="s">
        <v>139</v>
      </c>
      <c r="H445" t="s">
        <v>140</v>
      </c>
      <c r="J445" t="s">
        <v>326</v>
      </c>
      <c r="K445" t="s">
        <v>327</v>
      </c>
      <c r="L445" t="s">
        <v>4597</v>
      </c>
      <c r="M445" t="s">
        <v>4598</v>
      </c>
      <c r="R445" t="s">
        <v>73</v>
      </c>
      <c r="S445" t="s">
        <v>73</v>
      </c>
      <c r="U445" t="s">
        <v>73</v>
      </c>
      <c r="V445" t="s">
        <v>73</v>
      </c>
      <c r="X445" t="s">
        <v>73</v>
      </c>
      <c r="Y445" t="s">
        <v>73</v>
      </c>
      <c r="AA445" t="s">
        <v>73</v>
      </c>
      <c r="AB445" t="s">
        <v>73</v>
      </c>
      <c r="AF445">
        <v>415.6020196472661</v>
      </c>
      <c r="AG445">
        <v>6.5</v>
      </c>
      <c r="AH445">
        <v>9</v>
      </c>
      <c r="AI445">
        <v>341</v>
      </c>
      <c r="AJ445">
        <v>155.22446627474014</v>
      </c>
      <c r="AK445">
        <v>651.79999999999995</v>
      </c>
      <c r="AM445">
        <v>217.31425278463618</v>
      </c>
      <c r="AN445">
        <v>0</v>
      </c>
      <c r="AO445" t="s">
        <v>5896</v>
      </c>
      <c r="AP445" t="s">
        <v>2522</v>
      </c>
    </row>
    <row r="446" spans="1:42" x14ac:dyDescent="0.25">
      <c r="A446">
        <v>445</v>
      </c>
      <c r="B446" t="s">
        <v>2282</v>
      </c>
      <c r="C446" t="s">
        <v>2282</v>
      </c>
      <c r="D446" t="s">
        <v>2684</v>
      </c>
      <c r="E446" t="s">
        <v>255</v>
      </c>
      <c r="F446" t="s">
        <v>256</v>
      </c>
      <c r="G446" t="s">
        <v>257</v>
      </c>
      <c r="H446" t="s">
        <v>258</v>
      </c>
      <c r="I446" t="s">
        <v>2283</v>
      </c>
      <c r="J446" t="s">
        <v>1379</v>
      </c>
      <c r="K446" t="s">
        <v>1380</v>
      </c>
      <c r="L446">
        <v>50.861944444444397</v>
      </c>
      <c r="M446">
        <v>5.83083333333333</v>
      </c>
      <c r="O446" t="s">
        <v>2284</v>
      </c>
      <c r="P446" t="s">
        <v>2284</v>
      </c>
      <c r="Q446">
        <v>12</v>
      </c>
      <c r="R446" t="s">
        <v>2406</v>
      </c>
      <c r="S446" t="s">
        <v>2407</v>
      </c>
      <c r="T446">
        <v>1</v>
      </c>
      <c r="U446" t="s">
        <v>2430</v>
      </c>
      <c r="V446" t="s">
        <v>2431</v>
      </c>
      <c r="W446">
        <v>6</v>
      </c>
      <c r="X446" t="s">
        <v>2446</v>
      </c>
      <c r="Y446" t="s">
        <v>2447</v>
      </c>
      <c r="Z446">
        <v>4</v>
      </c>
      <c r="AA446" t="s">
        <v>73</v>
      </c>
      <c r="AB446" t="s">
        <v>73</v>
      </c>
      <c r="AE446" t="s">
        <v>2285</v>
      </c>
      <c r="AF446">
        <v>415.19905081846224</v>
      </c>
      <c r="AG446">
        <v>6.5652173913042997</v>
      </c>
      <c r="AH446">
        <v>91</v>
      </c>
      <c r="AI446">
        <v>400</v>
      </c>
      <c r="AJ446">
        <v>142.04242361471913</v>
      </c>
      <c r="AK446">
        <v>674.72173913043002</v>
      </c>
      <c r="AL446">
        <v>2004</v>
      </c>
      <c r="AM446">
        <v>198.85939306060678</v>
      </c>
      <c r="AN446">
        <v>0</v>
      </c>
      <c r="AO446" t="s">
        <v>5897</v>
      </c>
      <c r="AP446" t="s">
        <v>2684</v>
      </c>
    </row>
    <row r="447" spans="1:42" x14ac:dyDescent="0.25">
      <c r="A447">
        <v>446</v>
      </c>
      <c r="B447" t="s">
        <v>3338</v>
      </c>
      <c r="C447" t="s">
        <v>3338</v>
      </c>
      <c r="D447" t="s">
        <v>3512</v>
      </c>
      <c r="E447" t="s">
        <v>471</v>
      </c>
      <c r="F447" t="s">
        <v>472</v>
      </c>
      <c r="G447" t="s">
        <v>93</v>
      </c>
      <c r="H447" t="s">
        <v>94</v>
      </c>
      <c r="I447" t="s">
        <v>3510</v>
      </c>
      <c r="J447" t="s">
        <v>3241</v>
      </c>
      <c r="K447" t="s">
        <v>3191</v>
      </c>
      <c r="Q447">
        <v>14</v>
      </c>
      <c r="R447" t="s">
        <v>2409</v>
      </c>
      <c r="S447" t="s">
        <v>2410</v>
      </c>
      <c r="T447">
        <v>2</v>
      </c>
      <c r="U447" t="s">
        <v>2432</v>
      </c>
      <c r="V447" t="s">
        <v>2433</v>
      </c>
      <c r="W447">
        <v>7</v>
      </c>
      <c r="X447" t="s">
        <v>2446</v>
      </c>
      <c r="Y447" t="s">
        <v>2447</v>
      </c>
      <c r="Z447">
        <v>4</v>
      </c>
      <c r="AA447" t="s">
        <v>73</v>
      </c>
      <c r="AB447" t="s">
        <v>73</v>
      </c>
      <c r="AF447">
        <v>414.49280041873482</v>
      </c>
      <c r="AG447">
        <v>7.8333333333333002</v>
      </c>
      <c r="AH447">
        <v>11</v>
      </c>
      <c r="AI447">
        <v>687</v>
      </c>
      <c r="AJ447">
        <v>79.695704168966387</v>
      </c>
      <c r="AK447">
        <v>785.53333333333012</v>
      </c>
      <c r="AM447">
        <v>83.573985836552936</v>
      </c>
      <c r="AN447">
        <v>112</v>
      </c>
      <c r="AO447" t="s">
        <v>5898</v>
      </c>
      <c r="AP447" t="s">
        <v>3512</v>
      </c>
    </row>
    <row r="448" spans="1:42" x14ac:dyDescent="0.25">
      <c r="A448">
        <v>447</v>
      </c>
      <c r="B448" t="s">
        <v>3363</v>
      </c>
      <c r="C448" t="s">
        <v>3363</v>
      </c>
      <c r="D448" t="s">
        <v>3698</v>
      </c>
      <c r="E448" t="s">
        <v>229</v>
      </c>
      <c r="F448" t="s">
        <v>229</v>
      </c>
      <c r="G448" t="s">
        <v>69</v>
      </c>
      <c r="H448" t="s">
        <v>70</v>
      </c>
      <c r="L448" t="s">
        <v>4845</v>
      </c>
      <c r="M448" t="s">
        <v>4846</v>
      </c>
      <c r="R448" t="s">
        <v>73</v>
      </c>
      <c r="S448" t="s">
        <v>73</v>
      </c>
      <c r="U448" t="s">
        <v>73</v>
      </c>
      <c r="V448" t="s">
        <v>73</v>
      </c>
      <c r="X448" t="s">
        <v>73</v>
      </c>
      <c r="Y448" t="s">
        <v>73</v>
      </c>
      <c r="AA448" t="s">
        <v>73</v>
      </c>
      <c r="AB448" t="s">
        <v>73</v>
      </c>
      <c r="AF448">
        <v>414.41210828657631</v>
      </c>
      <c r="AG448">
        <v>7</v>
      </c>
      <c r="AH448">
        <v>4</v>
      </c>
      <c r="AI448">
        <v>472</v>
      </c>
      <c r="AJ448">
        <v>126.68012031841813</v>
      </c>
      <c r="AK448">
        <v>700.8</v>
      </c>
      <c r="AM448">
        <v>65.352168445785381</v>
      </c>
      <c r="AN448">
        <v>448</v>
      </c>
      <c r="AO448" t="s">
        <v>5899</v>
      </c>
      <c r="AP448" t="s">
        <v>3698</v>
      </c>
    </row>
    <row r="449" spans="1:42" x14ac:dyDescent="0.25">
      <c r="A449">
        <v>448</v>
      </c>
      <c r="B449" t="s">
        <v>3398</v>
      </c>
      <c r="C449" t="s">
        <v>3398</v>
      </c>
      <c r="D449" t="s">
        <v>5102</v>
      </c>
      <c r="E449" t="s">
        <v>67</v>
      </c>
      <c r="F449" t="s">
        <v>68</v>
      </c>
      <c r="G449" t="s">
        <v>3843</v>
      </c>
      <c r="H449" t="s">
        <v>3844</v>
      </c>
      <c r="J449" t="s">
        <v>580</v>
      </c>
      <c r="K449" t="s">
        <v>581</v>
      </c>
      <c r="L449" t="s">
        <v>5103</v>
      </c>
      <c r="M449" t="s">
        <v>5104</v>
      </c>
      <c r="R449" t="s">
        <v>73</v>
      </c>
      <c r="S449" t="s">
        <v>73</v>
      </c>
      <c r="U449" t="s">
        <v>73</v>
      </c>
      <c r="V449" t="s">
        <v>73</v>
      </c>
      <c r="X449" t="s">
        <v>73</v>
      </c>
      <c r="Y449" t="s">
        <v>73</v>
      </c>
      <c r="AA449" t="s">
        <v>73</v>
      </c>
      <c r="AB449" t="s">
        <v>73</v>
      </c>
      <c r="AF449">
        <v>414.0730329925326</v>
      </c>
      <c r="AG449">
        <v>5.5714285714285996</v>
      </c>
      <c r="AH449">
        <v>6</v>
      </c>
      <c r="AI449">
        <v>202</v>
      </c>
      <c r="AJ449">
        <v>205.4462271345584</v>
      </c>
      <c r="AK449">
        <v>558.34285714286</v>
      </c>
      <c r="AM449">
        <v>287.62471798838175</v>
      </c>
      <c r="AN449">
        <v>0</v>
      </c>
      <c r="AO449" t="s">
        <v>5900</v>
      </c>
      <c r="AP449" t="s">
        <v>5102</v>
      </c>
    </row>
    <row r="450" spans="1:42" x14ac:dyDescent="0.25">
      <c r="A450">
        <v>449</v>
      </c>
      <c r="B450" t="s">
        <v>1105</v>
      </c>
      <c r="C450" t="s">
        <v>1105</v>
      </c>
      <c r="D450" t="s">
        <v>1106</v>
      </c>
      <c r="E450" t="s">
        <v>218</v>
      </c>
      <c r="F450" t="s">
        <v>219</v>
      </c>
      <c r="G450" t="s">
        <v>69</v>
      </c>
      <c r="H450" t="s">
        <v>70</v>
      </c>
      <c r="I450" t="s">
        <v>892</v>
      </c>
      <c r="J450" t="s">
        <v>251</v>
      </c>
      <c r="K450" t="s">
        <v>252</v>
      </c>
      <c r="L450" t="s">
        <v>4978</v>
      </c>
      <c r="M450" t="s">
        <v>4979</v>
      </c>
      <c r="R450" t="s">
        <v>73</v>
      </c>
      <c r="S450" t="s">
        <v>73</v>
      </c>
      <c r="U450" t="s">
        <v>73</v>
      </c>
      <c r="V450" t="s">
        <v>73</v>
      </c>
      <c r="X450" t="s">
        <v>73</v>
      </c>
      <c r="Y450" t="s">
        <v>73</v>
      </c>
      <c r="AA450" t="s">
        <v>73</v>
      </c>
      <c r="AB450" t="s">
        <v>73</v>
      </c>
      <c r="AF450">
        <v>414.06966731117217</v>
      </c>
      <c r="AG450">
        <v>8</v>
      </c>
      <c r="AH450">
        <v>5</v>
      </c>
      <c r="AI450">
        <v>735</v>
      </c>
      <c r="AJ450">
        <v>70.632963679080163</v>
      </c>
      <c r="AK450">
        <v>801</v>
      </c>
      <c r="AM450">
        <v>42.886149150712214</v>
      </c>
      <c r="AN450">
        <v>224</v>
      </c>
      <c r="AO450" t="s">
        <v>5901</v>
      </c>
      <c r="AP450" t="s">
        <v>1106</v>
      </c>
    </row>
    <row r="451" spans="1:42" x14ac:dyDescent="0.25">
      <c r="A451">
        <v>450</v>
      </c>
      <c r="B451" t="s">
        <v>1490</v>
      </c>
      <c r="C451" t="s">
        <v>1490</v>
      </c>
      <c r="D451" t="s">
        <v>2515</v>
      </c>
      <c r="E451" t="s">
        <v>137</v>
      </c>
      <c r="F451" t="s">
        <v>138</v>
      </c>
      <c r="G451" t="s">
        <v>139</v>
      </c>
      <c r="H451" t="s">
        <v>140</v>
      </c>
      <c r="J451" t="s">
        <v>296</v>
      </c>
      <c r="K451" t="s">
        <v>297</v>
      </c>
      <c r="L451" t="s">
        <v>4640</v>
      </c>
      <c r="M451" t="s">
        <v>4641</v>
      </c>
      <c r="R451" t="s">
        <v>2409</v>
      </c>
      <c r="S451" t="s">
        <v>2410</v>
      </c>
      <c r="T451">
        <v>2</v>
      </c>
      <c r="U451" t="s">
        <v>3137</v>
      </c>
      <c r="V451" t="s">
        <v>3136</v>
      </c>
      <c r="W451">
        <v>5</v>
      </c>
      <c r="X451" t="s">
        <v>2437</v>
      </c>
      <c r="Y451" t="s">
        <v>2438</v>
      </c>
      <c r="Z451">
        <v>1</v>
      </c>
      <c r="AE451" t="s">
        <v>2982</v>
      </c>
      <c r="AF451">
        <v>414.067425209813</v>
      </c>
      <c r="AG451">
        <v>7.8888888888888999</v>
      </c>
      <c r="AH451">
        <v>8</v>
      </c>
      <c r="AI451">
        <v>707</v>
      </c>
      <c r="AJ451">
        <v>76.469978628186581</v>
      </c>
      <c r="AK451">
        <v>790.48888888889007</v>
      </c>
      <c r="AM451">
        <v>107.05797007946121</v>
      </c>
      <c r="AN451">
        <v>0</v>
      </c>
      <c r="AO451" t="s">
        <v>5902</v>
      </c>
      <c r="AP451" t="s">
        <v>2515</v>
      </c>
    </row>
    <row r="452" spans="1:42" x14ac:dyDescent="0.25">
      <c r="A452">
        <v>451</v>
      </c>
      <c r="B452" t="s">
        <v>2125</v>
      </c>
      <c r="C452" t="s">
        <v>2125</v>
      </c>
      <c r="D452" t="s">
        <v>2126</v>
      </c>
      <c r="E452" t="s">
        <v>137</v>
      </c>
      <c r="F452" t="s">
        <v>138</v>
      </c>
      <c r="G452" t="s">
        <v>139</v>
      </c>
      <c r="H452" t="s">
        <v>140</v>
      </c>
      <c r="I452" t="s">
        <v>2127</v>
      </c>
      <c r="J452" t="s">
        <v>1234</v>
      </c>
      <c r="K452" t="s">
        <v>1235</v>
      </c>
      <c r="L452" t="s">
        <v>4660</v>
      </c>
      <c r="M452" t="s">
        <v>4661</v>
      </c>
      <c r="R452" t="s">
        <v>2406</v>
      </c>
      <c r="S452" t="s">
        <v>2407</v>
      </c>
      <c r="T452">
        <v>1</v>
      </c>
      <c r="U452" t="s">
        <v>73</v>
      </c>
      <c r="V452" t="s">
        <v>73</v>
      </c>
      <c r="X452" t="s">
        <v>73</v>
      </c>
      <c r="Y452" t="s">
        <v>73</v>
      </c>
      <c r="AA452" t="s">
        <v>73</v>
      </c>
      <c r="AB452" t="s">
        <v>73</v>
      </c>
      <c r="AF452">
        <v>413.47645550347249</v>
      </c>
      <c r="AG452">
        <v>4.9473684210525999</v>
      </c>
      <c r="AH452">
        <v>18</v>
      </c>
      <c r="AI452">
        <v>158</v>
      </c>
      <c r="AJ452">
        <v>238.12003827871391</v>
      </c>
      <c r="AK452">
        <v>498.33684210526002</v>
      </c>
      <c r="AM452">
        <v>333.36805359019945</v>
      </c>
      <c r="AN452">
        <v>0</v>
      </c>
      <c r="AO452" t="s">
        <v>5903</v>
      </c>
      <c r="AP452" t="s">
        <v>2126</v>
      </c>
    </row>
    <row r="453" spans="1:42" x14ac:dyDescent="0.25">
      <c r="A453">
        <v>452</v>
      </c>
      <c r="B453" t="s">
        <v>2836</v>
      </c>
      <c r="C453" t="s">
        <v>4087</v>
      </c>
      <c r="D453" t="s">
        <v>3004</v>
      </c>
      <c r="E453" t="s">
        <v>91</v>
      </c>
      <c r="F453" t="s">
        <v>92</v>
      </c>
      <c r="G453" t="s">
        <v>3515</v>
      </c>
      <c r="H453" t="s">
        <v>3516</v>
      </c>
      <c r="I453" t="s">
        <v>2838</v>
      </c>
      <c r="J453" t="s">
        <v>3069</v>
      </c>
      <c r="K453" t="s">
        <v>3063</v>
      </c>
      <c r="L453" t="s">
        <v>4542</v>
      </c>
      <c r="M453" t="s">
        <v>4543</v>
      </c>
      <c r="O453" t="s">
        <v>63</v>
      </c>
      <c r="P453" t="s">
        <v>64</v>
      </c>
      <c r="Q453">
        <v>14</v>
      </c>
      <c r="R453" t="s">
        <v>2406</v>
      </c>
      <c r="S453" t="s">
        <v>2407</v>
      </c>
      <c r="T453">
        <v>1</v>
      </c>
      <c r="U453" t="s">
        <v>2430</v>
      </c>
      <c r="V453" t="s">
        <v>2431</v>
      </c>
      <c r="W453">
        <v>6</v>
      </c>
      <c r="X453" t="s">
        <v>2440</v>
      </c>
      <c r="Y453" t="s">
        <v>2441</v>
      </c>
      <c r="Z453">
        <v>2</v>
      </c>
      <c r="AC453" t="s">
        <v>2839</v>
      </c>
      <c r="AD453" t="s">
        <v>2839</v>
      </c>
      <c r="AF453">
        <v>413.29557066463684</v>
      </c>
      <c r="AG453">
        <v>7.4666666666666996</v>
      </c>
      <c r="AH453">
        <v>14</v>
      </c>
      <c r="AI453">
        <v>596</v>
      </c>
      <c r="AJ453">
        <v>98.402485923668792</v>
      </c>
      <c r="AK453">
        <v>749.46666666666988</v>
      </c>
      <c r="AL453">
        <v>2010</v>
      </c>
      <c r="AM453">
        <v>123.7634802931363</v>
      </c>
      <c r="AN453">
        <v>56</v>
      </c>
      <c r="AO453" t="s">
        <v>5904</v>
      </c>
      <c r="AP453" t="s">
        <v>3004</v>
      </c>
    </row>
    <row r="454" spans="1:42" x14ac:dyDescent="0.25">
      <c r="A454">
        <v>453</v>
      </c>
      <c r="B454" t="s">
        <v>1613</v>
      </c>
      <c r="C454" t="s">
        <v>1613</v>
      </c>
      <c r="D454" t="s">
        <v>3834</v>
      </c>
      <c r="E454" t="s">
        <v>67</v>
      </c>
      <c r="F454" t="s">
        <v>68</v>
      </c>
      <c r="G454" t="s">
        <v>3843</v>
      </c>
      <c r="H454" t="s">
        <v>3844</v>
      </c>
      <c r="J454" t="s">
        <v>580</v>
      </c>
      <c r="K454" t="s">
        <v>581</v>
      </c>
      <c r="L454" t="s">
        <v>5096</v>
      </c>
      <c r="M454" t="s">
        <v>5097</v>
      </c>
      <c r="R454" t="s">
        <v>73</v>
      </c>
      <c r="S454" t="s">
        <v>73</v>
      </c>
      <c r="U454" t="s">
        <v>73</v>
      </c>
      <c r="V454" t="s">
        <v>73</v>
      </c>
      <c r="X454" t="s">
        <v>73</v>
      </c>
      <c r="Y454" t="s">
        <v>73</v>
      </c>
      <c r="AF454">
        <v>413.19846385551341</v>
      </c>
      <c r="AG454">
        <v>6.6111111111111001</v>
      </c>
      <c r="AH454">
        <v>17</v>
      </c>
      <c r="AI454">
        <v>388</v>
      </c>
      <c r="AJ454">
        <v>145.4921203332872</v>
      </c>
      <c r="AK454">
        <v>664.51111111110993</v>
      </c>
      <c r="AM454">
        <v>203.68896846660209</v>
      </c>
      <c r="AN454">
        <v>0</v>
      </c>
      <c r="AO454" t="s">
        <v>5905</v>
      </c>
      <c r="AP454" t="s">
        <v>3834</v>
      </c>
    </row>
    <row r="455" spans="1:42" x14ac:dyDescent="0.25">
      <c r="A455">
        <v>454</v>
      </c>
      <c r="B455" t="s">
        <v>1859</v>
      </c>
      <c r="C455" t="s">
        <v>1859</v>
      </c>
      <c r="D455" t="s">
        <v>3009</v>
      </c>
      <c r="E455" t="s">
        <v>67</v>
      </c>
      <c r="F455" t="s">
        <v>68</v>
      </c>
      <c r="G455" t="s">
        <v>3845</v>
      </c>
      <c r="H455" t="s">
        <v>3846</v>
      </c>
      <c r="J455" t="s">
        <v>1293</v>
      </c>
      <c r="K455" t="s">
        <v>1294</v>
      </c>
      <c r="L455" t="s">
        <v>5421</v>
      </c>
      <c r="M455" t="s">
        <v>5422</v>
      </c>
      <c r="R455" t="s">
        <v>73</v>
      </c>
      <c r="S455" t="s">
        <v>73</v>
      </c>
      <c r="U455" t="s">
        <v>73</v>
      </c>
      <c r="V455" t="s">
        <v>73</v>
      </c>
      <c r="X455" t="s">
        <v>73</v>
      </c>
      <c r="Y455" t="s">
        <v>73</v>
      </c>
      <c r="AA455" t="s">
        <v>73</v>
      </c>
      <c r="AB455" t="s">
        <v>73</v>
      </c>
      <c r="AE455" t="s">
        <v>5420</v>
      </c>
      <c r="AF455">
        <v>413.05708933387484</v>
      </c>
      <c r="AG455">
        <v>7.625</v>
      </c>
      <c r="AH455">
        <v>7</v>
      </c>
      <c r="AI455">
        <v>629</v>
      </c>
      <c r="AJ455">
        <v>90.118988148749821</v>
      </c>
      <c r="AK455">
        <v>763.9</v>
      </c>
      <c r="AM455">
        <v>98.166583408249735</v>
      </c>
      <c r="AN455">
        <v>112</v>
      </c>
      <c r="AO455" t="s">
        <v>5906</v>
      </c>
      <c r="AP455" t="s">
        <v>3009</v>
      </c>
    </row>
    <row r="456" spans="1:42" x14ac:dyDescent="0.25">
      <c r="A456">
        <v>455</v>
      </c>
      <c r="B456" t="s">
        <v>123</v>
      </c>
      <c r="C456" t="s">
        <v>4068</v>
      </c>
      <c r="D456" t="s">
        <v>3130</v>
      </c>
      <c r="E456" t="s">
        <v>101</v>
      </c>
      <c r="F456" t="s">
        <v>102</v>
      </c>
      <c r="G456" t="s">
        <v>108</v>
      </c>
      <c r="H456" t="s">
        <v>109</v>
      </c>
      <c r="I456" t="s">
        <v>124</v>
      </c>
      <c r="O456" t="s">
        <v>3501</v>
      </c>
      <c r="P456" t="s">
        <v>3502</v>
      </c>
      <c r="Q456">
        <v>13</v>
      </c>
      <c r="R456" t="s">
        <v>2406</v>
      </c>
      <c r="S456" t="s">
        <v>2407</v>
      </c>
      <c r="T456">
        <v>1</v>
      </c>
      <c r="U456" t="s">
        <v>2430</v>
      </c>
      <c r="V456" t="s">
        <v>2431</v>
      </c>
      <c r="W456">
        <v>6</v>
      </c>
      <c r="X456" t="s">
        <v>2440</v>
      </c>
      <c r="Y456" t="s">
        <v>2441</v>
      </c>
      <c r="Z456">
        <v>2</v>
      </c>
      <c r="AF456">
        <v>412.95543144419776</v>
      </c>
      <c r="AG456">
        <v>8</v>
      </c>
      <c r="AH456">
        <v>9</v>
      </c>
      <c r="AI456">
        <v>741</v>
      </c>
      <c r="AJ456">
        <v>68.950479382441998</v>
      </c>
      <c r="AK456">
        <v>801.8</v>
      </c>
      <c r="AM456">
        <v>40.530671135418793</v>
      </c>
      <c r="AN456">
        <v>224</v>
      </c>
      <c r="AO456" t="s">
        <v>5907</v>
      </c>
      <c r="AP456" t="s">
        <v>3130</v>
      </c>
    </row>
    <row r="457" spans="1:42" x14ac:dyDescent="0.25">
      <c r="A457">
        <v>456</v>
      </c>
      <c r="B457" t="s">
        <v>2100</v>
      </c>
      <c r="C457" t="s">
        <v>2100</v>
      </c>
      <c r="D457" t="s">
        <v>2975</v>
      </c>
      <c r="E457" t="s">
        <v>169</v>
      </c>
      <c r="F457" t="s">
        <v>170</v>
      </c>
      <c r="G457" t="s">
        <v>79</v>
      </c>
      <c r="H457" t="s">
        <v>80</v>
      </c>
      <c r="J457" t="s">
        <v>2973</v>
      </c>
      <c r="K457" t="s">
        <v>2974</v>
      </c>
      <c r="R457" t="s">
        <v>73</v>
      </c>
      <c r="S457" t="s">
        <v>73</v>
      </c>
      <c r="U457" t="s">
        <v>73</v>
      </c>
      <c r="V457" t="s">
        <v>73</v>
      </c>
      <c r="X457" t="s">
        <v>73</v>
      </c>
      <c r="Y457" t="s">
        <v>73</v>
      </c>
      <c r="AA457" t="s">
        <v>73</v>
      </c>
      <c r="AB457" t="s">
        <v>73</v>
      </c>
      <c r="AF457">
        <v>412.89230769230994</v>
      </c>
      <c r="AG457">
        <v>8.1538461538461995</v>
      </c>
      <c r="AH457">
        <v>12</v>
      </c>
      <c r="AI457">
        <v>766</v>
      </c>
      <c r="AJ457">
        <v>60.000000000000007</v>
      </c>
      <c r="AK457">
        <v>817.78461538461988</v>
      </c>
      <c r="AM457">
        <v>0</v>
      </c>
      <c r="AN457">
        <v>336</v>
      </c>
      <c r="AO457" t="s">
        <v>5908</v>
      </c>
      <c r="AP457" t="s">
        <v>2975</v>
      </c>
    </row>
    <row r="458" spans="1:42" x14ac:dyDescent="0.25">
      <c r="A458">
        <v>457</v>
      </c>
      <c r="B458" t="s">
        <v>1296</v>
      </c>
      <c r="C458" t="s">
        <v>1296</v>
      </c>
      <c r="D458" t="s">
        <v>1297</v>
      </c>
      <c r="E458" t="s">
        <v>2278</v>
      </c>
      <c r="F458" t="s">
        <v>2278</v>
      </c>
      <c r="G458" t="s">
        <v>158</v>
      </c>
      <c r="H458" t="s">
        <v>159</v>
      </c>
      <c r="R458" t="s">
        <v>73</v>
      </c>
      <c r="S458" t="s">
        <v>73</v>
      </c>
      <c r="U458" t="s">
        <v>73</v>
      </c>
      <c r="V458" t="s">
        <v>73</v>
      </c>
      <c r="X458" t="s">
        <v>73</v>
      </c>
      <c r="Y458" t="s">
        <v>73</v>
      </c>
      <c r="AA458" t="s">
        <v>73</v>
      </c>
      <c r="AB458" t="s">
        <v>73</v>
      </c>
      <c r="AF458">
        <v>412.70429471890156</v>
      </c>
      <c r="AG458">
        <v>6.3</v>
      </c>
      <c r="AH458">
        <v>9</v>
      </c>
      <c r="AI458">
        <v>314</v>
      </c>
      <c r="AJ458">
        <v>163.11588302100174</v>
      </c>
      <c r="AK458">
        <v>631.79999999999995</v>
      </c>
      <c r="AM458">
        <v>116.3622362294024</v>
      </c>
      <c r="AN458">
        <v>448</v>
      </c>
      <c r="AO458" t="s">
        <v>5909</v>
      </c>
      <c r="AP458" t="s">
        <v>1297</v>
      </c>
    </row>
    <row r="459" spans="1:42" x14ac:dyDescent="0.25">
      <c r="A459">
        <v>458</v>
      </c>
      <c r="B459" t="s">
        <v>2912</v>
      </c>
      <c r="C459" t="s">
        <v>2912</v>
      </c>
      <c r="D459" t="s">
        <v>685</v>
      </c>
      <c r="E459" t="s">
        <v>67</v>
      </c>
      <c r="F459" t="s">
        <v>68</v>
      </c>
      <c r="G459" t="s">
        <v>3843</v>
      </c>
      <c r="H459" t="s">
        <v>3844</v>
      </c>
      <c r="I459" t="s">
        <v>640</v>
      </c>
      <c r="J459" t="s">
        <v>580</v>
      </c>
      <c r="K459" t="s">
        <v>581</v>
      </c>
      <c r="L459" t="s">
        <v>5105</v>
      </c>
      <c r="M459" t="s">
        <v>5106</v>
      </c>
      <c r="R459" t="s">
        <v>73</v>
      </c>
      <c r="S459" t="s">
        <v>73</v>
      </c>
      <c r="U459" t="s">
        <v>73</v>
      </c>
      <c r="V459" t="s">
        <v>73</v>
      </c>
      <c r="X459" t="s">
        <v>73</v>
      </c>
      <c r="Y459" t="s">
        <v>73</v>
      </c>
      <c r="AA459" t="s">
        <v>73</v>
      </c>
      <c r="AB459" t="s">
        <v>73</v>
      </c>
      <c r="AF459">
        <v>412.6120805094813</v>
      </c>
      <c r="AG459">
        <v>7.6428571428570997</v>
      </c>
      <c r="AH459">
        <v>13</v>
      </c>
      <c r="AI459">
        <v>639</v>
      </c>
      <c r="AJ459">
        <v>87.965803740695875</v>
      </c>
      <c r="AK459">
        <v>766.88571428571004</v>
      </c>
      <c r="AM459">
        <v>123.15212523697421</v>
      </c>
      <c r="AN459">
        <v>0</v>
      </c>
      <c r="AO459" t="s">
        <v>5910</v>
      </c>
      <c r="AP459" t="s">
        <v>685</v>
      </c>
    </row>
    <row r="460" spans="1:42" x14ac:dyDescent="0.25">
      <c r="A460">
        <v>459</v>
      </c>
      <c r="B460" t="s">
        <v>2343</v>
      </c>
      <c r="C460" t="s">
        <v>2343</v>
      </c>
      <c r="D460" t="s">
        <v>2344</v>
      </c>
      <c r="E460" t="s">
        <v>199</v>
      </c>
      <c r="F460" t="s">
        <v>200</v>
      </c>
      <c r="G460" t="s">
        <v>139</v>
      </c>
      <c r="H460" t="s">
        <v>140</v>
      </c>
      <c r="J460" t="s">
        <v>326</v>
      </c>
      <c r="K460" t="s">
        <v>327</v>
      </c>
      <c r="L460" t="s">
        <v>4605</v>
      </c>
      <c r="M460" t="s">
        <v>4606</v>
      </c>
      <c r="R460" t="s">
        <v>73</v>
      </c>
      <c r="S460" t="s">
        <v>73</v>
      </c>
      <c r="U460" t="s">
        <v>73</v>
      </c>
      <c r="V460" t="s">
        <v>73</v>
      </c>
      <c r="X460" t="s">
        <v>73</v>
      </c>
      <c r="Y460" t="s">
        <v>73</v>
      </c>
      <c r="AF460">
        <v>412.1779560753323</v>
      </c>
      <c r="AG460">
        <v>7.6538461538462004</v>
      </c>
      <c r="AH460">
        <v>25</v>
      </c>
      <c r="AI460">
        <v>644</v>
      </c>
      <c r="AJ460">
        <v>85.539609314469203</v>
      </c>
      <c r="AK460">
        <v>770.38461538462002</v>
      </c>
      <c r="AM460">
        <v>119.75545304025688</v>
      </c>
      <c r="AN460">
        <v>0</v>
      </c>
      <c r="AO460" t="s">
        <v>5911</v>
      </c>
      <c r="AP460" t="s">
        <v>2344</v>
      </c>
    </row>
    <row r="461" spans="1:42" x14ac:dyDescent="0.25">
      <c r="A461">
        <v>460</v>
      </c>
      <c r="B461" t="s">
        <v>112</v>
      </c>
      <c r="C461" t="s">
        <v>112</v>
      </c>
      <c r="D461" t="s">
        <v>113</v>
      </c>
      <c r="E461" t="s">
        <v>67</v>
      </c>
      <c r="F461" t="s">
        <v>68</v>
      </c>
      <c r="G461" t="s">
        <v>3845</v>
      </c>
      <c r="H461" t="s">
        <v>3846</v>
      </c>
      <c r="I461" t="s">
        <v>114</v>
      </c>
      <c r="J461" t="s">
        <v>71</v>
      </c>
      <c r="K461" t="s">
        <v>72</v>
      </c>
      <c r="L461" t="s">
        <v>5358</v>
      </c>
      <c r="M461" t="s">
        <v>5359</v>
      </c>
      <c r="R461" t="s">
        <v>73</v>
      </c>
      <c r="S461" t="s">
        <v>73</v>
      </c>
      <c r="U461" t="s">
        <v>73</v>
      </c>
      <c r="V461" t="s">
        <v>73</v>
      </c>
      <c r="X461" t="s">
        <v>73</v>
      </c>
      <c r="Y461" t="s">
        <v>73</v>
      </c>
      <c r="AA461" t="s">
        <v>73</v>
      </c>
      <c r="AB461" t="s">
        <v>73</v>
      </c>
      <c r="AF461">
        <v>411.93372717165232</v>
      </c>
      <c r="AG461">
        <v>7.6</v>
      </c>
      <c r="AH461">
        <v>9</v>
      </c>
      <c r="AI461">
        <v>631</v>
      </c>
      <c r="AJ461">
        <v>90.037474635169303</v>
      </c>
      <c r="AK461">
        <v>761.8</v>
      </c>
      <c r="AL461">
        <v>2007</v>
      </c>
      <c r="AM461">
        <v>98.052464489237025</v>
      </c>
      <c r="AN461">
        <v>112</v>
      </c>
      <c r="AO461" t="s">
        <v>5912</v>
      </c>
      <c r="AP461" t="s">
        <v>113</v>
      </c>
    </row>
    <row r="462" spans="1:42" x14ac:dyDescent="0.25">
      <c r="A462">
        <v>461</v>
      </c>
      <c r="B462" t="s">
        <v>3364</v>
      </c>
      <c r="C462" t="s">
        <v>3364</v>
      </c>
      <c r="D462" t="s">
        <v>4047</v>
      </c>
      <c r="E462" t="s">
        <v>3643</v>
      </c>
      <c r="F462" t="s">
        <v>786</v>
      </c>
      <c r="G462" t="s">
        <v>60</v>
      </c>
      <c r="H462" t="s">
        <v>61</v>
      </c>
      <c r="R462" t="s">
        <v>73</v>
      </c>
      <c r="S462" t="s">
        <v>73</v>
      </c>
      <c r="U462" t="s">
        <v>73</v>
      </c>
      <c r="V462" t="s">
        <v>73</v>
      </c>
      <c r="X462" t="s">
        <v>73</v>
      </c>
      <c r="Y462" t="s">
        <v>73</v>
      </c>
      <c r="AA462" t="s">
        <v>73</v>
      </c>
      <c r="AB462" t="s">
        <v>73</v>
      </c>
      <c r="AF462">
        <v>411.54749987968216</v>
      </c>
      <c r="AG462">
        <v>6.6</v>
      </c>
      <c r="AH462">
        <v>4</v>
      </c>
      <c r="AI462">
        <v>385</v>
      </c>
      <c r="AJ462">
        <v>145.71944431075798</v>
      </c>
      <c r="AK462">
        <v>660.8</v>
      </c>
      <c r="AM462">
        <v>92.007222035061133</v>
      </c>
      <c r="AN462">
        <v>448</v>
      </c>
      <c r="AO462" t="s">
        <v>5913</v>
      </c>
      <c r="AP462" t="s">
        <v>4047</v>
      </c>
    </row>
    <row r="463" spans="1:42" x14ac:dyDescent="0.25">
      <c r="A463">
        <v>462</v>
      </c>
      <c r="B463" t="s">
        <v>590</v>
      </c>
      <c r="C463" t="s">
        <v>590</v>
      </c>
      <c r="D463" t="s">
        <v>3877</v>
      </c>
      <c r="E463" t="s">
        <v>556</v>
      </c>
      <c r="F463" t="s">
        <v>557</v>
      </c>
      <c r="G463" t="s">
        <v>60</v>
      </c>
      <c r="H463" t="s">
        <v>61</v>
      </c>
      <c r="J463" t="s">
        <v>591</v>
      </c>
      <c r="K463" t="s">
        <v>592</v>
      </c>
      <c r="R463" t="s">
        <v>73</v>
      </c>
      <c r="S463" t="s">
        <v>73</v>
      </c>
      <c r="U463" t="s">
        <v>73</v>
      </c>
      <c r="V463" t="s">
        <v>73</v>
      </c>
      <c r="X463" t="s">
        <v>73</v>
      </c>
      <c r="Y463" t="s">
        <v>73</v>
      </c>
      <c r="AA463" t="s">
        <v>73</v>
      </c>
      <c r="AB463" t="s">
        <v>73</v>
      </c>
      <c r="AF463">
        <v>411.5</v>
      </c>
      <c r="AG463">
        <v>8.5</v>
      </c>
      <c r="AH463">
        <v>5</v>
      </c>
      <c r="AI463">
        <v>846</v>
      </c>
      <c r="AJ463">
        <v>40</v>
      </c>
      <c r="AK463">
        <v>851</v>
      </c>
      <c r="AM463">
        <v>0</v>
      </c>
      <c r="AN463">
        <v>224</v>
      </c>
      <c r="AO463" t="s">
        <v>5914</v>
      </c>
      <c r="AP463" t="s">
        <v>3877</v>
      </c>
    </row>
    <row r="464" spans="1:42" x14ac:dyDescent="0.25">
      <c r="A464">
        <v>463</v>
      </c>
      <c r="B464" t="s">
        <v>525</v>
      </c>
      <c r="C464" t="s">
        <v>525</v>
      </c>
      <c r="D464" t="s">
        <v>526</v>
      </c>
      <c r="E464" t="s">
        <v>199</v>
      </c>
      <c r="F464" t="s">
        <v>200</v>
      </c>
      <c r="G464" t="s">
        <v>139</v>
      </c>
      <c r="H464" t="s">
        <v>140</v>
      </c>
      <c r="I464" t="s">
        <v>527</v>
      </c>
      <c r="J464" t="s">
        <v>326</v>
      </c>
      <c r="K464" t="s">
        <v>327</v>
      </c>
      <c r="L464" t="s">
        <v>4702</v>
      </c>
      <c r="M464" t="s">
        <v>4703</v>
      </c>
      <c r="R464" t="s">
        <v>73</v>
      </c>
      <c r="S464" t="s">
        <v>73</v>
      </c>
      <c r="U464" t="s">
        <v>73</v>
      </c>
      <c r="V464" t="s">
        <v>73</v>
      </c>
      <c r="X464" t="s">
        <v>73</v>
      </c>
      <c r="Y464" t="s">
        <v>73</v>
      </c>
      <c r="AA464" t="s">
        <v>73</v>
      </c>
      <c r="AB464" t="s">
        <v>73</v>
      </c>
      <c r="AF464">
        <v>410.69587581572921</v>
      </c>
      <c r="AG464">
        <v>6.875</v>
      </c>
      <c r="AH464">
        <v>15</v>
      </c>
      <c r="AI464">
        <v>464</v>
      </c>
      <c r="AJ464">
        <v>128.27319535081023</v>
      </c>
      <c r="AK464">
        <v>690.5</v>
      </c>
      <c r="AM464">
        <v>179.58247349113432</v>
      </c>
      <c r="AN464">
        <v>0</v>
      </c>
      <c r="AO464" t="s">
        <v>5915</v>
      </c>
      <c r="AP464" t="s">
        <v>526</v>
      </c>
    </row>
    <row r="465" spans="1:42" x14ac:dyDescent="0.25">
      <c r="A465">
        <v>464</v>
      </c>
      <c r="B465" t="s">
        <v>1384</v>
      </c>
      <c r="C465" t="s">
        <v>1384</v>
      </c>
      <c r="D465" t="s">
        <v>2485</v>
      </c>
      <c r="E465" t="s">
        <v>137</v>
      </c>
      <c r="F465" t="s">
        <v>138</v>
      </c>
      <c r="G465" t="s">
        <v>139</v>
      </c>
      <c r="H465" t="s">
        <v>140</v>
      </c>
      <c r="J465" t="s">
        <v>689</v>
      </c>
      <c r="K465" t="s">
        <v>690</v>
      </c>
      <c r="L465" t="s">
        <v>4713</v>
      </c>
      <c r="M465" t="s">
        <v>4714</v>
      </c>
      <c r="R465" t="s">
        <v>73</v>
      </c>
      <c r="S465" t="s">
        <v>73</v>
      </c>
      <c r="U465" t="s">
        <v>73</v>
      </c>
      <c r="V465" t="s">
        <v>73</v>
      </c>
      <c r="X465" t="s">
        <v>73</v>
      </c>
      <c r="Y465" t="s">
        <v>73</v>
      </c>
      <c r="AA465" t="s">
        <v>73</v>
      </c>
      <c r="AB465" t="s">
        <v>73</v>
      </c>
      <c r="AF465">
        <v>410.57595604853617</v>
      </c>
      <c r="AG465">
        <v>6.9</v>
      </c>
      <c r="AH465">
        <v>9</v>
      </c>
      <c r="AI465">
        <v>468</v>
      </c>
      <c r="AJ465">
        <v>127.41772894281797</v>
      </c>
      <c r="AK465">
        <v>691.8</v>
      </c>
      <c r="AM465">
        <v>178.38482051994515</v>
      </c>
      <c r="AN465">
        <v>0</v>
      </c>
      <c r="AO465" t="s">
        <v>5916</v>
      </c>
      <c r="AP465" t="s">
        <v>2485</v>
      </c>
    </row>
    <row r="466" spans="1:42" x14ac:dyDescent="0.25">
      <c r="A466">
        <v>465</v>
      </c>
      <c r="B466" t="s">
        <v>2043</v>
      </c>
      <c r="C466" t="s">
        <v>2043</v>
      </c>
      <c r="D466" t="s">
        <v>2044</v>
      </c>
      <c r="E466" t="s">
        <v>183</v>
      </c>
      <c r="F466" t="s">
        <v>184</v>
      </c>
      <c r="G466" t="s">
        <v>158</v>
      </c>
      <c r="H466" t="s">
        <v>159</v>
      </c>
      <c r="J466" t="s">
        <v>185</v>
      </c>
      <c r="K466" t="s">
        <v>3021</v>
      </c>
      <c r="R466" t="s">
        <v>73</v>
      </c>
      <c r="S466" t="s">
        <v>73</v>
      </c>
      <c r="U466" t="s">
        <v>73</v>
      </c>
      <c r="V466" t="s">
        <v>73</v>
      </c>
      <c r="X466" t="s">
        <v>73</v>
      </c>
      <c r="Y466" t="s">
        <v>73</v>
      </c>
      <c r="AF466">
        <v>410.57216202825367</v>
      </c>
      <c r="AG466">
        <v>5.6666666666666998</v>
      </c>
      <c r="AH466">
        <v>11</v>
      </c>
      <c r="AI466">
        <v>224</v>
      </c>
      <c r="AJ466">
        <v>195.70980966102076</v>
      </c>
      <c r="AK466">
        <v>568.86666666666997</v>
      </c>
      <c r="AM466">
        <v>273.99373352542904</v>
      </c>
      <c r="AN466">
        <v>0</v>
      </c>
      <c r="AO466" t="s">
        <v>5917</v>
      </c>
      <c r="AP466" t="s">
        <v>2044</v>
      </c>
    </row>
    <row r="467" spans="1:42" x14ac:dyDescent="0.25">
      <c r="A467">
        <v>466</v>
      </c>
      <c r="B467" t="s">
        <v>1427</v>
      </c>
      <c r="C467" t="s">
        <v>4166</v>
      </c>
      <c r="D467" t="s">
        <v>4810</v>
      </c>
      <c r="E467" t="s">
        <v>556</v>
      </c>
      <c r="F467" t="s">
        <v>557</v>
      </c>
      <c r="G467" t="s">
        <v>60</v>
      </c>
      <c r="H467" t="s">
        <v>61</v>
      </c>
      <c r="J467" t="s">
        <v>3756</v>
      </c>
      <c r="K467" t="s">
        <v>3757</v>
      </c>
      <c r="R467" t="s">
        <v>73</v>
      </c>
      <c r="S467" t="s">
        <v>73</v>
      </c>
      <c r="U467" t="s">
        <v>73</v>
      </c>
      <c r="V467" t="s">
        <v>73</v>
      </c>
      <c r="X467" t="s">
        <v>73</v>
      </c>
      <c r="Y467" t="s">
        <v>73</v>
      </c>
      <c r="AA467" t="s">
        <v>73</v>
      </c>
      <c r="AB467" t="s">
        <v>73</v>
      </c>
      <c r="AF467">
        <v>410.4</v>
      </c>
      <c r="AG467">
        <v>8.44</v>
      </c>
      <c r="AH467">
        <v>24</v>
      </c>
      <c r="AI467">
        <v>847</v>
      </c>
      <c r="AJ467">
        <v>40</v>
      </c>
      <c r="AK467">
        <v>848.8</v>
      </c>
      <c r="AM467">
        <v>0</v>
      </c>
      <c r="AN467">
        <v>224</v>
      </c>
      <c r="AO467" t="s">
        <v>5918</v>
      </c>
      <c r="AP467" t="s">
        <v>4810</v>
      </c>
    </row>
    <row r="468" spans="1:42" x14ac:dyDescent="0.25">
      <c r="A468">
        <v>467</v>
      </c>
      <c r="B468" t="s">
        <v>3041</v>
      </c>
      <c r="C468" t="s">
        <v>4093</v>
      </c>
      <c r="D468" t="s">
        <v>3052</v>
      </c>
      <c r="E468" t="s">
        <v>137</v>
      </c>
      <c r="F468" t="s">
        <v>138</v>
      </c>
      <c r="G468" t="s">
        <v>139</v>
      </c>
      <c r="H468" t="s">
        <v>140</v>
      </c>
      <c r="I468" t="s">
        <v>1127</v>
      </c>
      <c r="J468" t="s">
        <v>296</v>
      </c>
      <c r="K468" t="s">
        <v>297</v>
      </c>
      <c r="L468" t="s">
        <v>4577</v>
      </c>
      <c r="M468" t="s">
        <v>4578</v>
      </c>
      <c r="O468" t="s">
        <v>1128</v>
      </c>
      <c r="P468" t="s">
        <v>1128</v>
      </c>
      <c r="Q468">
        <v>12</v>
      </c>
      <c r="R468" t="s">
        <v>2406</v>
      </c>
      <c r="S468" t="s">
        <v>2407</v>
      </c>
      <c r="T468">
        <v>1</v>
      </c>
      <c r="U468" t="s">
        <v>2430</v>
      </c>
      <c r="V468" t="s">
        <v>2431</v>
      </c>
      <c r="W468">
        <v>6</v>
      </c>
      <c r="X468" t="s">
        <v>2437</v>
      </c>
      <c r="Y468" t="s">
        <v>2438</v>
      </c>
      <c r="Z468">
        <v>1</v>
      </c>
      <c r="AA468" t="s">
        <v>73</v>
      </c>
      <c r="AB468" t="s">
        <v>73</v>
      </c>
      <c r="AE468" t="s">
        <v>1129</v>
      </c>
      <c r="AF468">
        <v>410.34125222586567</v>
      </c>
      <c r="AG468">
        <v>7.7272727272727</v>
      </c>
      <c r="AH468">
        <v>10</v>
      </c>
      <c r="AI468">
        <v>664</v>
      </c>
      <c r="AJ468">
        <v>81.086239846922993</v>
      </c>
      <c r="AK468">
        <v>774.72727272727002</v>
      </c>
      <c r="AM468">
        <v>113.52073578569218</v>
      </c>
      <c r="AN468">
        <v>0</v>
      </c>
      <c r="AO468" t="s">
        <v>5919</v>
      </c>
      <c r="AP468" t="s">
        <v>3052</v>
      </c>
    </row>
    <row r="469" spans="1:42" x14ac:dyDescent="0.25">
      <c r="A469">
        <v>468</v>
      </c>
      <c r="B469" t="s">
        <v>217</v>
      </c>
      <c r="C469" t="s">
        <v>3026</v>
      </c>
      <c r="D469" t="s">
        <v>3027</v>
      </c>
      <c r="E469" t="s">
        <v>218</v>
      </c>
      <c r="F469" t="s">
        <v>219</v>
      </c>
      <c r="G469" t="s">
        <v>69</v>
      </c>
      <c r="H469" t="s">
        <v>70</v>
      </c>
      <c r="I469" t="s">
        <v>3026</v>
      </c>
      <c r="J469" t="s">
        <v>220</v>
      </c>
      <c r="K469" t="s">
        <v>221</v>
      </c>
      <c r="L469" t="s">
        <v>4942</v>
      </c>
      <c r="M469" t="s">
        <v>4943</v>
      </c>
      <c r="R469" t="s">
        <v>73</v>
      </c>
      <c r="S469" t="s">
        <v>73</v>
      </c>
      <c r="U469" t="s">
        <v>73</v>
      </c>
      <c r="V469" t="s">
        <v>73</v>
      </c>
      <c r="X469" t="s">
        <v>73</v>
      </c>
      <c r="Y469" t="s">
        <v>73</v>
      </c>
      <c r="AA469" t="s">
        <v>73</v>
      </c>
      <c r="AB469" t="s">
        <v>73</v>
      </c>
      <c r="AE469" t="s">
        <v>3025</v>
      </c>
      <c r="AF469">
        <v>410.00613903350643</v>
      </c>
      <c r="AG469">
        <v>7.1538461538462004</v>
      </c>
      <c r="AH469">
        <v>12</v>
      </c>
      <c r="AI469">
        <v>545</v>
      </c>
      <c r="AJ469">
        <v>112.34870149021825</v>
      </c>
      <c r="AK469">
        <v>717.78461538462</v>
      </c>
      <c r="AM469">
        <v>101.28818208630553</v>
      </c>
      <c r="AN469">
        <v>224</v>
      </c>
      <c r="AO469" t="s">
        <v>5920</v>
      </c>
      <c r="AP469" t="s">
        <v>3027</v>
      </c>
    </row>
    <row r="470" spans="1:42" x14ac:dyDescent="0.25">
      <c r="A470">
        <v>469</v>
      </c>
      <c r="B470" t="s">
        <v>1539</v>
      </c>
      <c r="C470" t="s">
        <v>1539</v>
      </c>
      <c r="D470" t="s">
        <v>2534</v>
      </c>
      <c r="E470" t="s">
        <v>282</v>
      </c>
      <c r="F470" t="s">
        <v>283</v>
      </c>
      <c r="G470" t="s">
        <v>3167</v>
      </c>
      <c r="H470" t="s">
        <v>3166</v>
      </c>
      <c r="I470" t="s">
        <v>1139</v>
      </c>
      <c r="J470" t="s">
        <v>368</v>
      </c>
      <c r="K470" t="s">
        <v>369</v>
      </c>
      <c r="O470" t="s">
        <v>1540</v>
      </c>
      <c r="P470" t="s">
        <v>1541</v>
      </c>
      <c r="R470" t="s">
        <v>73</v>
      </c>
      <c r="S470" t="s">
        <v>73</v>
      </c>
      <c r="U470" t="s">
        <v>73</v>
      </c>
      <c r="V470" t="s">
        <v>73</v>
      </c>
      <c r="X470" t="s">
        <v>73</v>
      </c>
      <c r="Y470" t="s">
        <v>73</v>
      </c>
      <c r="AA470" t="s">
        <v>73</v>
      </c>
      <c r="AB470" t="s">
        <v>73</v>
      </c>
      <c r="AF470">
        <v>409.97356151000747</v>
      </c>
      <c r="AG470">
        <v>6.3</v>
      </c>
      <c r="AH470">
        <v>19</v>
      </c>
      <c r="AI470">
        <v>330</v>
      </c>
      <c r="AJ470">
        <v>158.97062390000832</v>
      </c>
      <c r="AK470">
        <v>633.79999999999995</v>
      </c>
      <c r="AL470">
        <v>2009</v>
      </c>
      <c r="AM470">
        <v>166.55887346001165</v>
      </c>
      <c r="AN470">
        <v>224</v>
      </c>
      <c r="AO470" t="s">
        <v>5921</v>
      </c>
      <c r="AP470" t="s">
        <v>2534</v>
      </c>
    </row>
    <row r="471" spans="1:42" x14ac:dyDescent="0.25">
      <c r="A471">
        <v>470</v>
      </c>
      <c r="B471" t="s">
        <v>2738</v>
      </c>
      <c r="C471" t="s">
        <v>2738</v>
      </c>
      <c r="D471" t="s">
        <v>3042</v>
      </c>
      <c r="E471" t="s">
        <v>218</v>
      </c>
      <c r="F471" t="s">
        <v>219</v>
      </c>
      <c r="G471" t="s">
        <v>69</v>
      </c>
      <c r="H471" t="s">
        <v>70</v>
      </c>
      <c r="I471" t="s">
        <v>3598</v>
      </c>
      <c r="J471" t="s">
        <v>220</v>
      </c>
      <c r="K471" t="s">
        <v>221</v>
      </c>
      <c r="L471" t="s">
        <v>4912</v>
      </c>
      <c r="M471" t="s">
        <v>4913</v>
      </c>
      <c r="R471" t="s">
        <v>73</v>
      </c>
      <c r="S471" t="s">
        <v>73</v>
      </c>
      <c r="U471" t="s">
        <v>73</v>
      </c>
      <c r="V471" t="s">
        <v>73</v>
      </c>
      <c r="X471" t="s">
        <v>73</v>
      </c>
      <c r="Y471" t="s">
        <v>73</v>
      </c>
      <c r="AF471">
        <v>409.84582930356555</v>
      </c>
      <c r="AG471">
        <v>6.6875</v>
      </c>
      <c r="AH471">
        <v>15</v>
      </c>
      <c r="AI471">
        <v>429</v>
      </c>
      <c r="AJ471">
        <v>137.7453658928506</v>
      </c>
      <c r="AK471">
        <v>671.75</v>
      </c>
      <c r="AM471">
        <v>136.84351224999082</v>
      </c>
      <c r="AN471">
        <v>224</v>
      </c>
      <c r="AO471" t="s">
        <v>5922</v>
      </c>
      <c r="AP471" t="s">
        <v>3042</v>
      </c>
    </row>
    <row r="472" spans="1:42" x14ac:dyDescent="0.25">
      <c r="A472">
        <v>471</v>
      </c>
      <c r="B472" t="s">
        <v>784</v>
      </c>
      <c r="C472" t="s">
        <v>784</v>
      </c>
      <c r="D472" t="s">
        <v>785</v>
      </c>
      <c r="E472" t="s">
        <v>3643</v>
      </c>
      <c r="F472" t="s">
        <v>786</v>
      </c>
      <c r="G472" t="s">
        <v>60</v>
      </c>
      <c r="H472" t="s">
        <v>61</v>
      </c>
      <c r="R472" t="s">
        <v>73</v>
      </c>
      <c r="S472" t="s">
        <v>73</v>
      </c>
      <c r="U472" t="s">
        <v>73</v>
      </c>
      <c r="V472" t="s">
        <v>73</v>
      </c>
      <c r="X472" t="s">
        <v>73</v>
      </c>
      <c r="Y472" t="s">
        <v>73</v>
      </c>
      <c r="AA472" t="s">
        <v>73</v>
      </c>
      <c r="AB472" t="s">
        <v>73</v>
      </c>
      <c r="AF472">
        <v>409.72527765746219</v>
      </c>
      <c r="AG472">
        <v>6.5555555555555998</v>
      </c>
      <c r="AH472">
        <v>8</v>
      </c>
      <c r="AI472">
        <v>386</v>
      </c>
      <c r="AJ472">
        <v>145.71944431075798</v>
      </c>
      <c r="AK472">
        <v>657.15555555556</v>
      </c>
      <c r="AM472">
        <v>92.007222035061133</v>
      </c>
      <c r="AN472">
        <v>448</v>
      </c>
      <c r="AO472" t="s">
        <v>5923</v>
      </c>
      <c r="AP472" t="s">
        <v>785</v>
      </c>
    </row>
    <row r="473" spans="1:42" x14ac:dyDescent="0.25">
      <c r="A473">
        <v>472</v>
      </c>
      <c r="B473" t="s">
        <v>2674</v>
      </c>
      <c r="C473" t="s">
        <v>2674</v>
      </c>
      <c r="D473" t="s">
        <v>3296</v>
      </c>
      <c r="E473" t="s">
        <v>300</v>
      </c>
      <c r="F473" t="s">
        <v>301</v>
      </c>
      <c r="G473" t="s">
        <v>151</v>
      </c>
      <c r="H473" t="s">
        <v>152</v>
      </c>
      <c r="I473" t="s">
        <v>3274</v>
      </c>
      <c r="J473" t="s">
        <v>3251</v>
      </c>
      <c r="K473" t="s">
        <v>3253</v>
      </c>
      <c r="O473" t="s">
        <v>3275</v>
      </c>
      <c r="P473" t="s">
        <v>3275</v>
      </c>
      <c r="Q473">
        <v>14</v>
      </c>
      <c r="R473" t="s">
        <v>2414</v>
      </c>
      <c r="S473" t="s">
        <v>2415</v>
      </c>
      <c r="T473">
        <v>3</v>
      </c>
      <c r="U473" t="s">
        <v>3139</v>
      </c>
      <c r="V473" t="s">
        <v>3140</v>
      </c>
      <c r="W473">
        <v>4</v>
      </c>
      <c r="X473" t="s">
        <v>2440</v>
      </c>
      <c r="Y473" t="s">
        <v>2441</v>
      </c>
      <c r="Z473">
        <v>2</v>
      </c>
      <c r="AF473">
        <v>409.6496664902005</v>
      </c>
      <c r="AG473">
        <v>6</v>
      </c>
      <c r="AH473">
        <v>9</v>
      </c>
      <c r="AI473">
        <v>278</v>
      </c>
      <c r="AJ473">
        <v>176.38851832244501</v>
      </c>
      <c r="AK473">
        <v>601.79999999999995</v>
      </c>
      <c r="AM473">
        <v>134.943925651423</v>
      </c>
      <c r="AN473">
        <v>448</v>
      </c>
      <c r="AO473" t="s">
        <v>5924</v>
      </c>
      <c r="AP473" t="s">
        <v>3296</v>
      </c>
    </row>
    <row r="474" spans="1:42" x14ac:dyDescent="0.25">
      <c r="A474">
        <v>473</v>
      </c>
      <c r="B474" t="s">
        <v>1285</v>
      </c>
      <c r="C474" t="s">
        <v>1285</v>
      </c>
      <c r="D474" t="s">
        <v>1286</v>
      </c>
      <c r="E474" t="s">
        <v>218</v>
      </c>
      <c r="F474" t="s">
        <v>219</v>
      </c>
      <c r="G474" t="s">
        <v>69</v>
      </c>
      <c r="H474" t="s">
        <v>70</v>
      </c>
      <c r="I474" t="s">
        <v>4984</v>
      </c>
      <c r="J474" t="s">
        <v>241</v>
      </c>
      <c r="K474" t="s">
        <v>242</v>
      </c>
      <c r="L474" t="s">
        <v>4980</v>
      </c>
      <c r="M474" t="s">
        <v>4981</v>
      </c>
      <c r="R474" t="s">
        <v>2406</v>
      </c>
      <c r="S474" t="s">
        <v>2407</v>
      </c>
      <c r="T474">
        <v>1</v>
      </c>
      <c r="U474" t="s">
        <v>73</v>
      </c>
      <c r="V474" t="s">
        <v>73</v>
      </c>
      <c r="X474" t="s">
        <v>73</v>
      </c>
      <c r="Y474" t="s">
        <v>73</v>
      </c>
      <c r="AA474" t="s">
        <v>73</v>
      </c>
      <c r="AB474" t="s">
        <v>73</v>
      </c>
      <c r="AF474">
        <v>409.46966731117215</v>
      </c>
      <c r="AG474">
        <v>7.9</v>
      </c>
      <c r="AH474">
        <v>9</v>
      </c>
      <c r="AI474">
        <v>736</v>
      </c>
      <c r="AJ474">
        <v>70.632963679080163</v>
      </c>
      <c r="AK474">
        <v>791.8</v>
      </c>
      <c r="AM474">
        <v>42.886149150712214</v>
      </c>
      <c r="AN474">
        <v>224</v>
      </c>
      <c r="AO474" t="s">
        <v>5925</v>
      </c>
      <c r="AP474" t="s">
        <v>1286</v>
      </c>
    </row>
    <row r="475" spans="1:42" x14ac:dyDescent="0.25">
      <c r="A475">
        <v>474</v>
      </c>
      <c r="B475" t="s">
        <v>4031</v>
      </c>
      <c r="C475" t="s">
        <v>4031</v>
      </c>
      <c r="D475" t="s">
        <v>4032</v>
      </c>
      <c r="E475" t="s">
        <v>3643</v>
      </c>
      <c r="F475" t="s">
        <v>786</v>
      </c>
      <c r="G475" t="s">
        <v>60</v>
      </c>
      <c r="H475" t="s">
        <v>61</v>
      </c>
      <c r="I475" t="s">
        <v>4023</v>
      </c>
      <c r="R475" t="s">
        <v>73</v>
      </c>
      <c r="S475" t="s">
        <v>73</v>
      </c>
      <c r="U475" t="s">
        <v>73</v>
      </c>
      <c r="V475" t="s">
        <v>73</v>
      </c>
      <c r="X475" t="s">
        <v>73</v>
      </c>
      <c r="Y475" t="s">
        <v>73</v>
      </c>
      <c r="AA475" t="s">
        <v>73</v>
      </c>
      <c r="AB475" t="s">
        <v>73</v>
      </c>
      <c r="AF475">
        <v>409.23020821908915</v>
      </c>
      <c r="AG475">
        <v>6.6</v>
      </c>
      <c r="AH475">
        <v>4</v>
      </c>
      <c r="AI475">
        <v>397</v>
      </c>
      <c r="AJ475">
        <v>143.14467579898792</v>
      </c>
      <c r="AK475">
        <v>660.8</v>
      </c>
      <c r="AM475">
        <v>88.402546118583089</v>
      </c>
      <c r="AN475">
        <v>448</v>
      </c>
      <c r="AO475" t="s">
        <v>5926</v>
      </c>
      <c r="AP475" t="s">
        <v>4032</v>
      </c>
    </row>
    <row r="476" spans="1:42" x14ac:dyDescent="0.25">
      <c r="A476">
        <v>475</v>
      </c>
      <c r="B476" t="s">
        <v>622</v>
      </c>
      <c r="C476" t="s">
        <v>622</v>
      </c>
      <c r="D476" t="s">
        <v>623</v>
      </c>
      <c r="E476" t="s">
        <v>595</v>
      </c>
      <c r="F476" t="s">
        <v>596</v>
      </c>
      <c r="G476" t="s">
        <v>3167</v>
      </c>
      <c r="H476" t="s">
        <v>3166</v>
      </c>
      <c r="I476" t="s">
        <v>624</v>
      </c>
      <c r="J476" t="s">
        <v>625</v>
      </c>
      <c r="K476" t="s">
        <v>626</v>
      </c>
      <c r="R476" t="s">
        <v>73</v>
      </c>
      <c r="S476" t="s">
        <v>73</v>
      </c>
      <c r="U476" t="s">
        <v>73</v>
      </c>
      <c r="V476" t="s">
        <v>73</v>
      </c>
      <c r="X476" t="s">
        <v>73</v>
      </c>
      <c r="Y476" t="s">
        <v>73</v>
      </c>
      <c r="AA476" t="s">
        <v>73</v>
      </c>
      <c r="AB476" t="s">
        <v>73</v>
      </c>
      <c r="AF476">
        <v>408.79864356326226</v>
      </c>
      <c r="AG476">
        <v>7.9117647058824003</v>
      </c>
      <c r="AH476">
        <v>33</v>
      </c>
      <c r="AI476">
        <v>749</v>
      </c>
      <c r="AJ476">
        <v>66.56712029904692</v>
      </c>
      <c r="AK476">
        <v>797.77647058824004</v>
      </c>
      <c r="AM476">
        <v>37.19396841866569</v>
      </c>
      <c r="AN476">
        <v>224</v>
      </c>
      <c r="AO476" t="s">
        <v>5927</v>
      </c>
      <c r="AP476" t="s">
        <v>623</v>
      </c>
    </row>
    <row r="477" spans="1:42" x14ac:dyDescent="0.25">
      <c r="A477">
        <v>476</v>
      </c>
      <c r="B477" t="s">
        <v>2864</v>
      </c>
      <c r="C477" t="s">
        <v>2864</v>
      </c>
      <c r="D477" t="s">
        <v>2851</v>
      </c>
      <c r="E477" t="s">
        <v>91</v>
      </c>
      <c r="F477" t="s">
        <v>92</v>
      </c>
      <c r="G477" t="s">
        <v>632</v>
      </c>
      <c r="H477" t="s">
        <v>633</v>
      </c>
      <c r="I477" t="s">
        <v>3058</v>
      </c>
      <c r="J477" t="s">
        <v>3070</v>
      </c>
      <c r="K477" t="s">
        <v>3071</v>
      </c>
      <c r="L477" t="s">
        <v>4554</v>
      </c>
      <c r="M477" t="s">
        <v>4555</v>
      </c>
      <c r="O477" t="s">
        <v>3059</v>
      </c>
      <c r="P477" t="s">
        <v>3059</v>
      </c>
      <c r="Q477">
        <v>14</v>
      </c>
      <c r="R477" t="s">
        <v>2406</v>
      </c>
      <c r="S477" t="s">
        <v>2407</v>
      </c>
      <c r="T477">
        <v>1</v>
      </c>
      <c r="U477" t="s">
        <v>3137</v>
      </c>
      <c r="V477" t="s">
        <v>3136</v>
      </c>
      <c r="W477">
        <v>5</v>
      </c>
      <c r="X477" t="s">
        <v>2446</v>
      </c>
      <c r="Y477" t="s">
        <v>2447</v>
      </c>
      <c r="Z477">
        <v>4</v>
      </c>
      <c r="AC477" t="s">
        <v>3060</v>
      </c>
      <c r="AD477" t="s">
        <v>3060</v>
      </c>
      <c r="AF477">
        <v>408.74749987968221</v>
      </c>
      <c r="AG477">
        <v>7.25</v>
      </c>
      <c r="AH477">
        <v>11</v>
      </c>
      <c r="AI477">
        <v>568</v>
      </c>
      <c r="AJ477">
        <v>105.71944431075796</v>
      </c>
      <c r="AK477">
        <v>727.2</v>
      </c>
      <c r="AM477">
        <v>92.007222035061133</v>
      </c>
      <c r="AN477">
        <v>224</v>
      </c>
      <c r="AO477" t="s">
        <v>5928</v>
      </c>
      <c r="AP477" t="s">
        <v>2851</v>
      </c>
    </row>
    <row r="478" spans="1:42" x14ac:dyDescent="0.25">
      <c r="A478">
        <v>477</v>
      </c>
      <c r="B478" t="s">
        <v>1890</v>
      </c>
      <c r="C478" t="s">
        <v>4146</v>
      </c>
      <c r="D478" t="s">
        <v>1891</v>
      </c>
      <c r="E478" t="s">
        <v>471</v>
      </c>
      <c r="F478" t="s">
        <v>472</v>
      </c>
      <c r="G478" t="s">
        <v>93</v>
      </c>
      <c r="H478" t="s">
        <v>94</v>
      </c>
      <c r="I478" t="s">
        <v>3181</v>
      </c>
      <c r="J478" t="s">
        <v>3244</v>
      </c>
      <c r="K478" t="s">
        <v>3107</v>
      </c>
      <c r="Q478">
        <v>14</v>
      </c>
      <c r="R478" t="s">
        <v>2406</v>
      </c>
      <c r="S478" t="s">
        <v>2407</v>
      </c>
      <c r="T478">
        <v>1</v>
      </c>
      <c r="U478" t="s">
        <v>2430</v>
      </c>
      <c r="V478" t="s">
        <v>2431</v>
      </c>
      <c r="W478">
        <v>6</v>
      </c>
      <c r="X478" t="s">
        <v>2446</v>
      </c>
      <c r="Y478" t="s">
        <v>2447</v>
      </c>
      <c r="Z478">
        <v>4</v>
      </c>
      <c r="AA478" t="s">
        <v>73</v>
      </c>
      <c r="AB478" t="s">
        <v>73</v>
      </c>
      <c r="AE478" t="s">
        <v>3182</v>
      </c>
      <c r="AF478">
        <v>408.19240603311056</v>
      </c>
      <c r="AG478">
        <v>7.2941176470588003</v>
      </c>
      <c r="AH478">
        <v>33</v>
      </c>
      <c r="AI478">
        <v>591</v>
      </c>
      <c r="AJ478">
        <v>100.2072485335228</v>
      </c>
      <c r="AK478">
        <v>736.01176470588007</v>
      </c>
      <c r="AM478">
        <v>112.29014794693191</v>
      </c>
      <c r="AN478">
        <v>112</v>
      </c>
      <c r="AO478" t="s">
        <v>5929</v>
      </c>
      <c r="AP478" t="s">
        <v>1891</v>
      </c>
    </row>
    <row r="479" spans="1:42" x14ac:dyDescent="0.25">
      <c r="A479">
        <v>478</v>
      </c>
      <c r="B479" t="s">
        <v>1907</v>
      </c>
      <c r="C479" t="s">
        <v>1907</v>
      </c>
      <c r="D479" t="s">
        <v>1908</v>
      </c>
      <c r="E479" t="s">
        <v>595</v>
      </c>
      <c r="F479" t="s">
        <v>596</v>
      </c>
      <c r="G479" t="s">
        <v>3167</v>
      </c>
      <c r="H479" t="s">
        <v>3166</v>
      </c>
      <c r="I479" t="s">
        <v>1909</v>
      </c>
      <c r="J479" t="s">
        <v>607</v>
      </c>
      <c r="K479" t="s">
        <v>608</v>
      </c>
      <c r="R479" t="s">
        <v>73</v>
      </c>
      <c r="S479" t="s">
        <v>73</v>
      </c>
      <c r="U479" t="s">
        <v>73</v>
      </c>
      <c r="V479" t="s">
        <v>73</v>
      </c>
      <c r="X479" t="s">
        <v>73</v>
      </c>
      <c r="Y479" t="s">
        <v>73</v>
      </c>
      <c r="AF479">
        <v>407.07016499923895</v>
      </c>
      <c r="AG479">
        <v>6.6</v>
      </c>
      <c r="AH479">
        <v>4</v>
      </c>
      <c r="AI479">
        <v>408</v>
      </c>
      <c r="AJ479">
        <v>140.74462777693219</v>
      </c>
      <c r="AK479">
        <v>660.8</v>
      </c>
      <c r="AM479">
        <v>141.04247888770504</v>
      </c>
      <c r="AN479">
        <v>224</v>
      </c>
      <c r="AO479" t="s">
        <v>5930</v>
      </c>
      <c r="AP479" t="s">
        <v>1908</v>
      </c>
    </row>
    <row r="480" spans="1:42" x14ac:dyDescent="0.25">
      <c r="A480">
        <v>479</v>
      </c>
      <c r="B480" t="s">
        <v>1006</v>
      </c>
      <c r="C480" t="s">
        <v>1006</v>
      </c>
      <c r="D480" t="s">
        <v>1007</v>
      </c>
      <c r="E480" t="s">
        <v>595</v>
      </c>
      <c r="F480" t="s">
        <v>596</v>
      </c>
      <c r="G480" t="s">
        <v>3167</v>
      </c>
      <c r="H480" t="s">
        <v>3166</v>
      </c>
      <c r="I480" t="s">
        <v>917</v>
      </c>
      <c r="J480" t="s">
        <v>625</v>
      </c>
      <c r="K480" t="s">
        <v>626</v>
      </c>
      <c r="R480" t="s">
        <v>73</v>
      </c>
      <c r="S480" t="s">
        <v>73</v>
      </c>
      <c r="U480" t="s">
        <v>73</v>
      </c>
      <c r="V480" t="s">
        <v>73</v>
      </c>
      <c r="X480" t="s">
        <v>73</v>
      </c>
      <c r="Y480" t="s">
        <v>73</v>
      </c>
      <c r="AF480">
        <v>407.03896802538065</v>
      </c>
      <c r="AG480">
        <v>7.7894736842104999</v>
      </c>
      <c r="AH480">
        <v>18</v>
      </c>
      <c r="AI480">
        <v>728</v>
      </c>
      <c r="AJ480">
        <v>73.072537572061833</v>
      </c>
      <c r="AK480">
        <v>782.54736842105001</v>
      </c>
      <c r="AM480">
        <v>46.301552600886573</v>
      </c>
      <c r="AN480">
        <v>224</v>
      </c>
      <c r="AO480" t="s">
        <v>5931</v>
      </c>
      <c r="AP480" t="s">
        <v>1007</v>
      </c>
    </row>
    <row r="481" spans="1:42" x14ac:dyDescent="0.25">
      <c r="A481">
        <v>480</v>
      </c>
      <c r="B481" t="s">
        <v>2260</v>
      </c>
      <c r="C481" t="s">
        <v>2260</v>
      </c>
      <c r="D481" t="s">
        <v>2261</v>
      </c>
      <c r="E481" t="s">
        <v>218</v>
      </c>
      <c r="F481" t="s">
        <v>219</v>
      </c>
      <c r="G481" t="s">
        <v>69</v>
      </c>
      <c r="H481" t="s">
        <v>70</v>
      </c>
      <c r="I481" t="s">
        <v>3601</v>
      </c>
      <c r="J481" t="s">
        <v>1752</v>
      </c>
      <c r="K481" t="s">
        <v>1753</v>
      </c>
      <c r="L481" t="s">
        <v>5012</v>
      </c>
      <c r="M481" t="s">
        <v>5013</v>
      </c>
      <c r="R481" t="s">
        <v>73</v>
      </c>
      <c r="S481" t="s">
        <v>73</v>
      </c>
      <c r="U481" t="s">
        <v>73</v>
      </c>
      <c r="V481" t="s">
        <v>73</v>
      </c>
      <c r="X481" t="s">
        <v>73</v>
      </c>
      <c r="Y481" t="s">
        <v>73</v>
      </c>
      <c r="AA481" t="s">
        <v>73</v>
      </c>
      <c r="AB481" t="s">
        <v>73</v>
      </c>
      <c r="AF481">
        <v>406.65928588665139</v>
      </c>
      <c r="AG481">
        <v>7.0909090909090997</v>
      </c>
      <c r="AH481">
        <v>10</v>
      </c>
      <c r="AI481">
        <v>546</v>
      </c>
      <c r="AJ481">
        <v>112.34870149021825</v>
      </c>
      <c r="AK481">
        <v>711.09090909090992</v>
      </c>
      <c r="AM481">
        <v>101.28818208630553</v>
      </c>
      <c r="AN481">
        <v>224</v>
      </c>
      <c r="AO481" t="s">
        <v>5932</v>
      </c>
      <c r="AP481" t="s">
        <v>2261</v>
      </c>
    </row>
    <row r="482" spans="1:42" x14ac:dyDescent="0.25">
      <c r="A482">
        <v>481</v>
      </c>
      <c r="B482" t="s">
        <v>999</v>
      </c>
      <c r="C482" t="s">
        <v>999</v>
      </c>
      <c r="D482" t="s">
        <v>1000</v>
      </c>
      <c r="E482" t="s">
        <v>137</v>
      </c>
      <c r="F482" t="s">
        <v>138</v>
      </c>
      <c r="G482" t="s">
        <v>139</v>
      </c>
      <c r="H482" t="s">
        <v>140</v>
      </c>
      <c r="I482" t="s">
        <v>1001</v>
      </c>
      <c r="J482" t="s">
        <v>142</v>
      </c>
      <c r="K482" t="s">
        <v>143</v>
      </c>
      <c r="L482" t="s">
        <v>4672</v>
      </c>
      <c r="M482" t="s">
        <v>4673</v>
      </c>
      <c r="O482" t="s">
        <v>1002</v>
      </c>
      <c r="P482" t="s">
        <v>1003</v>
      </c>
      <c r="R482" t="s">
        <v>2409</v>
      </c>
      <c r="S482" t="s">
        <v>2410</v>
      </c>
      <c r="T482">
        <v>2</v>
      </c>
      <c r="U482" t="s">
        <v>73</v>
      </c>
      <c r="V482" t="s">
        <v>73</v>
      </c>
      <c r="X482" t="s">
        <v>2446</v>
      </c>
      <c r="Y482" t="s">
        <v>2447</v>
      </c>
      <c r="Z482">
        <v>4</v>
      </c>
      <c r="AA482" t="s">
        <v>73</v>
      </c>
      <c r="AB482" t="s">
        <v>73</v>
      </c>
      <c r="AF482">
        <v>406.33851195581491</v>
      </c>
      <c r="AG482">
        <v>6.375</v>
      </c>
      <c r="AH482">
        <v>23</v>
      </c>
      <c r="AI482">
        <v>361</v>
      </c>
      <c r="AJ482">
        <v>150.32056883979433</v>
      </c>
      <c r="AK482">
        <v>642.1</v>
      </c>
      <c r="AM482">
        <v>210.44879637571205</v>
      </c>
      <c r="AN482">
        <v>0</v>
      </c>
      <c r="AO482" t="s">
        <v>5933</v>
      </c>
      <c r="AP482" t="s">
        <v>1000</v>
      </c>
    </row>
    <row r="483" spans="1:42" x14ac:dyDescent="0.25">
      <c r="A483">
        <v>482</v>
      </c>
      <c r="B483" t="s">
        <v>175</v>
      </c>
      <c r="C483" t="s">
        <v>4094</v>
      </c>
      <c r="D483" t="s">
        <v>176</v>
      </c>
      <c r="E483" t="s">
        <v>177</v>
      </c>
      <c r="F483" t="s">
        <v>178</v>
      </c>
      <c r="G483" t="s">
        <v>179</v>
      </c>
      <c r="H483" t="s">
        <v>180</v>
      </c>
      <c r="I483" t="s">
        <v>181</v>
      </c>
      <c r="R483" t="s">
        <v>73</v>
      </c>
      <c r="S483" t="s">
        <v>73</v>
      </c>
      <c r="U483" t="s">
        <v>73</v>
      </c>
      <c r="V483" t="s">
        <v>73</v>
      </c>
      <c r="X483" t="s">
        <v>73</v>
      </c>
      <c r="Y483" t="s">
        <v>73</v>
      </c>
      <c r="AA483" t="s">
        <v>73</v>
      </c>
      <c r="AB483" t="s">
        <v>73</v>
      </c>
      <c r="AF483">
        <v>405.83333333333496</v>
      </c>
      <c r="AG483">
        <v>7.6666666666666998</v>
      </c>
      <c r="AH483">
        <v>5</v>
      </c>
      <c r="AI483">
        <v>672</v>
      </c>
      <c r="AJ483">
        <v>80</v>
      </c>
      <c r="AK483">
        <v>767.66666666666993</v>
      </c>
      <c r="AM483">
        <v>0</v>
      </c>
      <c r="AN483">
        <v>448</v>
      </c>
      <c r="AO483" t="s">
        <v>5934</v>
      </c>
      <c r="AP483" t="s">
        <v>176</v>
      </c>
    </row>
    <row r="484" spans="1:42" x14ac:dyDescent="0.25">
      <c r="A484">
        <v>483</v>
      </c>
      <c r="B484" t="s">
        <v>5034</v>
      </c>
      <c r="C484" t="s">
        <v>5035</v>
      </c>
      <c r="D484" t="s">
        <v>5036</v>
      </c>
      <c r="E484" t="s">
        <v>830</v>
      </c>
      <c r="F484" t="s">
        <v>831</v>
      </c>
      <c r="G484" t="s">
        <v>632</v>
      </c>
      <c r="H484" t="s">
        <v>633</v>
      </c>
      <c r="I484" t="s">
        <v>5037</v>
      </c>
      <c r="R484" t="s">
        <v>73</v>
      </c>
      <c r="S484" t="s">
        <v>73</v>
      </c>
      <c r="U484" t="s">
        <v>73</v>
      </c>
      <c r="V484" t="s">
        <v>73</v>
      </c>
      <c r="X484" t="s">
        <v>73</v>
      </c>
      <c r="Y484" t="s">
        <v>73</v>
      </c>
      <c r="AA484" t="s">
        <v>73</v>
      </c>
      <c r="AB484" t="s">
        <v>73</v>
      </c>
      <c r="AF484">
        <v>405.83333333333496</v>
      </c>
      <c r="AG484">
        <v>7.6666666666666998</v>
      </c>
      <c r="AH484">
        <v>5</v>
      </c>
      <c r="AI484">
        <v>673</v>
      </c>
      <c r="AJ484">
        <v>80</v>
      </c>
      <c r="AK484">
        <v>767.66666666666993</v>
      </c>
      <c r="AM484">
        <v>0</v>
      </c>
      <c r="AN484">
        <v>448</v>
      </c>
      <c r="AO484" t="s">
        <v>5935</v>
      </c>
      <c r="AP484" t="s">
        <v>5036</v>
      </c>
    </row>
    <row r="485" spans="1:42" x14ac:dyDescent="0.25">
      <c r="A485">
        <v>484</v>
      </c>
      <c r="B485" t="s">
        <v>2758</v>
      </c>
      <c r="C485" t="s">
        <v>2758</v>
      </c>
      <c r="D485" t="s">
        <v>5009</v>
      </c>
      <c r="E485" t="s">
        <v>218</v>
      </c>
      <c r="F485" t="s">
        <v>219</v>
      </c>
      <c r="G485" t="s">
        <v>69</v>
      </c>
      <c r="H485" t="s">
        <v>70</v>
      </c>
      <c r="I485" t="s">
        <v>5008</v>
      </c>
      <c r="J485" t="s">
        <v>2099</v>
      </c>
      <c r="K485" t="s">
        <v>500</v>
      </c>
      <c r="L485" t="s">
        <v>5006</v>
      </c>
      <c r="M485" t="s">
        <v>5007</v>
      </c>
      <c r="R485" t="s">
        <v>73</v>
      </c>
      <c r="S485" t="s">
        <v>73</v>
      </c>
      <c r="U485" t="s">
        <v>73</v>
      </c>
      <c r="V485" t="s">
        <v>73</v>
      </c>
      <c r="X485" t="s">
        <v>73</v>
      </c>
      <c r="Y485" t="s">
        <v>73</v>
      </c>
      <c r="AF485">
        <v>405.470693171307</v>
      </c>
      <c r="AG485">
        <v>7.7692307692308002</v>
      </c>
      <c r="AH485">
        <v>12</v>
      </c>
      <c r="AI485">
        <v>726</v>
      </c>
      <c r="AJ485">
        <v>73.121283010852267</v>
      </c>
      <c r="AK485">
        <v>779.32307692307995</v>
      </c>
      <c r="AM485">
        <v>46.369796215193162</v>
      </c>
      <c r="AN485">
        <v>224</v>
      </c>
      <c r="AO485" t="s">
        <v>5936</v>
      </c>
      <c r="AP485" t="s">
        <v>5009</v>
      </c>
    </row>
    <row r="486" spans="1:42" x14ac:dyDescent="0.25">
      <c r="A486">
        <v>485</v>
      </c>
      <c r="B486" t="s">
        <v>1178</v>
      </c>
      <c r="C486" t="s">
        <v>4059</v>
      </c>
      <c r="D486" t="s">
        <v>2716</v>
      </c>
      <c r="E486" t="s">
        <v>199</v>
      </c>
      <c r="F486" t="s">
        <v>200</v>
      </c>
      <c r="I486" t="s">
        <v>1179</v>
      </c>
      <c r="J486" t="s">
        <v>2697</v>
      </c>
      <c r="K486" t="s">
        <v>1180</v>
      </c>
      <c r="L486" t="s">
        <v>5066</v>
      </c>
      <c r="M486" t="s">
        <v>5067</v>
      </c>
      <c r="Q486">
        <v>11</v>
      </c>
      <c r="R486" t="s">
        <v>2409</v>
      </c>
      <c r="S486" t="s">
        <v>2410</v>
      </c>
      <c r="T486">
        <v>2</v>
      </c>
      <c r="U486" t="s">
        <v>2432</v>
      </c>
      <c r="V486" t="s">
        <v>2433</v>
      </c>
      <c r="W486">
        <v>7</v>
      </c>
      <c r="X486" t="s">
        <v>2437</v>
      </c>
      <c r="Y486" t="s">
        <v>2438</v>
      </c>
      <c r="Z486">
        <v>1</v>
      </c>
      <c r="AA486" t="s">
        <v>73</v>
      </c>
      <c r="AB486" t="s">
        <v>73</v>
      </c>
      <c r="AE486" t="s">
        <v>5065</v>
      </c>
      <c r="AF486">
        <v>405.08052673586673</v>
      </c>
      <c r="AG486">
        <v>7.64</v>
      </c>
      <c r="AH486">
        <v>24</v>
      </c>
      <c r="AI486">
        <v>692</v>
      </c>
      <c r="AJ486">
        <v>78.533918595407499</v>
      </c>
      <c r="AK486">
        <v>768.8</v>
      </c>
      <c r="AL486">
        <v>2011</v>
      </c>
      <c r="AM486">
        <v>109.9474860335705</v>
      </c>
      <c r="AN486">
        <v>0</v>
      </c>
      <c r="AO486" t="s">
        <v>5937</v>
      </c>
      <c r="AP486" t="s">
        <v>2716</v>
      </c>
    </row>
    <row r="487" spans="1:42" x14ac:dyDescent="0.25">
      <c r="A487">
        <v>486</v>
      </c>
      <c r="B487" t="s">
        <v>4877</v>
      </c>
      <c r="C487" t="s">
        <v>4878</v>
      </c>
      <c r="D487" t="s">
        <v>4879</v>
      </c>
      <c r="E487" t="s">
        <v>630</v>
      </c>
      <c r="F487" t="s">
        <v>631</v>
      </c>
      <c r="G487" t="s">
        <v>60</v>
      </c>
      <c r="H487" t="s">
        <v>61</v>
      </c>
      <c r="I487" t="s">
        <v>3372</v>
      </c>
      <c r="L487" t="s">
        <v>4880</v>
      </c>
      <c r="M487" t="s">
        <v>4881</v>
      </c>
      <c r="R487" t="s">
        <v>73</v>
      </c>
      <c r="S487" t="s">
        <v>73</v>
      </c>
      <c r="U487" t="s">
        <v>73</v>
      </c>
      <c r="V487" t="s">
        <v>73</v>
      </c>
      <c r="X487" t="s">
        <v>73</v>
      </c>
      <c r="Y487" t="s">
        <v>73</v>
      </c>
      <c r="AA487" t="s">
        <v>73</v>
      </c>
      <c r="AB487" t="s">
        <v>73</v>
      </c>
      <c r="AF487">
        <v>404.91513535822037</v>
      </c>
      <c r="AG487">
        <v>6.6</v>
      </c>
      <c r="AH487">
        <v>4</v>
      </c>
      <c r="AI487">
        <v>423</v>
      </c>
      <c r="AJ487">
        <v>138.35015039802269</v>
      </c>
      <c r="AK487">
        <v>660.8</v>
      </c>
      <c r="AM487">
        <v>81.690210557231737</v>
      </c>
      <c r="AN487">
        <v>448</v>
      </c>
      <c r="AO487" t="s">
        <v>5938</v>
      </c>
      <c r="AP487" t="s">
        <v>4879</v>
      </c>
    </row>
    <row r="488" spans="1:42" x14ac:dyDescent="0.25">
      <c r="A488">
        <v>487</v>
      </c>
      <c r="B488" t="s">
        <v>424</v>
      </c>
      <c r="C488" t="s">
        <v>424</v>
      </c>
      <c r="D488" t="s">
        <v>425</v>
      </c>
      <c r="E488" t="s">
        <v>318</v>
      </c>
      <c r="F488" t="s">
        <v>319</v>
      </c>
      <c r="G488" t="s">
        <v>75</v>
      </c>
      <c r="H488" t="s">
        <v>76</v>
      </c>
      <c r="R488" t="s">
        <v>73</v>
      </c>
      <c r="S488" t="s">
        <v>73</v>
      </c>
      <c r="U488" t="s">
        <v>73</v>
      </c>
      <c r="V488" t="s">
        <v>73</v>
      </c>
      <c r="X488" t="s">
        <v>73</v>
      </c>
      <c r="Y488" t="s">
        <v>73</v>
      </c>
      <c r="AA488" t="s">
        <v>73</v>
      </c>
      <c r="AB488" t="s">
        <v>73</v>
      </c>
      <c r="AF488">
        <v>404.9</v>
      </c>
      <c r="AG488">
        <v>8</v>
      </c>
      <c r="AH488">
        <v>9</v>
      </c>
      <c r="AI488">
        <v>767</v>
      </c>
      <c r="AJ488">
        <v>60.000000000000007</v>
      </c>
      <c r="AK488">
        <v>801.8</v>
      </c>
      <c r="AM488">
        <v>0</v>
      </c>
      <c r="AN488">
        <v>336</v>
      </c>
      <c r="AO488" t="s">
        <v>5939</v>
      </c>
      <c r="AP488" t="s">
        <v>425</v>
      </c>
    </row>
    <row r="489" spans="1:42" x14ac:dyDescent="0.25">
      <c r="A489">
        <v>488</v>
      </c>
      <c r="B489" t="s">
        <v>3893</v>
      </c>
      <c r="C489" t="s">
        <v>3893</v>
      </c>
      <c r="D489" t="s">
        <v>3892</v>
      </c>
      <c r="E489" t="s">
        <v>5312</v>
      </c>
      <c r="F489" t="s">
        <v>157</v>
      </c>
      <c r="G489" t="s">
        <v>158</v>
      </c>
      <c r="H489" t="s">
        <v>159</v>
      </c>
      <c r="I489" t="s">
        <v>3899</v>
      </c>
      <c r="J489" t="s">
        <v>3085</v>
      </c>
      <c r="K489" t="s">
        <v>3086</v>
      </c>
      <c r="L489" t="s">
        <v>5271</v>
      </c>
      <c r="M489" t="s">
        <v>5272</v>
      </c>
      <c r="Q489">
        <v>13</v>
      </c>
      <c r="R489" t="s">
        <v>2409</v>
      </c>
      <c r="S489" t="s">
        <v>2410</v>
      </c>
      <c r="T489">
        <v>2</v>
      </c>
      <c r="U489" t="s">
        <v>2430</v>
      </c>
      <c r="V489" t="s">
        <v>2431</v>
      </c>
      <c r="W489">
        <v>6</v>
      </c>
      <c r="X489" t="s">
        <v>2440</v>
      </c>
      <c r="Y489" t="s">
        <v>2441</v>
      </c>
      <c r="Z489">
        <v>2</v>
      </c>
      <c r="AA489" t="s">
        <v>73</v>
      </c>
      <c r="AB489" t="s">
        <v>73</v>
      </c>
      <c r="AE489" t="s">
        <v>3901</v>
      </c>
      <c r="AF489">
        <v>404.60136824239021</v>
      </c>
      <c r="AG489">
        <v>7.4285714285714004</v>
      </c>
      <c r="AH489">
        <v>6</v>
      </c>
      <c r="AI489">
        <v>623</v>
      </c>
      <c r="AJ489">
        <v>91.747552015355751</v>
      </c>
      <c r="AK489">
        <v>744.05714285714009</v>
      </c>
      <c r="AM489">
        <v>128.44657282149805</v>
      </c>
      <c r="AN489">
        <v>0</v>
      </c>
      <c r="AO489" t="s">
        <v>5940</v>
      </c>
      <c r="AP489" t="s">
        <v>3892</v>
      </c>
    </row>
    <row r="490" spans="1:42" x14ac:dyDescent="0.25">
      <c r="A490">
        <v>489</v>
      </c>
      <c r="B490" t="s">
        <v>1057</v>
      </c>
      <c r="C490" t="s">
        <v>1057</v>
      </c>
      <c r="D490" t="s">
        <v>2469</v>
      </c>
      <c r="E490" t="s">
        <v>318</v>
      </c>
      <c r="F490" t="s">
        <v>319</v>
      </c>
      <c r="G490" t="s">
        <v>75</v>
      </c>
      <c r="H490" t="s">
        <v>76</v>
      </c>
      <c r="I490" t="s">
        <v>1058</v>
      </c>
      <c r="J490" t="s">
        <v>1059</v>
      </c>
      <c r="K490" t="s">
        <v>1060</v>
      </c>
      <c r="R490" t="s">
        <v>2409</v>
      </c>
      <c r="S490" t="s">
        <v>2410</v>
      </c>
      <c r="T490">
        <v>2</v>
      </c>
      <c r="U490" t="s">
        <v>73</v>
      </c>
      <c r="V490" t="s">
        <v>73</v>
      </c>
      <c r="X490" t="s">
        <v>73</v>
      </c>
      <c r="Y490" t="s">
        <v>73</v>
      </c>
      <c r="AA490" t="s">
        <v>73</v>
      </c>
      <c r="AB490" t="s">
        <v>73</v>
      </c>
      <c r="AF490">
        <v>404.42135048410449</v>
      </c>
      <c r="AG490">
        <v>6.8571428571429003</v>
      </c>
      <c r="AH490">
        <v>6</v>
      </c>
      <c r="AI490">
        <v>488</v>
      </c>
      <c r="AJ490">
        <v>123.29356402995498</v>
      </c>
      <c r="AK490">
        <v>686.91428571429003</v>
      </c>
      <c r="AM490">
        <v>88.610989641936968</v>
      </c>
      <c r="AN490">
        <v>336</v>
      </c>
      <c r="AO490" t="s">
        <v>5941</v>
      </c>
      <c r="AP490" t="s">
        <v>2469</v>
      </c>
    </row>
    <row r="491" spans="1:42" x14ac:dyDescent="0.25">
      <c r="A491">
        <v>490</v>
      </c>
      <c r="B491" t="s">
        <v>3351</v>
      </c>
      <c r="C491" t="s">
        <v>3351</v>
      </c>
      <c r="D491" t="s">
        <v>4036</v>
      </c>
      <c r="E491" t="s">
        <v>3643</v>
      </c>
      <c r="F491" t="s">
        <v>786</v>
      </c>
      <c r="G491" t="s">
        <v>60</v>
      </c>
      <c r="H491" t="s">
        <v>61</v>
      </c>
      <c r="R491" t="s">
        <v>73</v>
      </c>
      <c r="S491" t="s">
        <v>73</v>
      </c>
      <c r="U491" t="s">
        <v>73</v>
      </c>
      <c r="V491" t="s">
        <v>73</v>
      </c>
      <c r="X491" t="s">
        <v>73</v>
      </c>
      <c r="Y491" t="s">
        <v>73</v>
      </c>
      <c r="AA491" t="s">
        <v>73</v>
      </c>
      <c r="AB491" t="s">
        <v>73</v>
      </c>
      <c r="AF491">
        <v>403.85739699021315</v>
      </c>
      <c r="AG491">
        <v>6.3333333333333002</v>
      </c>
      <c r="AH491">
        <v>2</v>
      </c>
      <c r="AI491">
        <v>354</v>
      </c>
      <c r="AJ491">
        <v>152.21192258172016</v>
      </c>
      <c r="AK491">
        <v>633.73333333333005</v>
      </c>
      <c r="AM491">
        <v>101.0966916144082</v>
      </c>
      <c r="AN491">
        <v>448</v>
      </c>
      <c r="AO491" t="s">
        <v>5942</v>
      </c>
      <c r="AP491" t="s">
        <v>4036</v>
      </c>
    </row>
    <row r="492" spans="1:42" x14ac:dyDescent="0.25">
      <c r="A492">
        <v>491</v>
      </c>
      <c r="B492" t="s">
        <v>2922</v>
      </c>
      <c r="C492" t="s">
        <v>4163</v>
      </c>
      <c r="D492" t="s">
        <v>2118</v>
      </c>
      <c r="E492" t="s">
        <v>595</v>
      </c>
      <c r="F492" t="s">
        <v>596</v>
      </c>
      <c r="G492" t="s">
        <v>3167</v>
      </c>
      <c r="H492" t="s">
        <v>3166</v>
      </c>
      <c r="I492" t="s">
        <v>1909</v>
      </c>
      <c r="J492" t="s">
        <v>607</v>
      </c>
      <c r="K492" t="s">
        <v>608</v>
      </c>
      <c r="R492" t="s">
        <v>73</v>
      </c>
      <c r="S492" t="s">
        <v>73</v>
      </c>
      <c r="U492" t="s">
        <v>73</v>
      </c>
      <c r="V492" t="s">
        <v>73</v>
      </c>
      <c r="X492" t="s">
        <v>73</v>
      </c>
      <c r="Y492" t="s">
        <v>73</v>
      </c>
      <c r="AF492">
        <v>403.70146838220654</v>
      </c>
      <c r="AG492">
        <v>6.875</v>
      </c>
      <c r="AH492">
        <v>7</v>
      </c>
      <c r="AI492">
        <v>495</v>
      </c>
      <c r="AJ492">
        <v>121.39052042467392</v>
      </c>
      <c r="AK492">
        <v>688.9</v>
      </c>
      <c r="AM492">
        <v>113.94672859454349</v>
      </c>
      <c r="AN492">
        <v>224</v>
      </c>
      <c r="AO492" t="s">
        <v>5943</v>
      </c>
      <c r="AP492" t="s">
        <v>2118</v>
      </c>
    </row>
    <row r="493" spans="1:42" x14ac:dyDescent="0.25">
      <c r="A493">
        <v>492</v>
      </c>
      <c r="B493" t="s">
        <v>334</v>
      </c>
      <c r="C493" t="s">
        <v>334</v>
      </c>
      <c r="D493" t="s">
        <v>3876</v>
      </c>
      <c r="E493" t="s">
        <v>137</v>
      </c>
      <c r="F493" t="s">
        <v>138</v>
      </c>
      <c r="G493" t="s">
        <v>139</v>
      </c>
      <c r="H493" t="s">
        <v>140</v>
      </c>
      <c r="I493" t="s">
        <v>335</v>
      </c>
      <c r="J493" t="s">
        <v>142</v>
      </c>
      <c r="K493" t="s">
        <v>143</v>
      </c>
      <c r="L493" t="s">
        <v>4700</v>
      </c>
      <c r="M493" t="s">
        <v>4701</v>
      </c>
      <c r="R493" t="s">
        <v>2414</v>
      </c>
      <c r="S493" t="s">
        <v>2415</v>
      </c>
      <c r="T493">
        <v>3</v>
      </c>
      <c r="U493" t="s">
        <v>73</v>
      </c>
      <c r="V493" t="s">
        <v>73</v>
      </c>
      <c r="X493" t="s">
        <v>73</v>
      </c>
      <c r="Y493" t="s">
        <v>73</v>
      </c>
      <c r="AA493" t="s">
        <v>73</v>
      </c>
      <c r="AB493" t="s">
        <v>73</v>
      </c>
      <c r="AF493">
        <v>403.5934896403711</v>
      </c>
      <c r="AG493">
        <v>7.6451612903225996</v>
      </c>
      <c r="AH493">
        <v>30</v>
      </c>
      <c r="AI493">
        <v>709</v>
      </c>
      <c r="AJ493">
        <v>75.928250138045669</v>
      </c>
      <c r="AK493">
        <v>770.51612903225998</v>
      </c>
      <c r="AL493">
        <v>2007</v>
      </c>
      <c r="AM493">
        <v>106.29955019326394</v>
      </c>
      <c r="AN493">
        <v>0</v>
      </c>
      <c r="AO493" t="s">
        <v>5944</v>
      </c>
      <c r="AP493" t="s">
        <v>3876</v>
      </c>
    </row>
    <row r="494" spans="1:42" x14ac:dyDescent="0.25">
      <c r="A494">
        <v>493</v>
      </c>
      <c r="B494" t="s">
        <v>1030</v>
      </c>
      <c r="C494" t="s">
        <v>1030</v>
      </c>
      <c r="D494" t="s">
        <v>1031</v>
      </c>
      <c r="E494" t="s">
        <v>595</v>
      </c>
      <c r="F494" t="s">
        <v>596</v>
      </c>
      <c r="G494" t="s">
        <v>3167</v>
      </c>
      <c r="H494" t="s">
        <v>3166</v>
      </c>
      <c r="I494" t="s">
        <v>917</v>
      </c>
      <c r="J494" t="s">
        <v>625</v>
      </c>
      <c r="K494" t="s">
        <v>626</v>
      </c>
      <c r="R494" t="s">
        <v>2409</v>
      </c>
      <c r="S494" t="s">
        <v>2410</v>
      </c>
      <c r="T494">
        <v>2</v>
      </c>
      <c r="U494" t="s">
        <v>73</v>
      </c>
      <c r="V494" t="s">
        <v>73</v>
      </c>
      <c r="X494" t="s">
        <v>73</v>
      </c>
      <c r="Y494" t="s">
        <v>73</v>
      </c>
      <c r="AA494" t="s">
        <v>73</v>
      </c>
      <c r="AB494" t="s">
        <v>73</v>
      </c>
      <c r="AF494">
        <v>403.54745606013978</v>
      </c>
      <c r="AG494">
        <v>7.5263157894737001</v>
      </c>
      <c r="AH494">
        <v>18</v>
      </c>
      <c r="AI494">
        <v>654</v>
      </c>
      <c r="AJ494">
        <v>83.812962873838643</v>
      </c>
      <c r="AK494">
        <v>756.23157894737005</v>
      </c>
      <c r="AM494">
        <v>61.338148023374089</v>
      </c>
      <c r="AN494">
        <v>224</v>
      </c>
      <c r="AO494" t="s">
        <v>5945</v>
      </c>
      <c r="AP494" t="s">
        <v>1031</v>
      </c>
    </row>
    <row r="495" spans="1:42" x14ac:dyDescent="0.25">
      <c r="A495">
        <v>494</v>
      </c>
      <c r="B495" t="s">
        <v>720</v>
      </c>
      <c r="C495" t="s">
        <v>720</v>
      </c>
      <c r="D495" t="s">
        <v>2468</v>
      </c>
      <c r="E495" t="s">
        <v>74</v>
      </c>
      <c r="F495" t="s">
        <v>74</v>
      </c>
      <c r="G495" t="s">
        <v>75</v>
      </c>
      <c r="H495" t="s">
        <v>76</v>
      </c>
      <c r="I495" t="s">
        <v>721</v>
      </c>
      <c r="Q495">
        <v>13</v>
      </c>
      <c r="R495" t="s">
        <v>2417</v>
      </c>
      <c r="S495" t="s">
        <v>2418</v>
      </c>
      <c r="T495">
        <v>4</v>
      </c>
      <c r="U495" t="s">
        <v>73</v>
      </c>
      <c r="V495" t="s">
        <v>73</v>
      </c>
      <c r="X495" t="s">
        <v>2446</v>
      </c>
      <c r="Y495" t="s">
        <v>2447</v>
      </c>
      <c r="Z495">
        <v>4</v>
      </c>
      <c r="AA495" t="s">
        <v>73</v>
      </c>
      <c r="AB495" t="s">
        <v>73</v>
      </c>
      <c r="AF495">
        <v>402.96194316948981</v>
      </c>
      <c r="AG495">
        <v>6.7142857142857002</v>
      </c>
      <c r="AH495">
        <v>6</v>
      </c>
      <c r="AI495">
        <v>460</v>
      </c>
      <c r="AJ495">
        <v>129.60850828356087</v>
      </c>
      <c r="AK495">
        <v>672.62857142857001</v>
      </c>
      <c r="AM495">
        <v>125.45191159698523</v>
      </c>
      <c r="AN495">
        <v>224</v>
      </c>
      <c r="AO495" t="s">
        <v>5946</v>
      </c>
      <c r="AP495" t="s">
        <v>2468</v>
      </c>
    </row>
    <row r="496" spans="1:42" x14ac:dyDescent="0.25">
      <c r="A496">
        <v>495</v>
      </c>
      <c r="B496" t="s">
        <v>390</v>
      </c>
      <c r="C496" t="s">
        <v>390</v>
      </c>
      <c r="D496" t="s">
        <v>391</v>
      </c>
      <c r="E496" t="s">
        <v>3169</v>
      </c>
      <c r="F496" t="s">
        <v>379</v>
      </c>
      <c r="G496" t="s">
        <v>162</v>
      </c>
      <c r="H496" t="s">
        <v>163</v>
      </c>
      <c r="J496" t="s">
        <v>392</v>
      </c>
      <c r="K496" t="s">
        <v>393</v>
      </c>
      <c r="R496" t="s">
        <v>73</v>
      </c>
      <c r="S496" t="s">
        <v>73</v>
      </c>
      <c r="U496" t="s">
        <v>73</v>
      </c>
      <c r="V496" t="s">
        <v>73</v>
      </c>
      <c r="X496" t="s">
        <v>73</v>
      </c>
      <c r="Y496" t="s">
        <v>73</v>
      </c>
      <c r="AA496" t="s">
        <v>73</v>
      </c>
      <c r="AB496" t="s">
        <v>73</v>
      </c>
      <c r="AF496">
        <v>402.57289471765341</v>
      </c>
      <c r="AG496">
        <v>5.1428571428570997</v>
      </c>
      <c r="AH496">
        <v>6</v>
      </c>
      <c r="AI496">
        <v>186</v>
      </c>
      <c r="AJ496">
        <v>216.47781952755372</v>
      </c>
      <c r="AK496">
        <v>515.48571428571006</v>
      </c>
      <c r="AM496">
        <v>197.06894733857519</v>
      </c>
      <c r="AN496">
        <v>424</v>
      </c>
      <c r="AO496" t="s">
        <v>5947</v>
      </c>
      <c r="AP496" t="s">
        <v>391</v>
      </c>
    </row>
    <row r="497" spans="1:42" x14ac:dyDescent="0.25">
      <c r="A497">
        <v>496</v>
      </c>
      <c r="B497" t="s">
        <v>1896</v>
      </c>
      <c r="C497" t="s">
        <v>1896</v>
      </c>
      <c r="D497" t="s">
        <v>1897</v>
      </c>
      <c r="E497" t="s">
        <v>556</v>
      </c>
      <c r="F497" t="s">
        <v>557</v>
      </c>
      <c r="G497" t="s">
        <v>60</v>
      </c>
      <c r="H497" t="s">
        <v>61</v>
      </c>
      <c r="J497" t="s">
        <v>3762</v>
      </c>
      <c r="K497" t="s">
        <v>3763</v>
      </c>
      <c r="R497" t="s">
        <v>73</v>
      </c>
      <c r="S497" t="s">
        <v>73</v>
      </c>
      <c r="U497" t="s">
        <v>73</v>
      </c>
      <c r="V497" t="s">
        <v>73</v>
      </c>
      <c r="X497" t="s">
        <v>73</v>
      </c>
      <c r="Y497" t="s">
        <v>73</v>
      </c>
      <c r="AA497" t="s">
        <v>73</v>
      </c>
      <c r="AB497" t="s">
        <v>73</v>
      </c>
      <c r="AF497">
        <v>402.34517851126964</v>
      </c>
      <c r="AG497">
        <v>7.625</v>
      </c>
      <c r="AH497">
        <v>7</v>
      </c>
      <c r="AI497">
        <v>696</v>
      </c>
      <c r="AJ497">
        <v>78.216865012521836</v>
      </c>
      <c r="AK497">
        <v>763.9</v>
      </c>
      <c r="AM497">
        <v>53.503611017530567</v>
      </c>
      <c r="AN497">
        <v>224</v>
      </c>
      <c r="AO497" t="s">
        <v>5948</v>
      </c>
      <c r="AP497" t="s">
        <v>1897</v>
      </c>
    </row>
    <row r="498" spans="1:42" x14ac:dyDescent="0.25">
      <c r="A498">
        <v>497</v>
      </c>
      <c r="B498" t="s">
        <v>2860</v>
      </c>
      <c r="C498" t="s">
        <v>2860</v>
      </c>
      <c r="D498" t="s">
        <v>2847</v>
      </c>
      <c r="E498" t="s">
        <v>91</v>
      </c>
      <c r="F498" t="s">
        <v>92</v>
      </c>
      <c r="G498" t="s">
        <v>108</v>
      </c>
      <c r="H498" t="s">
        <v>109</v>
      </c>
      <c r="I498" t="s">
        <v>2995</v>
      </c>
      <c r="J498" t="s">
        <v>3072</v>
      </c>
      <c r="K498" t="s">
        <v>3065</v>
      </c>
      <c r="L498" t="s">
        <v>4520</v>
      </c>
      <c r="M498" t="s">
        <v>4521</v>
      </c>
      <c r="O498" t="s">
        <v>63</v>
      </c>
      <c r="P498" t="s">
        <v>64</v>
      </c>
      <c r="Q498">
        <v>13</v>
      </c>
      <c r="R498" t="s">
        <v>2420</v>
      </c>
      <c r="S498" t="s">
        <v>2421</v>
      </c>
      <c r="T498">
        <v>5</v>
      </c>
      <c r="U498" t="s">
        <v>3137</v>
      </c>
      <c r="V498" t="s">
        <v>3136</v>
      </c>
      <c r="W498">
        <v>5</v>
      </c>
      <c r="X498" t="s">
        <v>2440</v>
      </c>
      <c r="Y498" t="s">
        <v>2441</v>
      </c>
      <c r="Z498">
        <v>2</v>
      </c>
      <c r="AC498" t="s">
        <v>2994</v>
      </c>
      <c r="AD498" t="s">
        <v>2994</v>
      </c>
      <c r="AF498">
        <v>402.34188141948965</v>
      </c>
      <c r="AG498">
        <v>7.6909090909091002</v>
      </c>
      <c r="AH498">
        <v>54</v>
      </c>
      <c r="AI498">
        <v>740</v>
      </c>
      <c r="AJ498">
        <v>69.329363193371861</v>
      </c>
      <c r="AK498">
        <v>779.89090909090999</v>
      </c>
      <c r="AL498">
        <v>2010</v>
      </c>
      <c r="AM498">
        <v>83.061108470720598</v>
      </c>
      <c r="AN498">
        <v>56</v>
      </c>
      <c r="AO498" t="s">
        <v>5949</v>
      </c>
      <c r="AP498" t="s">
        <v>2847</v>
      </c>
    </row>
    <row r="499" spans="1:42" x14ac:dyDescent="0.25">
      <c r="A499">
        <v>498</v>
      </c>
      <c r="B499" t="s">
        <v>3610</v>
      </c>
      <c r="C499" t="s">
        <v>3610</v>
      </c>
      <c r="D499" t="s">
        <v>3653</v>
      </c>
      <c r="E499" t="s">
        <v>666</v>
      </c>
      <c r="F499" t="s">
        <v>667</v>
      </c>
      <c r="G499" t="s">
        <v>60</v>
      </c>
      <c r="H499" t="s">
        <v>61</v>
      </c>
      <c r="I499" t="s">
        <v>3634</v>
      </c>
      <c r="J499" t="s">
        <v>3620</v>
      </c>
      <c r="K499" t="s">
        <v>3624</v>
      </c>
      <c r="L499" t="s">
        <v>4488</v>
      </c>
      <c r="M499" t="s">
        <v>4489</v>
      </c>
      <c r="R499" t="s">
        <v>73</v>
      </c>
      <c r="S499" t="s">
        <v>73</v>
      </c>
      <c r="U499" t="s">
        <v>73</v>
      </c>
      <c r="V499" t="s">
        <v>73</v>
      </c>
      <c r="X499" t="s">
        <v>73</v>
      </c>
      <c r="Y499" t="s">
        <v>73</v>
      </c>
      <c r="AA499" t="s">
        <v>73</v>
      </c>
      <c r="AB499" t="s">
        <v>73</v>
      </c>
      <c r="AF499">
        <v>402.31333317290955</v>
      </c>
      <c r="AG499">
        <v>6.375</v>
      </c>
      <c r="AH499">
        <v>7</v>
      </c>
      <c r="AI499">
        <v>372</v>
      </c>
      <c r="AJ499">
        <v>147.62592574767729</v>
      </c>
      <c r="AK499">
        <v>638.9</v>
      </c>
      <c r="AM499">
        <v>122.67629604674818</v>
      </c>
      <c r="AN499">
        <v>336</v>
      </c>
      <c r="AO499" t="s">
        <v>5950</v>
      </c>
      <c r="AP499" t="s">
        <v>3653</v>
      </c>
    </row>
    <row r="500" spans="1:42" x14ac:dyDescent="0.25">
      <c r="A500">
        <v>499</v>
      </c>
      <c r="B500" t="s">
        <v>2753</v>
      </c>
      <c r="C500" t="s">
        <v>2753</v>
      </c>
      <c r="D500" t="s">
        <v>1898</v>
      </c>
      <c r="E500" t="s">
        <v>199</v>
      </c>
      <c r="F500" t="s">
        <v>200</v>
      </c>
      <c r="I500" t="s">
        <v>1899</v>
      </c>
      <c r="J500" t="s">
        <v>303</v>
      </c>
      <c r="K500" t="s">
        <v>304</v>
      </c>
      <c r="L500" t="s">
        <v>5202</v>
      </c>
      <c r="M500" t="s">
        <v>5203</v>
      </c>
      <c r="O500" t="s">
        <v>2609</v>
      </c>
      <c r="P500" t="s">
        <v>2609</v>
      </c>
      <c r="Q500">
        <v>15</v>
      </c>
      <c r="R500" t="s">
        <v>2420</v>
      </c>
      <c r="S500" t="s">
        <v>2421</v>
      </c>
      <c r="T500">
        <v>5</v>
      </c>
      <c r="U500" t="s">
        <v>3139</v>
      </c>
      <c r="V500" t="s">
        <v>3140</v>
      </c>
      <c r="W500">
        <v>4</v>
      </c>
      <c r="X500" t="s">
        <v>2437</v>
      </c>
      <c r="Y500" t="s">
        <v>2438</v>
      </c>
      <c r="Z500">
        <v>1</v>
      </c>
      <c r="AA500" t="s">
        <v>73</v>
      </c>
      <c r="AB500" t="s">
        <v>73</v>
      </c>
      <c r="AE500" t="s">
        <v>1900</v>
      </c>
      <c r="AF500">
        <v>402.22018466572104</v>
      </c>
      <c r="AG500">
        <v>7.90625</v>
      </c>
      <c r="AH500">
        <v>31</v>
      </c>
      <c r="AI500">
        <v>790</v>
      </c>
      <c r="AJ500">
        <v>59.786316295245584</v>
      </c>
      <c r="AK500">
        <v>796.82500000000005</v>
      </c>
      <c r="AL500">
        <v>2005</v>
      </c>
      <c r="AM500">
        <v>83.700842813343812</v>
      </c>
      <c r="AN500">
        <v>0</v>
      </c>
      <c r="AO500" t="s">
        <v>5951</v>
      </c>
      <c r="AP500" t="s">
        <v>1898</v>
      </c>
    </row>
    <row r="501" spans="1:42" x14ac:dyDescent="0.25">
      <c r="A501">
        <v>500</v>
      </c>
      <c r="B501" t="s">
        <v>948</v>
      </c>
      <c r="C501" t="s">
        <v>948</v>
      </c>
      <c r="D501" t="s">
        <v>949</v>
      </c>
      <c r="E501" t="s">
        <v>161</v>
      </c>
      <c r="F501" t="s">
        <v>161</v>
      </c>
      <c r="G501" t="s">
        <v>3167</v>
      </c>
      <c r="H501" t="s">
        <v>3166</v>
      </c>
      <c r="J501" t="s">
        <v>950</v>
      </c>
      <c r="K501" t="s">
        <v>951</v>
      </c>
      <c r="R501" t="s">
        <v>73</v>
      </c>
      <c r="S501" t="s">
        <v>73</v>
      </c>
      <c r="U501" t="s">
        <v>73</v>
      </c>
      <c r="V501" t="s">
        <v>73</v>
      </c>
      <c r="X501" t="s">
        <v>73</v>
      </c>
      <c r="Y501" t="s">
        <v>73</v>
      </c>
      <c r="AA501" t="s">
        <v>73</v>
      </c>
      <c r="AB501" t="s">
        <v>73</v>
      </c>
      <c r="AF501">
        <v>401.69253878789425</v>
      </c>
      <c r="AG501">
        <v>7.8571428571429003</v>
      </c>
      <c r="AH501">
        <v>6</v>
      </c>
      <c r="AI501">
        <v>753</v>
      </c>
      <c r="AJ501">
        <v>64.705995478610262</v>
      </c>
      <c r="AK501">
        <v>786.91428571429003</v>
      </c>
      <c r="AM501">
        <v>90.588393670054359</v>
      </c>
      <c r="AN501">
        <v>0</v>
      </c>
      <c r="AO501" t="s">
        <v>5952</v>
      </c>
      <c r="AP501" t="s">
        <v>949</v>
      </c>
    </row>
    <row r="502" spans="1:42" x14ac:dyDescent="0.25">
      <c r="A502">
        <v>501</v>
      </c>
      <c r="B502" t="s">
        <v>1018</v>
      </c>
      <c r="C502" t="s">
        <v>1018</v>
      </c>
      <c r="D502" t="s">
        <v>1019</v>
      </c>
      <c r="E502" t="s">
        <v>595</v>
      </c>
      <c r="F502" t="s">
        <v>596</v>
      </c>
      <c r="G502" t="s">
        <v>3167</v>
      </c>
      <c r="H502" t="s">
        <v>3166</v>
      </c>
      <c r="I502" t="s">
        <v>930</v>
      </c>
      <c r="J502" t="s">
        <v>607</v>
      </c>
      <c r="K502" t="s">
        <v>608</v>
      </c>
      <c r="R502" t="s">
        <v>73</v>
      </c>
      <c r="S502" t="s">
        <v>73</v>
      </c>
      <c r="U502" t="s">
        <v>73</v>
      </c>
      <c r="V502" t="s">
        <v>73</v>
      </c>
      <c r="X502" t="s">
        <v>73</v>
      </c>
      <c r="Y502" t="s">
        <v>73</v>
      </c>
      <c r="AF502">
        <v>401.09678567417814</v>
      </c>
      <c r="AG502">
        <v>7.8333333333333002</v>
      </c>
      <c r="AH502">
        <v>5</v>
      </c>
      <c r="AI502">
        <v>750</v>
      </c>
      <c r="AJ502">
        <v>65.477910008347891</v>
      </c>
      <c r="AK502">
        <v>784.33333333333007</v>
      </c>
      <c r="AM502">
        <v>35.669074011687044</v>
      </c>
      <c r="AN502">
        <v>224</v>
      </c>
      <c r="AO502" t="s">
        <v>5953</v>
      </c>
      <c r="AP502" t="s">
        <v>1019</v>
      </c>
    </row>
    <row r="503" spans="1:42" x14ac:dyDescent="0.25">
      <c r="A503">
        <v>502</v>
      </c>
      <c r="B503" t="s">
        <v>2029</v>
      </c>
      <c r="C503" t="s">
        <v>2029</v>
      </c>
      <c r="D503" t="s">
        <v>2030</v>
      </c>
      <c r="E503" t="s">
        <v>282</v>
      </c>
      <c r="F503" t="s">
        <v>283</v>
      </c>
      <c r="G503" t="s">
        <v>3167</v>
      </c>
      <c r="H503" t="s">
        <v>3166</v>
      </c>
      <c r="J503" t="s">
        <v>585</v>
      </c>
      <c r="K503" t="s">
        <v>586</v>
      </c>
      <c r="O503" t="s">
        <v>822</v>
      </c>
      <c r="P503" t="s">
        <v>823</v>
      </c>
      <c r="Q503">
        <v>12</v>
      </c>
      <c r="R503" t="s">
        <v>2409</v>
      </c>
      <c r="S503" t="s">
        <v>2410</v>
      </c>
      <c r="T503">
        <v>2</v>
      </c>
      <c r="U503" t="s">
        <v>2432</v>
      </c>
      <c r="V503" t="s">
        <v>2433</v>
      </c>
      <c r="W503">
        <v>7</v>
      </c>
      <c r="X503" t="s">
        <v>2446</v>
      </c>
      <c r="Y503" t="s">
        <v>2447</v>
      </c>
      <c r="Z503">
        <v>4</v>
      </c>
      <c r="AA503" t="s">
        <v>73</v>
      </c>
      <c r="AB503" t="s">
        <v>73</v>
      </c>
      <c r="AF503">
        <v>400.2354080015545</v>
      </c>
      <c r="AG503">
        <v>6.4545454545455003</v>
      </c>
      <c r="AH503">
        <v>21</v>
      </c>
      <c r="AI503">
        <v>414</v>
      </c>
      <c r="AJ503">
        <v>139.34237252697716</v>
      </c>
      <c r="AK503">
        <v>649.65454545455009</v>
      </c>
      <c r="AM503">
        <v>139.07932153776801</v>
      </c>
      <c r="AN503">
        <v>224</v>
      </c>
      <c r="AO503" t="s">
        <v>5954</v>
      </c>
      <c r="AP503" t="s">
        <v>2030</v>
      </c>
    </row>
    <row r="504" spans="1:42" x14ac:dyDescent="0.25">
      <c r="A504">
        <v>503</v>
      </c>
      <c r="B504" t="s">
        <v>1917</v>
      </c>
      <c r="C504" t="s">
        <v>1917</v>
      </c>
      <c r="D504" t="s">
        <v>1918</v>
      </c>
      <c r="E504" t="s">
        <v>137</v>
      </c>
      <c r="F504" t="s">
        <v>138</v>
      </c>
      <c r="G504" t="s">
        <v>139</v>
      </c>
      <c r="H504" t="s">
        <v>140</v>
      </c>
      <c r="I504" t="s">
        <v>693</v>
      </c>
      <c r="J504" t="s">
        <v>651</v>
      </c>
      <c r="K504" t="s">
        <v>652</v>
      </c>
      <c r="L504" t="s">
        <v>4575</v>
      </c>
      <c r="M504" t="s">
        <v>4576</v>
      </c>
      <c r="R504" t="s">
        <v>73</v>
      </c>
      <c r="S504" t="s">
        <v>73</v>
      </c>
      <c r="U504" t="s">
        <v>73</v>
      </c>
      <c r="V504" t="s">
        <v>73</v>
      </c>
      <c r="X504" t="s">
        <v>73</v>
      </c>
      <c r="Y504" t="s">
        <v>73</v>
      </c>
      <c r="AF504">
        <v>400.22154903053769</v>
      </c>
      <c r="AG504">
        <v>6.9</v>
      </c>
      <c r="AH504">
        <v>9</v>
      </c>
      <c r="AI504">
        <v>529</v>
      </c>
      <c r="AJ504">
        <v>115.91283225615301</v>
      </c>
      <c r="AK504">
        <v>691.8</v>
      </c>
      <c r="AM504">
        <v>162.27796515861419</v>
      </c>
      <c r="AN504">
        <v>0</v>
      </c>
      <c r="AO504" t="s">
        <v>5955</v>
      </c>
      <c r="AP504" t="s">
        <v>1918</v>
      </c>
    </row>
    <row r="505" spans="1:42" x14ac:dyDescent="0.25">
      <c r="A505">
        <v>504</v>
      </c>
      <c r="B505" t="s">
        <v>2035</v>
      </c>
      <c r="C505" t="s">
        <v>2035</v>
      </c>
      <c r="D505" t="s">
        <v>2036</v>
      </c>
      <c r="E505" t="s">
        <v>137</v>
      </c>
      <c r="F505" t="s">
        <v>138</v>
      </c>
      <c r="G505" t="s">
        <v>139</v>
      </c>
      <c r="H505" t="s">
        <v>140</v>
      </c>
      <c r="I505" t="s">
        <v>2037</v>
      </c>
      <c r="J505" t="s">
        <v>1234</v>
      </c>
      <c r="K505" t="s">
        <v>1235</v>
      </c>
      <c r="L505" t="s">
        <v>4607</v>
      </c>
      <c r="M505" t="s">
        <v>4608</v>
      </c>
      <c r="R505" t="s">
        <v>73</v>
      </c>
      <c r="S505" t="s">
        <v>73</v>
      </c>
      <c r="U505" t="s">
        <v>73</v>
      </c>
      <c r="V505" t="s">
        <v>73</v>
      </c>
      <c r="X505" t="s">
        <v>73</v>
      </c>
      <c r="Y505" t="s">
        <v>73</v>
      </c>
      <c r="AF505">
        <v>400.15927156769789</v>
      </c>
      <c r="AG505">
        <v>6.4705882352941</v>
      </c>
      <c r="AH505">
        <v>16</v>
      </c>
      <c r="AI505">
        <v>417</v>
      </c>
      <c r="AJ505">
        <v>138.92206644776985</v>
      </c>
      <c r="AK505">
        <v>650.25882352941005</v>
      </c>
      <c r="AM505">
        <v>194.49089302687779</v>
      </c>
      <c r="AN505">
        <v>0</v>
      </c>
      <c r="AO505" t="s">
        <v>5956</v>
      </c>
      <c r="AP505" t="s">
        <v>2036</v>
      </c>
    </row>
    <row r="506" spans="1:42" x14ac:dyDescent="0.25">
      <c r="A506">
        <v>505</v>
      </c>
      <c r="B506" t="s">
        <v>1201</v>
      </c>
      <c r="C506" t="s">
        <v>1201</v>
      </c>
      <c r="D506" t="s">
        <v>1202</v>
      </c>
      <c r="E506" t="s">
        <v>137</v>
      </c>
      <c r="F506" t="s">
        <v>138</v>
      </c>
      <c r="G506" t="s">
        <v>139</v>
      </c>
      <c r="H506" t="s">
        <v>140</v>
      </c>
      <c r="I506" t="s">
        <v>4187</v>
      </c>
      <c r="J506" t="s">
        <v>426</v>
      </c>
      <c r="K506" t="s">
        <v>427</v>
      </c>
      <c r="L506" t="s">
        <v>4599</v>
      </c>
      <c r="M506" t="s">
        <v>4600</v>
      </c>
      <c r="R506" t="s">
        <v>73</v>
      </c>
      <c r="S506" t="s">
        <v>73</v>
      </c>
      <c r="U506" t="s">
        <v>73</v>
      </c>
      <c r="V506" t="s">
        <v>73</v>
      </c>
      <c r="X506" t="s">
        <v>73</v>
      </c>
      <c r="Y506" t="s">
        <v>73</v>
      </c>
      <c r="AA506" t="s">
        <v>73</v>
      </c>
      <c r="AB506" t="s">
        <v>73</v>
      </c>
      <c r="AF506">
        <v>400.14227161151672</v>
      </c>
      <c r="AG506">
        <v>7.6</v>
      </c>
      <c r="AH506">
        <v>14</v>
      </c>
      <c r="AI506">
        <v>708</v>
      </c>
      <c r="AJ506">
        <v>76.380301790574137</v>
      </c>
      <c r="AK506">
        <v>762.8</v>
      </c>
      <c r="AM506">
        <v>106.93242250680379</v>
      </c>
      <c r="AN506">
        <v>0</v>
      </c>
      <c r="AO506" t="s">
        <v>5957</v>
      </c>
      <c r="AP506" t="s">
        <v>1202</v>
      </c>
    </row>
    <row r="507" spans="1:42" x14ac:dyDescent="0.25">
      <c r="A507">
        <v>506</v>
      </c>
      <c r="B507" t="s">
        <v>2365</v>
      </c>
      <c r="C507" t="s">
        <v>4069</v>
      </c>
      <c r="D507" t="s">
        <v>3205</v>
      </c>
      <c r="E507" t="s">
        <v>471</v>
      </c>
      <c r="F507" t="s">
        <v>472</v>
      </c>
      <c r="G507" t="s">
        <v>93</v>
      </c>
      <c r="H507" t="s">
        <v>94</v>
      </c>
      <c r="I507" t="s">
        <v>3206</v>
      </c>
      <c r="J507" t="s">
        <v>3244</v>
      </c>
      <c r="K507" t="s">
        <v>3107</v>
      </c>
      <c r="Q507">
        <v>14</v>
      </c>
      <c r="R507" t="s">
        <v>2409</v>
      </c>
      <c r="S507" t="s">
        <v>2410</v>
      </c>
      <c r="T507">
        <v>2</v>
      </c>
      <c r="U507" t="s">
        <v>3137</v>
      </c>
      <c r="V507" t="s">
        <v>3136</v>
      </c>
      <c r="W507">
        <v>5</v>
      </c>
      <c r="X507" t="s">
        <v>2446</v>
      </c>
      <c r="Y507" t="s">
        <v>2447</v>
      </c>
      <c r="Z507">
        <v>4</v>
      </c>
      <c r="AA507" t="s">
        <v>73</v>
      </c>
      <c r="AB507" t="s">
        <v>73</v>
      </c>
      <c r="AF507">
        <v>399.39382021569702</v>
      </c>
      <c r="AG507">
        <v>7.7333333333332996</v>
      </c>
      <c r="AH507">
        <v>14</v>
      </c>
      <c r="AI507">
        <v>744</v>
      </c>
      <c r="AJ507">
        <v>68.141281721146768</v>
      </c>
      <c r="AK507">
        <v>776.13333333332992</v>
      </c>
      <c r="AL507">
        <v>2005</v>
      </c>
      <c r="AM507">
        <v>67.397794409605467</v>
      </c>
      <c r="AN507">
        <v>112</v>
      </c>
      <c r="AO507" t="s">
        <v>5958</v>
      </c>
      <c r="AP507" t="s">
        <v>3205</v>
      </c>
    </row>
    <row r="508" spans="1:42" x14ac:dyDescent="0.25">
      <c r="A508">
        <v>507</v>
      </c>
      <c r="B508" t="s">
        <v>2152</v>
      </c>
      <c r="C508" t="s">
        <v>3211</v>
      </c>
      <c r="D508" t="s">
        <v>3202</v>
      </c>
      <c r="E508" t="s">
        <v>471</v>
      </c>
      <c r="F508" t="s">
        <v>472</v>
      </c>
      <c r="G508" t="s">
        <v>93</v>
      </c>
      <c r="H508" t="s">
        <v>94</v>
      </c>
      <c r="I508" t="s">
        <v>3211</v>
      </c>
      <c r="J508" t="s">
        <v>3240</v>
      </c>
      <c r="K508" t="s">
        <v>3175</v>
      </c>
      <c r="Q508">
        <v>14</v>
      </c>
      <c r="R508" t="s">
        <v>2414</v>
      </c>
      <c r="S508" t="s">
        <v>2415</v>
      </c>
      <c r="T508">
        <v>3</v>
      </c>
      <c r="U508" t="s">
        <v>2432</v>
      </c>
      <c r="V508" t="s">
        <v>2433</v>
      </c>
      <c r="W508">
        <v>7</v>
      </c>
      <c r="X508" t="s">
        <v>2437</v>
      </c>
      <c r="Y508" t="s">
        <v>2438</v>
      </c>
      <c r="Z508">
        <v>1</v>
      </c>
      <c r="AE508" t="s">
        <v>3201</v>
      </c>
      <c r="AF508">
        <v>399.39062997439447</v>
      </c>
      <c r="AG508">
        <v>6.5263157894737001</v>
      </c>
      <c r="AH508">
        <v>18</v>
      </c>
      <c r="AI508">
        <v>440</v>
      </c>
      <c r="AJ508">
        <v>134.74982277856603</v>
      </c>
      <c r="AK508">
        <v>656.23157894737005</v>
      </c>
      <c r="AM508">
        <v>160.64975188999242</v>
      </c>
      <c r="AN508">
        <v>112</v>
      </c>
      <c r="AO508" t="s">
        <v>5959</v>
      </c>
      <c r="AP508" t="s">
        <v>3202</v>
      </c>
    </row>
    <row r="509" spans="1:42" x14ac:dyDescent="0.25">
      <c r="A509">
        <v>508</v>
      </c>
      <c r="B509" t="s">
        <v>3462</v>
      </c>
      <c r="C509" t="s">
        <v>3462</v>
      </c>
      <c r="D509" t="s">
        <v>3464</v>
      </c>
      <c r="E509" t="s">
        <v>471</v>
      </c>
      <c r="F509" t="s">
        <v>472</v>
      </c>
      <c r="G509" t="s">
        <v>93</v>
      </c>
      <c r="H509" t="s">
        <v>94</v>
      </c>
      <c r="J509" t="s">
        <v>3240</v>
      </c>
      <c r="K509" t="s">
        <v>3175</v>
      </c>
      <c r="Q509">
        <v>12</v>
      </c>
      <c r="R509" t="s">
        <v>2409</v>
      </c>
      <c r="S509" t="s">
        <v>2410</v>
      </c>
      <c r="T509">
        <v>2</v>
      </c>
      <c r="U509" t="s">
        <v>2432</v>
      </c>
      <c r="V509" t="s">
        <v>2433</v>
      </c>
      <c r="W509">
        <v>7</v>
      </c>
      <c r="X509" t="s">
        <v>2443</v>
      </c>
      <c r="Y509" t="s">
        <v>2444</v>
      </c>
      <c r="Z509">
        <v>3</v>
      </c>
      <c r="AE509" t="s">
        <v>3463</v>
      </c>
      <c r="AF509">
        <v>399.10101443018999</v>
      </c>
      <c r="AG509">
        <v>7.3333333333333002</v>
      </c>
      <c r="AH509">
        <v>8</v>
      </c>
      <c r="AI509">
        <v>627</v>
      </c>
      <c r="AJ509">
        <v>90.704830848361027</v>
      </c>
      <c r="AK509">
        <v>734.9333333333301</v>
      </c>
      <c r="AM509">
        <v>98.986763187705435</v>
      </c>
      <c r="AN509">
        <v>112</v>
      </c>
      <c r="AO509" t="s">
        <v>5960</v>
      </c>
      <c r="AP509" t="s">
        <v>3464</v>
      </c>
    </row>
    <row r="510" spans="1:42" x14ac:dyDescent="0.25">
      <c r="A510">
        <v>509</v>
      </c>
      <c r="B510" t="s">
        <v>1510</v>
      </c>
      <c r="C510" t="s">
        <v>1510</v>
      </c>
      <c r="D510" t="s">
        <v>2523</v>
      </c>
      <c r="E510" t="s">
        <v>183</v>
      </c>
      <c r="F510" t="s">
        <v>184</v>
      </c>
      <c r="G510" t="s">
        <v>158</v>
      </c>
      <c r="H510" t="s">
        <v>159</v>
      </c>
      <c r="J510" t="s">
        <v>1511</v>
      </c>
      <c r="K510" t="s">
        <v>3020</v>
      </c>
      <c r="R510" t="s">
        <v>73</v>
      </c>
      <c r="S510" t="s">
        <v>73</v>
      </c>
      <c r="U510" t="s">
        <v>73</v>
      </c>
      <c r="V510" t="s">
        <v>73</v>
      </c>
      <c r="X510" t="s">
        <v>73</v>
      </c>
      <c r="Y510" t="s">
        <v>73</v>
      </c>
      <c r="AF510">
        <v>399.0039131138289</v>
      </c>
      <c r="AG510">
        <v>6.4</v>
      </c>
      <c r="AH510">
        <v>9</v>
      </c>
      <c r="AI510">
        <v>398</v>
      </c>
      <c r="AJ510">
        <v>142.3376812375877</v>
      </c>
      <c r="AK510">
        <v>641.79999999999995</v>
      </c>
      <c r="AM510">
        <v>199.27275373262279</v>
      </c>
      <c r="AN510">
        <v>0</v>
      </c>
      <c r="AO510" t="s">
        <v>5961</v>
      </c>
      <c r="AP510" t="s">
        <v>2523</v>
      </c>
    </row>
    <row r="511" spans="1:42" x14ac:dyDescent="0.25">
      <c r="A511">
        <v>510</v>
      </c>
      <c r="B511" t="s">
        <v>1760</v>
      </c>
      <c r="C511" t="s">
        <v>1760</v>
      </c>
      <c r="D511" t="s">
        <v>1761</v>
      </c>
      <c r="E511" t="s">
        <v>137</v>
      </c>
      <c r="F511" t="s">
        <v>138</v>
      </c>
      <c r="G511" t="s">
        <v>139</v>
      </c>
      <c r="H511" t="s">
        <v>140</v>
      </c>
      <c r="I511" t="s">
        <v>1762</v>
      </c>
      <c r="J511" t="s">
        <v>426</v>
      </c>
      <c r="K511" t="s">
        <v>427</v>
      </c>
      <c r="L511" t="s">
        <v>4646</v>
      </c>
      <c r="M511" t="s">
        <v>4647</v>
      </c>
      <c r="R511" t="s">
        <v>73</v>
      </c>
      <c r="S511" t="s">
        <v>73</v>
      </c>
      <c r="U511" t="s">
        <v>73</v>
      </c>
      <c r="V511" t="s">
        <v>73</v>
      </c>
      <c r="X511" t="s">
        <v>73</v>
      </c>
      <c r="Y511" t="s">
        <v>73</v>
      </c>
      <c r="AF511">
        <v>397.95482216515063</v>
      </c>
      <c r="AG511">
        <v>6.8</v>
      </c>
      <c r="AH511">
        <v>24</v>
      </c>
      <c r="AI511">
        <v>524</v>
      </c>
      <c r="AJ511">
        <v>117.28313573905625</v>
      </c>
      <c r="AK511">
        <v>684.8</v>
      </c>
      <c r="AL511">
        <v>2004</v>
      </c>
      <c r="AM511">
        <v>164.19639003467873</v>
      </c>
      <c r="AN511">
        <v>0</v>
      </c>
      <c r="AO511" t="s">
        <v>5962</v>
      </c>
      <c r="AP511" t="s">
        <v>1761</v>
      </c>
    </row>
    <row r="512" spans="1:42" x14ac:dyDescent="0.25">
      <c r="A512">
        <v>511</v>
      </c>
      <c r="B512" t="s">
        <v>2856</v>
      </c>
      <c r="C512" t="s">
        <v>2856</v>
      </c>
      <c r="D512" t="s">
        <v>2846</v>
      </c>
      <c r="E512" t="s">
        <v>91</v>
      </c>
      <c r="F512" t="s">
        <v>92</v>
      </c>
      <c r="G512" t="s">
        <v>3515</v>
      </c>
      <c r="H512" t="s">
        <v>3516</v>
      </c>
      <c r="I512" t="s">
        <v>2988</v>
      </c>
      <c r="J512" t="s">
        <v>3069</v>
      </c>
      <c r="K512" t="s">
        <v>3063</v>
      </c>
      <c r="L512" t="s">
        <v>4510</v>
      </c>
      <c r="M512" t="s">
        <v>4511</v>
      </c>
      <c r="O512" t="s">
        <v>2990</v>
      </c>
      <c r="P512" t="s">
        <v>2990</v>
      </c>
      <c r="Q512">
        <v>14</v>
      </c>
      <c r="R512" t="s">
        <v>2420</v>
      </c>
      <c r="S512" t="s">
        <v>2421</v>
      </c>
      <c r="T512">
        <v>5</v>
      </c>
      <c r="U512" t="s">
        <v>2432</v>
      </c>
      <c r="V512" t="s">
        <v>2433</v>
      </c>
      <c r="W512">
        <v>7</v>
      </c>
      <c r="X512" t="s">
        <v>2440</v>
      </c>
      <c r="Y512" t="s">
        <v>2441</v>
      </c>
      <c r="Z512">
        <v>2</v>
      </c>
      <c r="AC512" t="s">
        <v>2989</v>
      </c>
      <c r="AD512" t="s">
        <v>2989</v>
      </c>
      <c r="AF512">
        <v>397.86268141122167</v>
      </c>
      <c r="AG512">
        <v>8.1333333333333009</v>
      </c>
      <c r="AH512">
        <v>14</v>
      </c>
      <c r="AI512">
        <v>829</v>
      </c>
      <c r="AJ512">
        <v>44.217794160618489</v>
      </c>
      <c r="AK512">
        <v>816.13333333333003</v>
      </c>
      <c r="AL512">
        <v>2010</v>
      </c>
      <c r="AM512">
        <v>47.904911824865884</v>
      </c>
      <c r="AN512">
        <v>56</v>
      </c>
      <c r="AO512" t="s">
        <v>5963</v>
      </c>
      <c r="AP512" t="s">
        <v>2846</v>
      </c>
    </row>
    <row r="513" spans="1:42" x14ac:dyDescent="0.25">
      <c r="A513">
        <v>512</v>
      </c>
      <c r="B513" t="s">
        <v>1889</v>
      </c>
      <c r="C513" t="s">
        <v>1889</v>
      </c>
      <c r="D513" t="s">
        <v>5055</v>
      </c>
      <c r="E513" t="s">
        <v>199</v>
      </c>
      <c r="F513" t="s">
        <v>200</v>
      </c>
      <c r="I513" t="s">
        <v>3011</v>
      </c>
      <c r="J513" t="s">
        <v>202</v>
      </c>
      <c r="K513" t="s">
        <v>203</v>
      </c>
      <c r="L513" t="s">
        <v>5056</v>
      </c>
      <c r="M513" t="s">
        <v>5057</v>
      </c>
      <c r="R513" t="s">
        <v>2409</v>
      </c>
      <c r="S513" t="s">
        <v>2410</v>
      </c>
      <c r="T513">
        <v>2</v>
      </c>
      <c r="U513" t="s">
        <v>73</v>
      </c>
      <c r="V513" t="s">
        <v>73</v>
      </c>
      <c r="X513" t="s">
        <v>73</v>
      </c>
      <c r="Y513" t="s">
        <v>73</v>
      </c>
      <c r="AA513" t="s">
        <v>73</v>
      </c>
      <c r="AB513" t="s">
        <v>73</v>
      </c>
      <c r="AF513">
        <v>397.8174646397166</v>
      </c>
      <c r="AG513">
        <v>7.5333333333333004</v>
      </c>
      <c r="AH513">
        <v>14</v>
      </c>
      <c r="AI513">
        <v>703</v>
      </c>
      <c r="AJ513">
        <v>77.500886636724005</v>
      </c>
      <c r="AK513">
        <v>756.13333333333003</v>
      </c>
      <c r="AL513">
        <v>2011</v>
      </c>
      <c r="AM513">
        <v>108.50124129141361</v>
      </c>
      <c r="AN513">
        <v>0</v>
      </c>
      <c r="AO513" t="s">
        <v>5964</v>
      </c>
      <c r="AP513" t="s">
        <v>5055</v>
      </c>
    </row>
    <row r="514" spans="1:42" x14ac:dyDescent="0.25">
      <c r="A514">
        <v>513</v>
      </c>
      <c r="B514" t="s">
        <v>1171</v>
      </c>
      <c r="C514" t="s">
        <v>1171</v>
      </c>
      <c r="D514" t="s">
        <v>1172</v>
      </c>
      <c r="E514" t="s">
        <v>199</v>
      </c>
      <c r="F514" t="s">
        <v>200</v>
      </c>
      <c r="G514" t="s">
        <v>139</v>
      </c>
      <c r="H514" t="s">
        <v>140</v>
      </c>
      <c r="J514" t="s">
        <v>326</v>
      </c>
      <c r="K514" t="s">
        <v>327</v>
      </c>
      <c r="L514" t="s">
        <v>4581</v>
      </c>
      <c r="M514" t="s">
        <v>4582</v>
      </c>
      <c r="R514" t="s">
        <v>2409</v>
      </c>
      <c r="S514" t="s">
        <v>2410</v>
      </c>
      <c r="T514">
        <v>2</v>
      </c>
      <c r="U514" t="s">
        <v>2432</v>
      </c>
      <c r="V514" t="s">
        <v>2433</v>
      </c>
      <c r="W514">
        <v>7</v>
      </c>
      <c r="X514" t="s">
        <v>2443</v>
      </c>
      <c r="Y514" t="s">
        <v>2444</v>
      </c>
      <c r="Z514">
        <v>3</v>
      </c>
      <c r="AA514" t="s">
        <v>73</v>
      </c>
      <c r="AB514" t="s">
        <v>73</v>
      </c>
      <c r="AE514" t="s">
        <v>1173</v>
      </c>
      <c r="AF514">
        <v>397.73002687484677</v>
      </c>
      <c r="AG514">
        <v>6.6363636363636003</v>
      </c>
      <c r="AH514">
        <v>21</v>
      </c>
      <c r="AI514">
        <v>476</v>
      </c>
      <c r="AJ514">
        <v>126.4576056185186</v>
      </c>
      <c r="AK514">
        <v>667.83636363636003</v>
      </c>
      <c r="AL514">
        <v>2004</v>
      </c>
      <c r="AM514">
        <v>177.04064786592602</v>
      </c>
      <c r="AN514">
        <v>0</v>
      </c>
      <c r="AO514" t="s">
        <v>5965</v>
      </c>
      <c r="AP514" t="s">
        <v>1172</v>
      </c>
    </row>
    <row r="515" spans="1:42" x14ac:dyDescent="0.25">
      <c r="A515">
        <v>514</v>
      </c>
      <c r="B515" t="s">
        <v>3725</v>
      </c>
      <c r="C515" t="s">
        <v>3725</v>
      </c>
      <c r="D515" t="s">
        <v>3890</v>
      </c>
      <c r="E515" t="s">
        <v>183</v>
      </c>
      <c r="F515" t="s">
        <v>184</v>
      </c>
      <c r="G515" t="s">
        <v>158</v>
      </c>
      <c r="H515" t="s">
        <v>159</v>
      </c>
      <c r="J515" t="s">
        <v>663</v>
      </c>
      <c r="K515" t="s">
        <v>664</v>
      </c>
      <c r="Q515">
        <v>13</v>
      </c>
      <c r="R515" t="s">
        <v>2409</v>
      </c>
      <c r="S515" t="s">
        <v>2410</v>
      </c>
      <c r="T515">
        <v>2</v>
      </c>
      <c r="U515" t="s">
        <v>3137</v>
      </c>
      <c r="V515" t="s">
        <v>3136</v>
      </c>
      <c r="W515">
        <v>5</v>
      </c>
      <c r="X515" t="s">
        <v>2440</v>
      </c>
      <c r="Y515" t="s">
        <v>2441</v>
      </c>
      <c r="Z515">
        <v>2</v>
      </c>
      <c r="AA515" t="s">
        <v>73</v>
      </c>
      <c r="AB515" t="s">
        <v>73</v>
      </c>
      <c r="AE515" t="s">
        <v>3891</v>
      </c>
      <c r="AF515">
        <v>397.66487798859492</v>
      </c>
      <c r="AG515">
        <v>7.1</v>
      </c>
      <c r="AH515">
        <v>9</v>
      </c>
      <c r="AI515">
        <v>582</v>
      </c>
      <c r="AJ515">
        <v>101.96097554288328</v>
      </c>
      <c r="AK515">
        <v>711.8</v>
      </c>
      <c r="AM515">
        <v>142.74536576003658</v>
      </c>
      <c r="AN515">
        <v>0</v>
      </c>
      <c r="AO515" t="s">
        <v>5966</v>
      </c>
      <c r="AP515" t="s">
        <v>3890</v>
      </c>
    </row>
    <row r="516" spans="1:42" x14ac:dyDescent="0.25">
      <c r="A516">
        <v>515</v>
      </c>
      <c r="B516" t="s">
        <v>1466</v>
      </c>
      <c r="C516" t="s">
        <v>1466</v>
      </c>
      <c r="D516" t="s">
        <v>2897</v>
      </c>
      <c r="E516" t="s">
        <v>161</v>
      </c>
      <c r="F516" t="s">
        <v>161</v>
      </c>
      <c r="G516" t="s">
        <v>3167</v>
      </c>
      <c r="H516" t="s">
        <v>3166</v>
      </c>
      <c r="J516" t="s">
        <v>164</v>
      </c>
      <c r="K516" t="s">
        <v>165</v>
      </c>
      <c r="R516" t="s">
        <v>73</v>
      </c>
      <c r="S516" t="s">
        <v>73</v>
      </c>
      <c r="U516" t="s">
        <v>73</v>
      </c>
      <c r="V516" t="s">
        <v>73</v>
      </c>
      <c r="X516" t="s">
        <v>73</v>
      </c>
      <c r="Y516" t="s">
        <v>73</v>
      </c>
      <c r="AA516" t="s">
        <v>73</v>
      </c>
      <c r="AB516" t="s">
        <v>73</v>
      </c>
      <c r="AF516">
        <v>397.37124058548613</v>
      </c>
      <c r="AG516">
        <v>8.1</v>
      </c>
      <c r="AH516">
        <v>9</v>
      </c>
      <c r="AI516">
        <v>821</v>
      </c>
      <c r="AJ516">
        <v>46.079156206095718</v>
      </c>
      <c r="AK516">
        <v>811.8</v>
      </c>
      <c r="AM516">
        <v>64.510818688534002</v>
      </c>
      <c r="AN516">
        <v>0</v>
      </c>
      <c r="AO516" t="s">
        <v>5967</v>
      </c>
      <c r="AP516" t="s">
        <v>2897</v>
      </c>
    </row>
    <row r="517" spans="1:42" x14ac:dyDescent="0.25">
      <c r="A517">
        <v>516</v>
      </c>
      <c r="B517" t="s">
        <v>890</v>
      </c>
      <c r="C517" t="s">
        <v>890</v>
      </c>
      <c r="D517" t="s">
        <v>891</v>
      </c>
      <c r="E517" t="s">
        <v>218</v>
      </c>
      <c r="F517" t="s">
        <v>219</v>
      </c>
      <c r="G517" t="s">
        <v>69</v>
      </c>
      <c r="H517" t="s">
        <v>70</v>
      </c>
      <c r="I517" t="s">
        <v>5152</v>
      </c>
      <c r="J517" t="s">
        <v>251</v>
      </c>
      <c r="K517" t="s">
        <v>252</v>
      </c>
      <c r="L517" t="s">
        <v>4904</v>
      </c>
      <c r="M517" t="s">
        <v>4905</v>
      </c>
      <c r="R517" t="s">
        <v>73</v>
      </c>
      <c r="S517" t="s">
        <v>73</v>
      </c>
      <c r="U517" t="s">
        <v>73</v>
      </c>
      <c r="V517" t="s">
        <v>73</v>
      </c>
      <c r="X517" t="s">
        <v>73</v>
      </c>
      <c r="Y517" t="s">
        <v>73</v>
      </c>
      <c r="AA517" t="s">
        <v>73</v>
      </c>
      <c r="AB517" t="s">
        <v>73</v>
      </c>
      <c r="AF517">
        <v>396.95029961374172</v>
      </c>
      <c r="AG517">
        <v>7.0625</v>
      </c>
      <c r="AH517">
        <v>15</v>
      </c>
      <c r="AI517">
        <v>580</v>
      </c>
      <c r="AJ517">
        <v>102.5836662374908</v>
      </c>
      <c r="AK517">
        <v>709.25</v>
      </c>
      <c r="AM517">
        <v>87.617132732487107</v>
      </c>
      <c r="AN517">
        <v>224</v>
      </c>
      <c r="AO517" t="s">
        <v>5968</v>
      </c>
      <c r="AP517" t="s">
        <v>891</v>
      </c>
    </row>
    <row r="518" spans="1:42" x14ac:dyDescent="0.25">
      <c r="A518">
        <v>517</v>
      </c>
      <c r="B518" t="s">
        <v>2935</v>
      </c>
      <c r="C518" t="s">
        <v>2935</v>
      </c>
      <c r="D518" t="s">
        <v>1000</v>
      </c>
      <c r="E518" t="s">
        <v>137</v>
      </c>
      <c r="F518" t="s">
        <v>138</v>
      </c>
      <c r="G518" t="s">
        <v>139</v>
      </c>
      <c r="H518" t="s">
        <v>140</v>
      </c>
      <c r="J518" t="s">
        <v>426</v>
      </c>
      <c r="K518" t="s">
        <v>427</v>
      </c>
      <c r="L518" t="s">
        <v>4601</v>
      </c>
      <c r="M518" t="s">
        <v>4602</v>
      </c>
      <c r="R518" t="s">
        <v>2409</v>
      </c>
      <c r="S518" t="s">
        <v>2410</v>
      </c>
      <c r="T518">
        <v>2</v>
      </c>
      <c r="U518" t="s">
        <v>73</v>
      </c>
      <c r="V518" t="s">
        <v>73</v>
      </c>
      <c r="X518" t="s">
        <v>2446</v>
      </c>
      <c r="Y518" t="s">
        <v>2447</v>
      </c>
      <c r="Z518">
        <v>4</v>
      </c>
      <c r="AA518" t="s">
        <v>73</v>
      </c>
      <c r="AB518" t="s">
        <v>73</v>
      </c>
      <c r="AF518">
        <v>396.93299761815649</v>
      </c>
      <c r="AG518">
        <v>6.7368421052632002</v>
      </c>
      <c r="AH518">
        <v>18</v>
      </c>
      <c r="AI518">
        <v>498</v>
      </c>
      <c r="AJ518">
        <v>120.32321372777383</v>
      </c>
      <c r="AK518">
        <v>677.28421052632007</v>
      </c>
      <c r="AL518">
        <v>2004</v>
      </c>
      <c r="AM518">
        <v>168.45249921888336</v>
      </c>
      <c r="AN518">
        <v>0</v>
      </c>
      <c r="AO518" t="s">
        <v>5969</v>
      </c>
      <c r="AP518" t="s">
        <v>1000</v>
      </c>
    </row>
    <row r="519" spans="1:42" x14ac:dyDescent="0.25">
      <c r="A519">
        <v>518</v>
      </c>
      <c r="B519" t="s">
        <v>947</v>
      </c>
      <c r="C519" t="s">
        <v>4170</v>
      </c>
      <c r="D519" t="s">
        <v>4807</v>
      </c>
      <c r="E519" t="s">
        <v>556</v>
      </c>
      <c r="F519" t="s">
        <v>557</v>
      </c>
      <c r="G519" t="s">
        <v>60</v>
      </c>
      <c r="H519" t="s">
        <v>61</v>
      </c>
      <c r="J519" t="s">
        <v>3120</v>
      </c>
      <c r="K519" t="s">
        <v>3121</v>
      </c>
      <c r="R519" t="s">
        <v>73</v>
      </c>
      <c r="S519" t="s">
        <v>73</v>
      </c>
      <c r="U519" t="s">
        <v>73</v>
      </c>
      <c r="V519" t="s">
        <v>73</v>
      </c>
      <c r="X519" t="s">
        <v>73</v>
      </c>
      <c r="Y519" t="s">
        <v>73</v>
      </c>
      <c r="AA519" t="s">
        <v>73</v>
      </c>
      <c r="AB519" t="s">
        <v>73</v>
      </c>
      <c r="AF519">
        <v>396.89999999999992</v>
      </c>
      <c r="AG519">
        <v>8.1999999999999993</v>
      </c>
      <c r="AH519">
        <v>9</v>
      </c>
      <c r="AI519">
        <v>848</v>
      </c>
      <c r="AJ519">
        <v>40</v>
      </c>
      <c r="AK519">
        <v>821.79999999999984</v>
      </c>
      <c r="AM519">
        <v>0</v>
      </c>
      <c r="AN519">
        <v>224</v>
      </c>
      <c r="AO519" t="s">
        <v>5970</v>
      </c>
      <c r="AP519" t="s">
        <v>4807</v>
      </c>
    </row>
    <row r="520" spans="1:42" x14ac:dyDescent="0.25">
      <c r="A520">
        <v>519</v>
      </c>
      <c r="B520" t="s">
        <v>3538</v>
      </c>
      <c r="C520" t="s">
        <v>3538</v>
      </c>
      <c r="D520" t="s">
        <v>3539</v>
      </c>
      <c r="E520" t="s">
        <v>137</v>
      </c>
      <c r="F520" t="s">
        <v>138</v>
      </c>
      <c r="G520" t="s">
        <v>139</v>
      </c>
      <c r="H520" t="s">
        <v>140</v>
      </c>
      <c r="I520" t="s">
        <v>3434</v>
      </c>
      <c r="J520" t="s">
        <v>296</v>
      </c>
      <c r="K520" t="s">
        <v>297</v>
      </c>
      <c r="L520" t="s">
        <v>4627</v>
      </c>
      <c r="M520" t="s">
        <v>4626</v>
      </c>
      <c r="R520" t="s">
        <v>73</v>
      </c>
      <c r="S520" t="s">
        <v>73</v>
      </c>
      <c r="U520" t="s">
        <v>73</v>
      </c>
      <c r="V520" t="s">
        <v>73</v>
      </c>
      <c r="X520" t="s">
        <v>73</v>
      </c>
      <c r="Y520" t="s">
        <v>73</v>
      </c>
      <c r="AA520" t="s">
        <v>73</v>
      </c>
      <c r="AB520" t="s">
        <v>73</v>
      </c>
      <c r="AF520">
        <v>396.85582509442588</v>
      </c>
      <c r="AG520">
        <v>5.5</v>
      </c>
      <c r="AH520">
        <v>5</v>
      </c>
      <c r="AI520">
        <v>237</v>
      </c>
      <c r="AJ520">
        <v>190.39536121602876</v>
      </c>
      <c r="AK520">
        <v>551</v>
      </c>
      <c r="AM520">
        <v>266.55350570244025</v>
      </c>
      <c r="AN520">
        <v>0</v>
      </c>
      <c r="AO520" t="s">
        <v>5971</v>
      </c>
      <c r="AP520" t="s">
        <v>3539</v>
      </c>
    </row>
    <row r="521" spans="1:42" x14ac:dyDescent="0.25">
      <c r="A521">
        <v>520</v>
      </c>
      <c r="B521" t="s">
        <v>2089</v>
      </c>
      <c r="C521" t="s">
        <v>2089</v>
      </c>
      <c r="D521" t="s">
        <v>3101</v>
      </c>
      <c r="E521" t="s">
        <v>2090</v>
      </c>
      <c r="F521" t="s">
        <v>2091</v>
      </c>
      <c r="G521" t="s">
        <v>79</v>
      </c>
      <c r="H521" t="s">
        <v>80</v>
      </c>
      <c r="I521" t="s">
        <v>3102</v>
      </c>
      <c r="J521" t="s">
        <v>3102</v>
      </c>
      <c r="K521" t="s">
        <v>3103</v>
      </c>
      <c r="R521" t="s">
        <v>73</v>
      </c>
      <c r="S521" t="s">
        <v>73</v>
      </c>
      <c r="U521" t="s">
        <v>73</v>
      </c>
      <c r="V521" t="s">
        <v>73</v>
      </c>
      <c r="X521" t="s">
        <v>73</v>
      </c>
      <c r="Y521" t="s">
        <v>73</v>
      </c>
      <c r="AA521" t="s">
        <v>73</v>
      </c>
      <c r="AB521" t="s">
        <v>73</v>
      </c>
      <c r="AF521">
        <v>396.62239544136787</v>
      </c>
      <c r="AG521">
        <v>6.2</v>
      </c>
      <c r="AH521">
        <v>9</v>
      </c>
      <c r="AI521">
        <v>357</v>
      </c>
      <c r="AJ521">
        <v>150.80266160151984</v>
      </c>
      <c r="AK521">
        <v>621.79999999999995</v>
      </c>
      <c r="AM521">
        <v>99.123726242127773</v>
      </c>
      <c r="AN521">
        <v>448</v>
      </c>
      <c r="AO521" t="s">
        <v>5972</v>
      </c>
      <c r="AP521" t="s">
        <v>3101</v>
      </c>
    </row>
    <row r="522" spans="1:42" x14ac:dyDescent="0.25">
      <c r="A522">
        <v>521</v>
      </c>
      <c r="B522" t="s">
        <v>3359</v>
      </c>
      <c r="C522" t="s">
        <v>3359</v>
      </c>
      <c r="D522" t="s">
        <v>4831</v>
      </c>
      <c r="E522" t="s">
        <v>169</v>
      </c>
      <c r="F522" t="s">
        <v>170</v>
      </c>
      <c r="G522" t="s">
        <v>79</v>
      </c>
      <c r="H522" t="s">
        <v>80</v>
      </c>
      <c r="I522" t="s">
        <v>4830</v>
      </c>
      <c r="J522" t="s">
        <v>171</v>
      </c>
      <c r="K522" t="s">
        <v>172</v>
      </c>
      <c r="L522" t="s">
        <v>4828</v>
      </c>
      <c r="M522" t="s">
        <v>4829</v>
      </c>
      <c r="R522" t="s">
        <v>2420</v>
      </c>
      <c r="S522" t="s">
        <v>2421</v>
      </c>
      <c r="T522">
        <v>5</v>
      </c>
      <c r="U522" t="s">
        <v>73</v>
      </c>
      <c r="V522" t="s">
        <v>73</v>
      </c>
      <c r="X522" t="s">
        <v>2440</v>
      </c>
      <c r="Y522" t="s">
        <v>2441</v>
      </c>
      <c r="Z522">
        <v>2</v>
      </c>
      <c r="AA522" t="s">
        <v>73</v>
      </c>
      <c r="AB522" t="s">
        <v>73</v>
      </c>
      <c r="AF522">
        <v>396.3925842588385</v>
      </c>
      <c r="AG522">
        <v>6.8</v>
      </c>
      <c r="AH522">
        <v>4</v>
      </c>
      <c r="AI522">
        <v>515</v>
      </c>
      <c r="AJ522">
        <v>117.76953806537612</v>
      </c>
      <c r="AK522">
        <v>680.8</v>
      </c>
      <c r="AM522">
        <v>80.87735329152656</v>
      </c>
      <c r="AN522">
        <v>336</v>
      </c>
      <c r="AO522" t="s">
        <v>5973</v>
      </c>
      <c r="AP522" t="s">
        <v>4831</v>
      </c>
    </row>
    <row r="523" spans="1:42" x14ac:dyDescent="0.25">
      <c r="A523">
        <v>522</v>
      </c>
      <c r="B523" t="s">
        <v>1658</v>
      </c>
      <c r="C523" t="s">
        <v>1658</v>
      </c>
      <c r="D523" t="s">
        <v>1659</v>
      </c>
      <c r="E523" t="s">
        <v>169</v>
      </c>
      <c r="F523" t="s">
        <v>170</v>
      </c>
      <c r="G523" t="s">
        <v>79</v>
      </c>
      <c r="H523" t="s">
        <v>80</v>
      </c>
      <c r="I523" t="s">
        <v>1660</v>
      </c>
      <c r="J523" t="s">
        <v>171</v>
      </c>
      <c r="K523" t="s">
        <v>172</v>
      </c>
      <c r="O523" t="s">
        <v>2585</v>
      </c>
      <c r="P523" t="s">
        <v>2585</v>
      </c>
      <c r="Q523">
        <v>13</v>
      </c>
      <c r="R523" t="s">
        <v>2409</v>
      </c>
      <c r="S523" t="s">
        <v>2410</v>
      </c>
      <c r="T523">
        <v>2</v>
      </c>
      <c r="U523" t="s">
        <v>73</v>
      </c>
      <c r="V523" t="s">
        <v>73</v>
      </c>
      <c r="X523" t="s">
        <v>2446</v>
      </c>
      <c r="Y523" t="s">
        <v>2447</v>
      </c>
      <c r="Z523">
        <v>4</v>
      </c>
      <c r="AA523" t="s">
        <v>73</v>
      </c>
      <c r="AB523" t="s">
        <v>73</v>
      </c>
      <c r="AF523">
        <v>396.24376393292209</v>
      </c>
      <c r="AG523">
        <v>6.7857142857142998</v>
      </c>
      <c r="AH523">
        <v>13</v>
      </c>
      <c r="AI523">
        <v>522</v>
      </c>
      <c r="AJ523">
        <v>117.39783294134121</v>
      </c>
      <c r="AK523">
        <v>681.17142857143006</v>
      </c>
      <c r="AM523">
        <v>80.35696611787769</v>
      </c>
      <c r="AN523">
        <v>336</v>
      </c>
      <c r="AO523" t="s">
        <v>5974</v>
      </c>
      <c r="AP523" t="s">
        <v>1659</v>
      </c>
    </row>
    <row r="524" spans="1:42" x14ac:dyDescent="0.25">
      <c r="A524">
        <v>523</v>
      </c>
      <c r="B524" t="s">
        <v>4015</v>
      </c>
      <c r="C524" t="s">
        <v>4015</v>
      </c>
      <c r="D524" t="s">
        <v>4028</v>
      </c>
      <c r="E524" t="s">
        <v>3643</v>
      </c>
      <c r="F524" t="s">
        <v>786</v>
      </c>
      <c r="G524" t="s">
        <v>60</v>
      </c>
      <c r="H524" t="s">
        <v>61</v>
      </c>
      <c r="J524" t="s">
        <v>4014</v>
      </c>
      <c r="K524" t="s">
        <v>3391</v>
      </c>
      <c r="R524" t="s">
        <v>2409</v>
      </c>
      <c r="S524" t="s">
        <v>2410</v>
      </c>
      <c r="T524">
        <v>2</v>
      </c>
      <c r="U524" t="s">
        <v>73</v>
      </c>
      <c r="V524" t="s">
        <v>73</v>
      </c>
      <c r="X524" t="s">
        <v>2440</v>
      </c>
      <c r="Y524" t="s">
        <v>2441</v>
      </c>
      <c r="Z524">
        <v>2</v>
      </c>
      <c r="AA524" t="s">
        <v>73</v>
      </c>
      <c r="AB524" t="s">
        <v>73</v>
      </c>
      <c r="AF524">
        <v>396.13401036959306</v>
      </c>
      <c r="AG524">
        <v>6.25</v>
      </c>
      <c r="AH524">
        <v>3</v>
      </c>
      <c r="AI524">
        <v>365</v>
      </c>
      <c r="AJ524">
        <v>148.14890041065891</v>
      </c>
      <c r="AK524">
        <v>625.6</v>
      </c>
      <c r="AM524">
        <v>95.408460574922458</v>
      </c>
      <c r="AN524">
        <v>448</v>
      </c>
      <c r="AO524" t="s">
        <v>5975</v>
      </c>
      <c r="AP524" t="s">
        <v>4028</v>
      </c>
    </row>
    <row r="525" spans="1:42" x14ac:dyDescent="0.25">
      <c r="A525">
        <v>524</v>
      </c>
      <c r="B525" t="s">
        <v>538</v>
      </c>
      <c r="C525" t="s">
        <v>538</v>
      </c>
      <c r="D525" t="s">
        <v>539</v>
      </c>
      <c r="E525" t="s">
        <v>199</v>
      </c>
      <c r="F525" t="s">
        <v>200</v>
      </c>
      <c r="I525" t="s">
        <v>3012</v>
      </c>
      <c r="J525" t="s">
        <v>452</v>
      </c>
      <c r="K525" t="s">
        <v>453</v>
      </c>
      <c r="L525" t="s">
        <v>5223</v>
      </c>
      <c r="M525" t="s">
        <v>5224</v>
      </c>
      <c r="R525" t="s">
        <v>73</v>
      </c>
      <c r="S525" t="s">
        <v>73</v>
      </c>
      <c r="U525" t="s">
        <v>73</v>
      </c>
      <c r="V525" t="s">
        <v>73</v>
      </c>
      <c r="X525" t="s">
        <v>73</v>
      </c>
      <c r="Y525" t="s">
        <v>73</v>
      </c>
      <c r="AF525">
        <v>395.63839971006189</v>
      </c>
      <c r="AG525">
        <v>8.2692307692308002</v>
      </c>
      <c r="AH525">
        <v>25</v>
      </c>
      <c r="AI525">
        <v>919</v>
      </c>
      <c r="AJ525">
        <v>32.974290276135413</v>
      </c>
      <c r="AK525">
        <v>831.92307692307998</v>
      </c>
      <c r="AM525">
        <v>46.164006386589577</v>
      </c>
      <c r="AN525">
        <v>0</v>
      </c>
      <c r="AO525" t="s">
        <v>5976</v>
      </c>
      <c r="AP525" t="s">
        <v>539</v>
      </c>
    </row>
    <row r="526" spans="1:42" x14ac:dyDescent="0.25">
      <c r="A526">
        <v>525</v>
      </c>
      <c r="B526" t="s">
        <v>2927</v>
      </c>
      <c r="C526" t="s">
        <v>4082</v>
      </c>
      <c r="D526" t="s">
        <v>458</v>
      </c>
      <c r="E526" t="s">
        <v>459</v>
      </c>
      <c r="F526" t="s">
        <v>459</v>
      </c>
      <c r="G526" t="s">
        <v>257</v>
      </c>
      <c r="H526" t="s">
        <v>258</v>
      </c>
      <c r="R526" t="s">
        <v>2409</v>
      </c>
      <c r="S526" t="s">
        <v>2410</v>
      </c>
      <c r="T526">
        <v>2</v>
      </c>
      <c r="U526" t="s">
        <v>3137</v>
      </c>
      <c r="V526" t="s">
        <v>3136</v>
      </c>
      <c r="W526">
        <v>5</v>
      </c>
      <c r="X526" t="s">
        <v>2446</v>
      </c>
      <c r="Y526" t="s">
        <v>2447</v>
      </c>
      <c r="Z526">
        <v>4</v>
      </c>
      <c r="AA526" t="s">
        <v>73</v>
      </c>
      <c r="AB526" t="s">
        <v>73</v>
      </c>
      <c r="AF526">
        <v>395.62671739788095</v>
      </c>
      <c r="AG526">
        <v>7.95</v>
      </c>
      <c r="AH526">
        <v>19</v>
      </c>
      <c r="AI526">
        <v>814</v>
      </c>
      <c r="AJ526">
        <v>51.36301933097883</v>
      </c>
      <c r="AK526">
        <v>798.8</v>
      </c>
      <c r="AL526">
        <v>2004</v>
      </c>
      <c r="AM526">
        <v>43.908227063370362</v>
      </c>
      <c r="AN526">
        <v>112</v>
      </c>
      <c r="AO526" t="s">
        <v>5977</v>
      </c>
      <c r="AP526" t="s">
        <v>458</v>
      </c>
    </row>
    <row r="527" spans="1:42" x14ac:dyDescent="0.25">
      <c r="A527">
        <v>526</v>
      </c>
      <c r="B527" t="s">
        <v>654</v>
      </c>
      <c r="C527" t="s">
        <v>4165</v>
      </c>
      <c r="D527" t="s">
        <v>655</v>
      </c>
      <c r="E527" t="s">
        <v>137</v>
      </c>
      <c r="F527" t="s">
        <v>138</v>
      </c>
      <c r="G527" t="s">
        <v>139</v>
      </c>
      <c r="H527" t="s">
        <v>140</v>
      </c>
      <c r="I527" t="s">
        <v>656</v>
      </c>
      <c r="J527" t="s">
        <v>651</v>
      </c>
      <c r="K527" t="s">
        <v>652</v>
      </c>
      <c r="L527" t="s">
        <v>4704</v>
      </c>
      <c r="M527" t="s">
        <v>4705</v>
      </c>
      <c r="R527" t="s">
        <v>2414</v>
      </c>
      <c r="S527" t="s">
        <v>2415</v>
      </c>
      <c r="T527">
        <v>3</v>
      </c>
      <c r="U527" t="s">
        <v>73</v>
      </c>
      <c r="V527" t="s">
        <v>73</v>
      </c>
      <c r="X527" t="s">
        <v>73</v>
      </c>
      <c r="Y527" t="s">
        <v>73</v>
      </c>
      <c r="AA527" t="s">
        <v>73</v>
      </c>
      <c r="AB527" t="s">
        <v>73</v>
      </c>
      <c r="AF527">
        <v>395.49660397809339</v>
      </c>
      <c r="AG527">
        <v>6.7692307692308002</v>
      </c>
      <c r="AH527">
        <v>12</v>
      </c>
      <c r="AI527">
        <v>516</v>
      </c>
      <c r="AJ527">
        <v>117.59451724061486</v>
      </c>
      <c r="AK527">
        <v>679.32307692307995</v>
      </c>
      <c r="AM527">
        <v>164.6323241368608</v>
      </c>
      <c r="AN527">
        <v>0</v>
      </c>
      <c r="AO527" t="s">
        <v>5978</v>
      </c>
      <c r="AP527" t="s">
        <v>655</v>
      </c>
    </row>
    <row r="528" spans="1:42" x14ac:dyDescent="0.25">
      <c r="A528">
        <v>527</v>
      </c>
      <c r="B528" t="s">
        <v>1788</v>
      </c>
      <c r="C528" t="s">
        <v>1789</v>
      </c>
      <c r="D528" t="s">
        <v>3298</v>
      </c>
      <c r="E528" t="s">
        <v>300</v>
      </c>
      <c r="F528" t="s">
        <v>301</v>
      </c>
      <c r="G528" t="s">
        <v>151</v>
      </c>
      <c r="H528" t="s">
        <v>152</v>
      </c>
      <c r="I528" t="s">
        <v>1789</v>
      </c>
      <c r="J528" t="s">
        <v>3254</v>
      </c>
      <c r="K528" t="s">
        <v>3255</v>
      </c>
      <c r="Q528">
        <v>13</v>
      </c>
      <c r="R528" t="s">
        <v>2414</v>
      </c>
      <c r="S528" t="s">
        <v>2415</v>
      </c>
      <c r="T528">
        <v>3</v>
      </c>
      <c r="U528" t="s">
        <v>3137</v>
      </c>
      <c r="V528" t="s">
        <v>3136</v>
      </c>
      <c r="W528">
        <v>5</v>
      </c>
      <c r="X528" t="s">
        <v>2440</v>
      </c>
      <c r="Y528" t="s">
        <v>2441</v>
      </c>
      <c r="Z528">
        <v>2</v>
      </c>
      <c r="AA528" t="s">
        <v>73</v>
      </c>
      <c r="AB528" t="s">
        <v>73</v>
      </c>
      <c r="AF528">
        <v>395.4</v>
      </c>
      <c r="AG528">
        <v>7.4</v>
      </c>
      <c r="AH528">
        <v>34</v>
      </c>
      <c r="AI528">
        <v>674</v>
      </c>
      <c r="AJ528">
        <v>80</v>
      </c>
      <c r="AK528">
        <v>746.8</v>
      </c>
      <c r="AM528">
        <v>0</v>
      </c>
      <c r="AN528">
        <v>448</v>
      </c>
      <c r="AO528" t="s">
        <v>5979</v>
      </c>
      <c r="AP528" t="s">
        <v>3298</v>
      </c>
    </row>
    <row r="529" spans="1:42" x14ac:dyDescent="0.25">
      <c r="A529">
        <v>528</v>
      </c>
      <c r="B529" t="s">
        <v>1108</v>
      </c>
      <c r="C529" t="s">
        <v>4145</v>
      </c>
      <c r="D529" t="s">
        <v>1109</v>
      </c>
      <c r="E529" t="s">
        <v>199</v>
      </c>
      <c r="F529" t="s">
        <v>200</v>
      </c>
      <c r="I529" t="s">
        <v>1110</v>
      </c>
      <c r="J529" t="s">
        <v>447</v>
      </c>
      <c r="K529" t="s">
        <v>448</v>
      </c>
      <c r="L529" t="s">
        <v>5167</v>
      </c>
      <c r="M529" t="s">
        <v>5168</v>
      </c>
      <c r="Q529">
        <v>12</v>
      </c>
      <c r="R529" t="s">
        <v>2406</v>
      </c>
      <c r="S529" t="s">
        <v>2407</v>
      </c>
      <c r="T529">
        <v>1</v>
      </c>
      <c r="U529" t="s">
        <v>2430</v>
      </c>
      <c r="V529" t="s">
        <v>2431</v>
      </c>
      <c r="W529">
        <v>6</v>
      </c>
      <c r="X529" t="s">
        <v>2446</v>
      </c>
      <c r="Y529" t="s">
        <v>2447</v>
      </c>
      <c r="Z529">
        <v>4</v>
      </c>
      <c r="AA529" t="s">
        <v>1111</v>
      </c>
      <c r="AB529" t="s">
        <v>1112</v>
      </c>
      <c r="AC529" t="s">
        <v>1113</v>
      </c>
      <c r="AD529" t="s">
        <v>1113</v>
      </c>
      <c r="AE529" t="s">
        <v>1114</v>
      </c>
      <c r="AF529">
        <v>394.95030384455345</v>
      </c>
      <c r="AG529">
        <v>5.6176470588234997</v>
      </c>
      <c r="AH529">
        <v>33</v>
      </c>
      <c r="AI529">
        <v>274</v>
      </c>
      <c r="AJ529">
        <v>178.63105655930937</v>
      </c>
      <c r="AK529">
        <v>568.36470588234999</v>
      </c>
      <c r="AL529">
        <v>2005</v>
      </c>
      <c r="AM529">
        <v>250.08347918303309</v>
      </c>
      <c r="AN529">
        <v>0</v>
      </c>
      <c r="AO529" t="s">
        <v>5980</v>
      </c>
      <c r="AP529" t="s">
        <v>1109</v>
      </c>
    </row>
    <row r="530" spans="1:42" x14ac:dyDescent="0.25">
      <c r="A530">
        <v>529</v>
      </c>
      <c r="B530" t="s">
        <v>107</v>
      </c>
      <c r="C530" t="s">
        <v>107</v>
      </c>
      <c r="D530" t="s">
        <v>5981</v>
      </c>
      <c r="E530" t="s">
        <v>1478</v>
      </c>
      <c r="F530" t="s">
        <v>1479</v>
      </c>
      <c r="G530" t="s">
        <v>632</v>
      </c>
      <c r="H530" t="s">
        <v>633</v>
      </c>
      <c r="I530" t="s">
        <v>2811</v>
      </c>
      <c r="J530" t="s">
        <v>3132</v>
      </c>
      <c r="K530" t="s">
        <v>3162</v>
      </c>
      <c r="O530" t="s">
        <v>63</v>
      </c>
      <c r="P530" t="s">
        <v>64</v>
      </c>
      <c r="Q530">
        <v>13</v>
      </c>
      <c r="R530" t="s">
        <v>2417</v>
      </c>
      <c r="S530" t="s">
        <v>2418</v>
      </c>
      <c r="T530">
        <v>4</v>
      </c>
      <c r="U530" t="s">
        <v>3137</v>
      </c>
      <c r="V530" t="s">
        <v>3136</v>
      </c>
      <c r="W530">
        <v>5</v>
      </c>
      <c r="X530" t="s">
        <v>2446</v>
      </c>
      <c r="Y530" t="s">
        <v>2447</v>
      </c>
      <c r="Z530">
        <v>4</v>
      </c>
      <c r="AF530">
        <v>394.8472839195727</v>
      </c>
      <c r="AG530">
        <v>4.1111111111111001</v>
      </c>
      <c r="AH530">
        <v>8</v>
      </c>
      <c r="AI530">
        <v>125</v>
      </c>
      <c r="AJ530">
        <v>264.99080929335298</v>
      </c>
      <c r="AK530">
        <v>412.71111111111003</v>
      </c>
      <c r="AM530">
        <v>258.98713301069415</v>
      </c>
      <c r="AN530">
        <v>448</v>
      </c>
      <c r="AO530" t="s">
        <v>5982</v>
      </c>
      <c r="AP530" t="s">
        <v>5981</v>
      </c>
    </row>
    <row r="531" spans="1:42" x14ac:dyDescent="0.25">
      <c r="A531">
        <v>530</v>
      </c>
      <c r="B531" t="s">
        <v>2925</v>
      </c>
      <c r="C531" t="s">
        <v>4158</v>
      </c>
      <c r="D531" t="s">
        <v>2868</v>
      </c>
      <c r="E531" t="s">
        <v>420</v>
      </c>
      <c r="F531" t="s">
        <v>421</v>
      </c>
      <c r="G531" t="s">
        <v>179</v>
      </c>
      <c r="H531" t="s">
        <v>180</v>
      </c>
      <c r="I531" t="s">
        <v>1885</v>
      </c>
      <c r="O531" t="s">
        <v>2871</v>
      </c>
      <c r="P531" t="s">
        <v>2871</v>
      </c>
      <c r="Q531">
        <v>15</v>
      </c>
      <c r="R531" t="s">
        <v>2417</v>
      </c>
      <c r="S531" t="s">
        <v>2418</v>
      </c>
      <c r="T531">
        <v>4</v>
      </c>
      <c r="U531" t="s">
        <v>2430</v>
      </c>
      <c r="V531" t="s">
        <v>2431</v>
      </c>
      <c r="W531">
        <v>6</v>
      </c>
      <c r="X531" t="s">
        <v>2440</v>
      </c>
      <c r="Y531" t="s">
        <v>2441</v>
      </c>
      <c r="Z531">
        <v>2</v>
      </c>
      <c r="AA531" t="s">
        <v>2870</v>
      </c>
      <c r="AB531" t="s">
        <v>2870</v>
      </c>
      <c r="AC531" t="s">
        <v>2869</v>
      </c>
      <c r="AD531" t="s">
        <v>2869</v>
      </c>
      <c r="AF531">
        <v>394.79501777655258</v>
      </c>
      <c r="AG531">
        <v>6.2857142857142998</v>
      </c>
      <c r="AH531">
        <v>6</v>
      </c>
      <c r="AI531">
        <v>393</v>
      </c>
      <c r="AJ531">
        <v>144.34367054537503</v>
      </c>
      <c r="AK531">
        <v>629.77142857143008</v>
      </c>
      <c r="AM531">
        <v>90.081138763525047</v>
      </c>
      <c r="AN531">
        <v>448</v>
      </c>
      <c r="AO531" t="s">
        <v>5983</v>
      </c>
      <c r="AP531" t="s">
        <v>2868</v>
      </c>
    </row>
    <row r="532" spans="1:42" x14ac:dyDescent="0.25">
      <c r="A532">
        <v>531</v>
      </c>
      <c r="B532" t="s">
        <v>1398</v>
      </c>
      <c r="C532" t="s">
        <v>1398</v>
      </c>
      <c r="D532" t="s">
        <v>4615</v>
      </c>
      <c r="E532" t="s">
        <v>137</v>
      </c>
      <c r="F532" t="s">
        <v>138</v>
      </c>
      <c r="G532" t="s">
        <v>139</v>
      </c>
      <c r="H532" t="s">
        <v>140</v>
      </c>
      <c r="I532" t="s">
        <v>1399</v>
      </c>
      <c r="J532" t="s">
        <v>1234</v>
      </c>
      <c r="K532" t="s">
        <v>1235</v>
      </c>
      <c r="L532" t="s">
        <v>4616</v>
      </c>
      <c r="M532" t="s">
        <v>4617</v>
      </c>
      <c r="R532" t="s">
        <v>73</v>
      </c>
      <c r="S532" t="s">
        <v>73</v>
      </c>
      <c r="U532" t="s">
        <v>73</v>
      </c>
      <c r="V532" t="s">
        <v>73</v>
      </c>
      <c r="X532" t="s">
        <v>73</v>
      </c>
      <c r="Y532" t="s">
        <v>73</v>
      </c>
      <c r="AA532" t="s">
        <v>73</v>
      </c>
      <c r="AB532" t="s">
        <v>73</v>
      </c>
      <c r="AF532">
        <v>394.70406226832267</v>
      </c>
      <c r="AG532">
        <v>6.24</v>
      </c>
      <c r="AH532">
        <v>24</v>
      </c>
      <c r="AI532">
        <v>392</v>
      </c>
      <c r="AJ532">
        <v>144.78229140924739</v>
      </c>
      <c r="AK532">
        <v>628.79999999999995</v>
      </c>
      <c r="AM532">
        <v>202.69520797294632</v>
      </c>
      <c r="AN532">
        <v>0</v>
      </c>
      <c r="AO532" t="s">
        <v>5984</v>
      </c>
      <c r="AP532" t="s">
        <v>4615</v>
      </c>
    </row>
    <row r="533" spans="1:42" x14ac:dyDescent="0.25">
      <c r="A533">
        <v>532</v>
      </c>
      <c r="B533" t="s">
        <v>3719</v>
      </c>
      <c r="C533" t="s">
        <v>3719</v>
      </c>
      <c r="D533" t="s">
        <v>3720</v>
      </c>
      <c r="E533" t="s">
        <v>183</v>
      </c>
      <c r="F533" t="s">
        <v>184</v>
      </c>
      <c r="G533" t="s">
        <v>158</v>
      </c>
      <c r="H533" t="s">
        <v>159</v>
      </c>
      <c r="J533" t="s">
        <v>185</v>
      </c>
      <c r="K533" t="s">
        <v>3021</v>
      </c>
      <c r="Q533">
        <v>12</v>
      </c>
      <c r="R533" t="s">
        <v>2409</v>
      </c>
      <c r="S533" t="s">
        <v>2410</v>
      </c>
      <c r="T533">
        <v>2</v>
      </c>
      <c r="U533" t="s">
        <v>2432</v>
      </c>
      <c r="V533" t="s">
        <v>2433</v>
      </c>
      <c r="W533">
        <v>7</v>
      </c>
      <c r="X533" t="s">
        <v>2440</v>
      </c>
      <c r="Y533" t="s">
        <v>2441</v>
      </c>
      <c r="Z533">
        <v>2</v>
      </c>
      <c r="AA533" t="s">
        <v>73</v>
      </c>
      <c r="AB533" t="s">
        <v>73</v>
      </c>
      <c r="AE533" t="s">
        <v>3974</v>
      </c>
      <c r="AF533">
        <v>394.70127675249989</v>
      </c>
      <c r="AG533">
        <v>7.6363636363636003</v>
      </c>
      <c r="AH533">
        <v>10</v>
      </c>
      <c r="AI533">
        <v>742</v>
      </c>
      <c r="AJ533">
        <v>68.758994371466528</v>
      </c>
      <c r="AK533">
        <v>765.63636363635999</v>
      </c>
      <c r="AM533">
        <v>96.262592120053142</v>
      </c>
      <c r="AN533">
        <v>0</v>
      </c>
      <c r="AO533" t="s">
        <v>5985</v>
      </c>
      <c r="AP533" t="s">
        <v>3720</v>
      </c>
    </row>
    <row r="534" spans="1:42" x14ac:dyDescent="0.25">
      <c r="A534">
        <v>533</v>
      </c>
      <c r="B534" t="s">
        <v>1426</v>
      </c>
      <c r="C534" t="s">
        <v>1426</v>
      </c>
      <c r="D534" t="s">
        <v>5417</v>
      </c>
      <c r="E534" t="s">
        <v>67</v>
      </c>
      <c r="F534" t="s">
        <v>68</v>
      </c>
      <c r="G534" t="s">
        <v>3845</v>
      </c>
      <c r="H534" t="s">
        <v>3846</v>
      </c>
      <c r="I534" t="s">
        <v>5386</v>
      </c>
      <c r="J534" t="s">
        <v>328</v>
      </c>
      <c r="K534" t="s">
        <v>329</v>
      </c>
      <c r="L534" t="s">
        <v>5387</v>
      </c>
      <c r="M534" t="s">
        <v>5388</v>
      </c>
      <c r="O534" t="s">
        <v>2572</v>
      </c>
      <c r="P534" t="s">
        <v>2572</v>
      </c>
      <c r="Q534">
        <v>14</v>
      </c>
      <c r="R534" t="s">
        <v>2406</v>
      </c>
      <c r="S534" t="s">
        <v>2407</v>
      </c>
      <c r="T534">
        <v>1</v>
      </c>
      <c r="U534" t="s">
        <v>3137</v>
      </c>
      <c r="V534" t="s">
        <v>3136</v>
      </c>
      <c r="W534">
        <v>5</v>
      </c>
      <c r="X534" t="s">
        <v>2437</v>
      </c>
      <c r="Y534" t="s">
        <v>2438</v>
      </c>
      <c r="Z534">
        <v>1</v>
      </c>
      <c r="AA534" t="s">
        <v>73</v>
      </c>
      <c r="AB534" t="s">
        <v>73</v>
      </c>
      <c r="AF534">
        <v>394.51321804477271</v>
      </c>
      <c r="AG534">
        <v>7.7272727272727</v>
      </c>
      <c r="AH534">
        <v>10</v>
      </c>
      <c r="AI534">
        <v>754</v>
      </c>
      <c r="AJ534">
        <v>63.499535201264138</v>
      </c>
      <c r="AK534">
        <v>774.72727272727002</v>
      </c>
      <c r="AM534">
        <v>60.899349281769794</v>
      </c>
      <c r="AN534">
        <v>112</v>
      </c>
      <c r="AO534" t="s">
        <v>5986</v>
      </c>
      <c r="AP534" t="s">
        <v>5417</v>
      </c>
    </row>
    <row r="535" spans="1:42" x14ac:dyDescent="0.25">
      <c r="A535">
        <v>534</v>
      </c>
      <c r="B535" t="s">
        <v>3379</v>
      </c>
      <c r="C535" t="s">
        <v>3379</v>
      </c>
      <c r="D535" t="s">
        <v>3414</v>
      </c>
      <c r="E535" t="s">
        <v>67</v>
      </c>
      <c r="F535" t="s">
        <v>68</v>
      </c>
      <c r="G535" t="s">
        <v>3843</v>
      </c>
      <c r="H535" t="s">
        <v>3844</v>
      </c>
      <c r="J535" t="s">
        <v>580</v>
      </c>
      <c r="K535" t="s">
        <v>581</v>
      </c>
      <c r="L535" t="s">
        <v>5117</v>
      </c>
      <c r="M535" t="s">
        <v>5118</v>
      </c>
      <c r="Q535">
        <v>13</v>
      </c>
      <c r="R535" t="s">
        <v>2409</v>
      </c>
      <c r="S535" t="s">
        <v>2410</v>
      </c>
      <c r="T535">
        <v>2</v>
      </c>
      <c r="U535" t="s">
        <v>2432</v>
      </c>
      <c r="V535" t="s">
        <v>2433</v>
      </c>
      <c r="W535">
        <v>7</v>
      </c>
      <c r="X535" t="s">
        <v>2443</v>
      </c>
      <c r="Y535" t="s">
        <v>2444</v>
      </c>
      <c r="Z535">
        <v>3</v>
      </c>
      <c r="AA535" t="s">
        <v>73</v>
      </c>
      <c r="AB535" t="s">
        <v>73</v>
      </c>
      <c r="AF535">
        <v>394.30189399665937</v>
      </c>
      <c r="AG535">
        <v>5.6</v>
      </c>
      <c r="AH535">
        <v>4</v>
      </c>
      <c r="AI535">
        <v>263</v>
      </c>
      <c r="AJ535">
        <v>182.11321555184372</v>
      </c>
      <c r="AK535">
        <v>560.79999999999995</v>
      </c>
      <c r="AM535">
        <v>254.9585017725812</v>
      </c>
      <c r="AN535">
        <v>0</v>
      </c>
      <c r="AO535" t="s">
        <v>5987</v>
      </c>
      <c r="AP535" t="s">
        <v>3414</v>
      </c>
    </row>
    <row r="536" spans="1:42" x14ac:dyDescent="0.25">
      <c r="A536">
        <v>535</v>
      </c>
      <c r="B536" t="s">
        <v>3337</v>
      </c>
      <c r="C536" t="s">
        <v>3337</v>
      </c>
      <c r="D536" t="s">
        <v>3499</v>
      </c>
      <c r="E536" t="s">
        <v>3500</v>
      </c>
      <c r="F536" t="s">
        <v>3498</v>
      </c>
      <c r="G536" t="s">
        <v>632</v>
      </c>
      <c r="H536" t="s">
        <v>633</v>
      </c>
      <c r="Q536">
        <v>15</v>
      </c>
      <c r="R536" t="s">
        <v>2420</v>
      </c>
      <c r="S536" t="s">
        <v>2421</v>
      </c>
      <c r="T536">
        <v>5</v>
      </c>
      <c r="U536" t="s">
        <v>3137</v>
      </c>
      <c r="V536" t="s">
        <v>3136</v>
      </c>
      <c r="W536">
        <v>5</v>
      </c>
      <c r="X536" t="s">
        <v>2446</v>
      </c>
      <c r="Y536" t="s">
        <v>2447</v>
      </c>
      <c r="Z536">
        <v>4</v>
      </c>
      <c r="AA536" t="s">
        <v>73</v>
      </c>
      <c r="AB536" t="s">
        <v>73</v>
      </c>
      <c r="AF536">
        <v>394.19517851126966</v>
      </c>
      <c r="AG536">
        <v>6.75</v>
      </c>
      <c r="AH536">
        <v>3</v>
      </c>
      <c r="AI536">
        <v>513</v>
      </c>
      <c r="AJ536">
        <v>118.21686501252185</v>
      </c>
      <c r="AK536">
        <v>675.6</v>
      </c>
      <c r="AM536">
        <v>53.503611017530567</v>
      </c>
      <c r="AN536">
        <v>448</v>
      </c>
      <c r="AO536" t="s">
        <v>5988</v>
      </c>
      <c r="AP536" t="s">
        <v>3499</v>
      </c>
    </row>
    <row r="537" spans="1:42" x14ac:dyDescent="0.25">
      <c r="A537">
        <v>536</v>
      </c>
      <c r="B537" t="s">
        <v>3750</v>
      </c>
      <c r="C537" t="s">
        <v>3750</v>
      </c>
      <c r="D537" t="s">
        <v>4801</v>
      </c>
      <c r="E537" t="s">
        <v>556</v>
      </c>
      <c r="F537" t="s">
        <v>557</v>
      </c>
      <c r="G537" t="s">
        <v>60</v>
      </c>
      <c r="H537" t="s">
        <v>61</v>
      </c>
      <c r="J537" t="s">
        <v>3756</v>
      </c>
      <c r="K537" t="s">
        <v>3757</v>
      </c>
      <c r="L537" t="s">
        <v>4794</v>
      </c>
      <c r="M537" t="s">
        <v>4795</v>
      </c>
      <c r="R537" t="s">
        <v>73</v>
      </c>
      <c r="S537" t="s">
        <v>73</v>
      </c>
      <c r="U537" t="s">
        <v>73</v>
      </c>
      <c r="V537" t="s">
        <v>73</v>
      </c>
      <c r="X537" t="s">
        <v>73</v>
      </c>
      <c r="Y537" t="s">
        <v>73</v>
      </c>
      <c r="AA537" t="s">
        <v>73</v>
      </c>
      <c r="AB537" t="s">
        <v>73</v>
      </c>
      <c r="AF537">
        <v>393.74285714285503</v>
      </c>
      <c r="AG537">
        <v>8.1428571428570997</v>
      </c>
      <c r="AH537">
        <v>6</v>
      </c>
      <c r="AI537">
        <v>849</v>
      </c>
      <c r="AJ537">
        <v>40</v>
      </c>
      <c r="AK537">
        <v>815.48571428571006</v>
      </c>
      <c r="AM537">
        <v>0</v>
      </c>
      <c r="AN537">
        <v>224</v>
      </c>
      <c r="AO537" t="s">
        <v>5989</v>
      </c>
      <c r="AP537" t="s">
        <v>4801</v>
      </c>
    </row>
    <row r="538" spans="1:42" x14ac:dyDescent="0.25">
      <c r="A538">
        <v>537</v>
      </c>
      <c r="B538" t="s">
        <v>1603</v>
      </c>
      <c r="C538" t="s">
        <v>1603</v>
      </c>
      <c r="D538" t="s">
        <v>5432</v>
      </c>
      <c r="E538" t="s">
        <v>67</v>
      </c>
      <c r="F538" t="s">
        <v>68</v>
      </c>
      <c r="G538" t="s">
        <v>3845</v>
      </c>
      <c r="H538" t="s">
        <v>3846</v>
      </c>
      <c r="I538" t="s">
        <v>1604</v>
      </c>
      <c r="J538" t="s">
        <v>3841</v>
      </c>
      <c r="K538" t="s">
        <v>775</v>
      </c>
      <c r="L538" t="s">
        <v>5433</v>
      </c>
      <c r="M538" t="s">
        <v>5434</v>
      </c>
      <c r="R538" t="s">
        <v>73</v>
      </c>
      <c r="S538" t="s">
        <v>73</v>
      </c>
      <c r="U538" t="s">
        <v>73</v>
      </c>
      <c r="V538" t="s">
        <v>73</v>
      </c>
      <c r="X538" t="s">
        <v>73</v>
      </c>
      <c r="Y538" t="s">
        <v>73</v>
      </c>
      <c r="AA538" t="s">
        <v>73</v>
      </c>
      <c r="AB538" t="s">
        <v>73</v>
      </c>
      <c r="AF538">
        <v>393.09805349660871</v>
      </c>
      <c r="AG538">
        <v>7.8181818181817997</v>
      </c>
      <c r="AH538">
        <v>10</v>
      </c>
      <c r="AI538">
        <v>806</v>
      </c>
      <c r="AJ538">
        <v>56.876625097243071</v>
      </c>
      <c r="AK538">
        <v>783.81818181817994</v>
      </c>
      <c r="AL538">
        <v>2007</v>
      </c>
      <c r="AM538">
        <v>51.627275136140305</v>
      </c>
      <c r="AN538">
        <v>112</v>
      </c>
      <c r="AO538" t="s">
        <v>5990</v>
      </c>
      <c r="AP538" t="s">
        <v>5432</v>
      </c>
    </row>
    <row r="539" spans="1:42" x14ac:dyDescent="0.25">
      <c r="A539">
        <v>538</v>
      </c>
      <c r="B539" t="s">
        <v>1564</v>
      </c>
      <c r="C539" t="s">
        <v>1564</v>
      </c>
      <c r="D539" t="s">
        <v>1565</v>
      </c>
      <c r="E539" t="s">
        <v>255</v>
      </c>
      <c r="F539" t="s">
        <v>256</v>
      </c>
      <c r="G539" t="s">
        <v>257</v>
      </c>
      <c r="H539" t="s">
        <v>258</v>
      </c>
      <c r="I539" t="s">
        <v>1566</v>
      </c>
      <c r="J539" t="s">
        <v>315</v>
      </c>
      <c r="K539" t="s">
        <v>316</v>
      </c>
      <c r="L539">
        <v>51.816388888888902</v>
      </c>
      <c r="M539">
        <v>5.0213888888888896</v>
      </c>
      <c r="Q539">
        <v>14</v>
      </c>
      <c r="R539" t="s">
        <v>2414</v>
      </c>
      <c r="S539" t="s">
        <v>2415</v>
      </c>
      <c r="T539">
        <v>3</v>
      </c>
      <c r="U539" t="s">
        <v>3137</v>
      </c>
      <c r="V539" t="s">
        <v>3136</v>
      </c>
      <c r="W539">
        <v>5</v>
      </c>
      <c r="X539" t="s">
        <v>2437</v>
      </c>
      <c r="Y539" t="s">
        <v>2438</v>
      </c>
      <c r="Z539">
        <v>1</v>
      </c>
      <c r="AA539" t="s">
        <v>1567</v>
      </c>
      <c r="AB539" t="s">
        <v>1568</v>
      </c>
      <c r="AC539" t="s">
        <v>1568</v>
      </c>
      <c r="AE539" t="s">
        <v>1569</v>
      </c>
      <c r="AF539">
        <v>393.07741868013773</v>
      </c>
      <c r="AG539">
        <v>7.3776223776223997</v>
      </c>
      <c r="AH539">
        <v>142</v>
      </c>
      <c r="AI539">
        <v>747</v>
      </c>
      <c r="AJ539">
        <v>66.662555332241979</v>
      </c>
      <c r="AK539">
        <v>766.1622377622399</v>
      </c>
      <c r="AL539">
        <v>2004</v>
      </c>
      <c r="AM539">
        <v>93.327577465138774</v>
      </c>
      <c r="AN539">
        <v>0</v>
      </c>
      <c r="AO539" t="s">
        <v>5991</v>
      </c>
      <c r="AP539" t="s">
        <v>1565</v>
      </c>
    </row>
    <row r="540" spans="1:42" x14ac:dyDescent="0.25">
      <c r="A540">
        <v>539</v>
      </c>
      <c r="B540" t="s">
        <v>1326</v>
      </c>
      <c r="C540" t="s">
        <v>1326</v>
      </c>
      <c r="D540" t="s">
        <v>3005</v>
      </c>
      <c r="E540" t="s">
        <v>137</v>
      </c>
      <c r="F540" t="s">
        <v>138</v>
      </c>
      <c r="G540" t="s">
        <v>139</v>
      </c>
      <c r="H540" t="s">
        <v>140</v>
      </c>
      <c r="I540" t="s">
        <v>1327</v>
      </c>
      <c r="J540" t="s">
        <v>426</v>
      </c>
      <c r="K540" t="s">
        <v>427</v>
      </c>
      <c r="L540" t="s">
        <v>4711</v>
      </c>
      <c r="M540" t="s">
        <v>4712</v>
      </c>
      <c r="Q540">
        <v>13</v>
      </c>
      <c r="R540" t="s">
        <v>73</v>
      </c>
      <c r="S540" t="s">
        <v>73</v>
      </c>
      <c r="U540" t="s">
        <v>73</v>
      </c>
      <c r="V540" t="s">
        <v>73</v>
      </c>
      <c r="X540" t="s">
        <v>2446</v>
      </c>
      <c r="Y540" t="s">
        <v>2447</v>
      </c>
      <c r="Z540">
        <v>4</v>
      </c>
      <c r="AA540" t="s">
        <v>73</v>
      </c>
      <c r="AB540" t="s">
        <v>73</v>
      </c>
      <c r="AF540">
        <v>393.06664190970042</v>
      </c>
      <c r="AG540">
        <v>7.7272727272727</v>
      </c>
      <c r="AH540">
        <v>10</v>
      </c>
      <c r="AI540">
        <v>761</v>
      </c>
      <c r="AJ540">
        <v>61.892228384517139</v>
      </c>
      <c r="AK540">
        <v>774.72727272727002</v>
      </c>
      <c r="AM540">
        <v>86.649119738323989</v>
      </c>
      <c r="AN540">
        <v>0</v>
      </c>
      <c r="AO540" t="s">
        <v>5992</v>
      </c>
      <c r="AP540" t="s">
        <v>3005</v>
      </c>
    </row>
    <row r="541" spans="1:42" x14ac:dyDescent="0.25">
      <c r="A541">
        <v>540</v>
      </c>
      <c r="B541" t="s">
        <v>2918</v>
      </c>
      <c r="C541" t="s">
        <v>2918</v>
      </c>
      <c r="D541" t="s">
        <v>754</v>
      </c>
      <c r="E541" t="s">
        <v>161</v>
      </c>
      <c r="F541" t="s">
        <v>161</v>
      </c>
      <c r="G541" t="s">
        <v>3167</v>
      </c>
      <c r="H541" t="s">
        <v>3166</v>
      </c>
      <c r="I541" t="s">
        <v>4129</v>
      </c>
      <c r="J541" t="s">
        <v>164</v>
      </c>
      <c r="K541" t="s">
        <v>165</v>
      </c>
      <c r="O541" t="s">
        <v>755</v>
      </c>
      <c r="P541" t="s">
        <v>755</v>
      </c>
      <c r="R541" t="s">
        <v>73</v>
      </c>
      <c r="S541" t="s">
        <v>73</v>
      </c>
      <c r="U541" t="s">
        <v>73</v>
      </c>
      <c r="V541" t="s">
        <v>73</v>
      </c>
      <c r="X541" t="s">
        <v>73</v>
      </c>
      <c r="Y541" t="s">
        <v>73</v>
      </c>
      <c r="AA541" t="s">
        <v>73</v>
      </c>
      <c r="AB541" t="s">
        <v>73</v>
      </c>
      <c r="AF541">
        <v>393.0573451468839</v>
      </c>
      <c r="AG541">
        <v>8.0555555555555998</v>
      </c>
      <c r="AH541">
        <v>17</v>
      </c>
      <c r="AI541">
        <v>835</v>
      </c>
      <c r="AJ541">
        <v>42.86618596567105</v>
      </c>
      <c r="AK541">
        <v>808.95555555555995</v>
      </c>
      <c r="AM541">
        <v>60.012660351939466</v>
      </c>
      <c r="AN541">
        <v>0</v>
      </c>
      <c r="AO541" t="s">
        <v>5993</v>
      </c>
      <c r="AP541" t="s">
        <v>754</v>
      </c>
    </row>
    <row r="542" spans="1:42" x14ac:dyDescent="0.25">
      <c r="A542">
        <v>541</v>
      </c>
      <c r="B542" t="s">
        <v>95</v>
      </c>
      <c r="C542" t="s">
        <v>95</v>
      </c>
      <c r="D542" t="s">
        <v>96</v>
      </c>
      <c r="E542" t="s">
        <v>97</v>
      </c>
      <c r="F542" t="s">
        <v>98</v>
      </c>
      <c r="G542" t="s">
        <v>108</v>
      </c>
      <c r="H542" t="s">
        <v>109</v>
      </c>
      <c r="O542" t="s">
        <v>63</v>
      </c>
      <c r="P542" t="s">
        <v>64</v>
      </c>
      <c r="Q542">
        <v>14</v>
      </c>
      <c r="R542" t="s">
        <v>2417</v>
      </c>
      <c r="S542" t="s">
        <v>2418</v>
      </c>
      <c r="T542">
        <v>4</v>
      </c>
      <c r="U542" t="s">
        <v>3137</v>
      </c>
      <c r="V542" t="s">
        <v>3136</v>
      </c>
      <c r="W542">
        <v>5</v>
      </c>
      <c r="X542" t="s">
        <v>2443</v>
      </c>
      <c r="Y542" t="s">
        <v>2444</v>
      </c>
      <c r="Z542">
        <v>3</v>
      </c>
      <c r="AF542">
        <v>392.9</v>
      </c>
      <c r="AG542">
        <v>8.1</v>
      </c>
      <c r="AH542">
        <v>19</v>
      </c>
      <c r="AI542">
        <v>850</v>
      </c>
      <c r="AJ542">
        <v>40</v>
      </c>
      <c r="AK542">
        <v>813.8</v>
      </c>
      <c r="AM542">
        <v>0</v>
      </c>
      <c r="AN542">
        <v>224</v>
      </c>
      <c r="AO542" t="s">
        <v>5994</v>
      </c>
      <c r="AP542" t="s">
        <v>96</v>
      </c>
    </row>
    <row r="543" spans="1:42" x14ac:dyDescent="0.25">
      <c r="A543">
        <v>542</v>
      </c>
      <c r="B543" t="s">
        <v>2862</v>
      </c>
      <c r="C543" t="s">
        <v>2862</v>
      </c>
      <c r="D543" t="s">
        <v>2849</v>
      </c>
      <c r="E543" t="s">
        <v>91</v>
      </c>
      <c r="F543" t="s">
        <v>92</v>
      </c>
      <c r="G543" t="s">
        <v>93</v>
      </c>
      <c r="H543" t="s">
        <v>94</v>
      </c>
      <c r="I543" t="s">
        <v>2993</v>
      </c>
      <c r="J543" t="s">
        <v>3068</v>
      </c>
      <c r="K543" t="s">
        <v>3062</v>
      </c>
      <c r="L543" t="s">
        <v>4550</v>
      </c>
      <c r="M543" t="s">
        <v>4551</v>
      </c>
      <c r="O543" t="s">
        <v>2991</v>
      </c>
      <c r="P543" t="s">
        <v>2991</v>
      </c>
      <c r="R543" t="s">
        <v>2409</v>
      </c>
      <c r="S543" t="s">
        <v>2410</v>
      </c>
      <c r="T543">
        <v>2</v>
      </c>
      <c r="U543" t="s">
        <v>2432</v>
      </c>
      <c r="V543" t="s">
        <v>2433</v>
      </c>
      <c r="W543">
        <v>7</v>
      </c>
      <c r="X543" t="s">
        <v>2446</v>
      </c>
      <c r="Y543" t="s">
        <v>2447</v>
      </c>
      <c r="Z543">
        <v>4</v>
      </c>
      <c r="AC543" t="s">
        <v>2992</v>
      </c>
      <c r="AD543" t="s">
        <v>2992</v>
      </c>
      <c r="AF543">
        <v>392.22654588173401</v>
      </c>
      <c r="AG543">
        <v>5.6</v>
      </c>
      <c r="AH543">
        <v>9</v>
      </c>
      <c r="AI543">
        <v>271</v>
      </c>
      <c r="AJ543">
        <v>179.25171764637113</v>
      </c>
      <c r="AK543">
        <v>561.79999999999995</v>
      </c>
      <c r="AM543">
        <v>194.95240470491959</v>
      </c>
      <c r="AN543">
        <v>224</v>
      </c>
      <c r="AO543" t="s">
        <v>5995</v>
      </c>
      <c r="AP543" t="s">
        <v>2849</v>
      </c>
    </row>
    <row r="544" spans="1:42" x14ac:dyDescent="0.25">
      <c r="A544">
        <v>543</v>
      </c>
      <c r="B544" t="s">
        <v>1042</v>
      </c>
      <c r="C544" t="s">
        <v>1042</v>
      </c>
      <c r="D544" t="s">
        <v>1043</v>
      </c>
      <c r="E544" t="s">
        <v>282</v>
      </c>
      <c r="F544" t="s">
        <v>283</v>
      </c>
      <c r="G544" t="s">
        <v>3167</v>
      </c>
      <c r="H544" t="s">
        <v>3166</v>
      </c>
      <c r="I544" t="s">
        <v>443</v>
      </c>
      <c r="J544" t="s">
        <v>285</v>
      </c>
      <c r="K544" t="s">
        <v>286</v>
      </c>
      <c r="R544" t="s">
        <v>73</v>
      </c>
      <c r="S544" t="s">
        <v>73</v>
      </c>
      <c r="U544" t="s">
        <v>73</v>
      </c>
      <c r="V544" t="s">
        <v>73</v>
      </c>
      <c r="X544" t="s">
        <v>73</v>
      </c>
      <c r="Y544" t="s">
        <v>73</v>
      </c>
      <c r="AF544">
        <v>391.46550766244121</v>
      </c>
      <c r="AG544">
        <v>5.8888888888888999</v>
      </c>
      <c r="AH544">
        <v>8</v>
      </c>
      <c r="AI544">
        <v>315</v>
      </c>
      <c r="AJ544">
        <v>162.46784801999576</v>
      </c>
      <c r="AK544">
        <v>590.48888888889007</v>
      </c>
      <c r="AM544">
        <v>171.45498722799405</v>
      </c>
      <c r="AN544">
        <v>224</v>
      </c>
      <c r="AO544" t="s">
        <v>5996</v>
      </c>
      <c r="AP544" t="s">
        <v>1043</v>
      </c>
    </row>
    <row r="545" spans="1:42" x14ac:dyDescent="0.25">
      <c r="A545">
        <v>544</v>
      </c>
      <c r="B545" t="s">
        <v>221</v>
      </c>
      <c r="C545" t="s">
        <v>221</v>
      </c>
      <c r="D545" t="s">
        <v>2280</v>
      </c>
      <c r="E545" t="s">
        <v>218</v>
      </c>
      <c r="F545" t="s">
        <v>219</v>
      </c>
      <c r="G545" t="s">
        <v>69</v>
      </c>
      <c r="H545" t="s">
        <v>70</v>
      </c>
      <c r="I545" t="s">
        <v>2281</v>
      </c>
      <c r="J545" t="s">
        <v>408</v>
      </c>
      <c r="K545" t="s">
        <v>409</v>
      </c>
      <c r="L545" t="s">
        <v>5014</v>
      </c>
      <c r="M545" t="s">
        <v>5015</v>
      </c>
      <c r="R545" t="s">
        <v>2420</v>
      </c>
      <c r="S545" t="s">
        <v>2421</v>
      </c>
      <c r="T545">
        <v>5</v>
      </c>
      <c r="U545" t="s">
        <v>73</v>
      </c>
      <c r="V545" t="s">
        <v>73</v>
      </c>
      <c r="X545" t="s">
        <v>73</v>
      </c>
      <c r="Y545" t="s">
        <v>73</v>
      </c>
      <c r="AF545">
        <v>391.16013882226611</v>
      </c>
      <c r="AG545">
        <v>7.4375</v>
      </c>
      <c r="AH545">
        <v>15</v>
      </c>
      <c r="AI545">
        <v>714</v>
      </c>
      <c r="AJ545">
        <v>75.316820913628987</v>
      </c>
      <c r="AK545">
        <v>746.75</v>
      </c>
      <c r="AM545">
        <v>49.443549279080585</v>
      </c>
      <c r="AN545">
        <v>224</v>
      </c>
      <c r="AO545" t="s">
        <v>5997</v>
      </c>
      <c r="AP545" t="s">
        <v>2280</v>
      </c>
    </row>
    <row r="546" spans="1:42" x14ac:dyDescent="0.25">
      <c r="A546">
        <v>545</v>
      </c>
      <c r="B546" t="s">
        <v>1262</v>
      </c>
      <c r="C546" t="s">
        <v>1262</v>
      </c>
      <c r="D546" t="s">
        <v>1263</v>
      </c>
      <c r="E546" t="s">
        <v>5312</v>
      </c>
      <c r="F546" t="s">
        <v>157</v>
      </c>
      <c r="G546" t="s">
        <v>158</v>
      </c>
      <c r="H546" t="s">
        <v>159</v>
      </c>
      <c r="I546" t="s">
        <v>5324</v>
      </c>
      <c r="J546" t="s">
        <v>3087</v>
      </c>
      <c r="K546" t="s">
        <v>3088</v>
      </c>
      <c r="L546" t="s">
        <v>5111</v>
      </c>
      <c r="M546" t="s">
        <v>5112</v>
      </c>
      <c r="R546" t="s">
        <v>73</v>
      </c>
      <c r="S546" t="s">
        <v>73</v>
      </c>
      <c r="U546" t="s">
        <v>73</v>
      </c>
      <c r="V546" t="s">
        <v>73</v>
      </c>
      <c r="X546" t="s">
        <v>73</v>
      </c>
      <c r="Y546" t="s">
        <v>73</v>
      </c>
      <c r="AA546" t="s">
        <v>73</v>
      </c>
      <c r="AB546" t="s">
        <v>73</v>
      </c>
      <c r="AE546" t="s">
        <v>5110</v>
      </c>
      <c r="AF546">
        <v>391.15709180900558</v>
      </c>
      <c r="AG546">
        <v>6.3888888888888999</v>
      </c>
      <c r="AH546">
        <v>17</v>
      </c>
      <c r="AI546">
        <v>445</v>
      </c>
      <c r="AJ546">
        <v>133.34738596062283</v>
      </c>
      <c r="AK546">
        <v>642.28888888889003</v>
      </c>
      <c r="AM546">
        <v>186.68634034487195</v>
      </c>
      <c r="AN546">
        <v>0</v>
      </c>
      <c r="AO546" t="s">
        <v>5998</v>
      </c>
      <c r="AP546" t="s">
        <v>1263</v>
      </c>
    </row>
    <row r="547" spans="1:42" x14ac:dyDescent="0.25">
      <c r="A547">
        <v>546</v>
      </c>
      <c r="B547" t="s">
        <v>2737</v>
      </c>
      <c r="C547" t="s">
        <v>2737</v>
      </c>
      <c r="D547" t="s">
        <v>1284</v>
      </c>
      <c r="E547" t="s">
        <v>5312</v>
      </c>
      <c r="F547" t="s">
        <v>157</v>
      </c>
      <c r="G547" t="s">
        <v>158</v>
      </c>
      <c r="H547" t="s">
        <v>159</v>
      </c>
      <c r="I547" t="s">
        <v>5326</v>
      </c>
      <c r="J547" t="s">
        <v>3087</v>
      </c>
      <c r="K547" t="s">
        <v>3088</v>
      </c>
      <c r="L547" t="s">
        <v>5108</v>
      </c>
      <c r="M547" t="s">
        <v>5109</v>
      </c>
      <c r="Q547">
        <v>11</v>
      </c>
      <c r="R547" t="s">
        <v>2406</v>
      </c>
      <c r="S547" t="s">
        <v>2407</v>
      </c>
      <c r="T547">
        <v>1</v>
      </c>
      <c r="U547" t="s">
        <v>73</v>
      </c>
      <c r="V547" t="s">
        <v>73</v>
      </c>
      <c r="X547" t="s">
        <v>2437</v>
      </c>
      <c r="Y547" t="s">
        <v>2438</v>
      </c>
      <c r="Z547">
        <v>1</v>
      </c>
      <c r="AE547" t="s">
        <v>5107</v>
      </c>
      <c r="AF547">
        <v>391.15120891506655</v>
      </c>
      <c r="AG547">
        <v>6.7037037037036997</v>
      </c>
      <c r="AH547">
        <v>26</v>
      </c>
      <c r="AI547">
        <v>531</v>
      </c>
      <c r="AJ547">
        <v>114.85113747764616</v>
      </c>
      <c r="AK547">
        <v>675.57037037037003</v>
      </c>
      <c r="AM547">
        <v>160.79159246870461</v>
      </c>
      <c r="AN547">
        <v>0</v>
      </c>
      <c r="AO547" t="s">
        <v>5999</v>
      </c>
      <c r="AP547" t="s">
        <v>1284</v>
      </c>
    </row>
    <row r="548" spans="1:42" x14ac:dyDescent="0.25">
      <c r="A548">
        <v>547</v>
      </c>
      <c r="B548" t="s">
        <v>1369</v>
      </c>
      <c r="C548" t="s">
        <v>1369</v>
      </c>
      <c r="D548" t="s">
        <v>2481</v>
      </c>
      <c r="E548" t="s">
        <v>415</v>
      </c>
      <c r="F548" t="s">
        <v>415</v>
      </c>
      <c r="G548" t="s">
        <v>85</v>
      </c>
      <c r="H548" t="s">
        <v>86</v>
      </c>
      <c r="L548" t="s">
        <v>4288</v>
      </c>
      <c r="M548" t="s">
        <v>4289</v>
      </c>
      <c r="N548" t="s">
        <v>4286</v>
      </c>
      <c r="Q548">
        <v>17</v>
      </c>
      <c r="R548" t="s">
        <v>2414</v>
      </c>
      <c r="S548" t="s">
        <v>2415</v>
      </c>
      <c r="T548">
        <v>3</v>
      </c>
      <c r="U548" t="s">
        <v>2430</v>
      </c>
      <c r="V548" t="s">
        <v>2431</v>
      </c>
      <c r="W548">
        <v>6</v>
      </c>
      <c r="X548" t="s">
        <v>2440</v>
      </c>
      <c r="Y548" t="s">
        <v>2441</v>
      </c>
      <c r="Z548">
        <v>2</v>
      </c>
      <c r="AA548" t="s">
        <v>73</v>
      </c>
      <c r="AB548" t="s">
        <v>73</v>
      </c>
      <c r="AE548" t="s">
        <v>4287</v>
      </c>
      <c r="AF548">
        <v>390.75798833374273</v>
      </c>
      <c r="AG548">
        <v>7.4666666666666996</v>
      </c>
      <c r="AH548">
        <v>14</v>
      </c>
      <c r="AI548">
        <v>718</v>
      </c>
      <c r="AJ548">
        <v>73.360727778230853</v>
      </c>
      <c r="AK548">
        <v>749.46666666666988</v>
      </c>
      <c r="AM548">
        <v>46.705018889523181</v>
      </c>
      <c r="AN548">
        <v>224</v>
      </c>
      <c r="AO548" t="s">
        <v>6000</v>
      </c>
      <c r="AP548" t="s">
        <v>2481</v>
      </c>
    </row>
    <row r="549" spans="1:42" x14ac:dyDescent="0.25">
      <c r="A549">
        <v>548</v>
      </c>
      <c r="B549" t="s">
        <v>2861</v>
      </c>
      <c r="C549" t="s">
        <v>2861</v>
      </c>
      <c r="D549" t="s">
        <v>2848</v>
      </c>
      <c r="E549" t="s">
        <v>91</v>
      </c>
      <c r="F549" t="s">
        <v>92</v>
      </c>
      <c r="G549" t="s">
        <v>108</v>
      </c>
      <c r="H549" t="s">
        <v>109</v>
      </c>
      <c r="I549" t="s">
        <v>3053</v>
      </c>
      <c r="J549" t="s">
        <v>3072</v>
      </c>
      <c r="K549" t="s">
        <v>3065</v>
      </c>
      <c r="L549" t="s">
        <v>4528</v>
      </c>
      <c r="M549" t="s">
        <v>4529</v>
      </c>
      <c r="O549" t="s">
        <v>63</v>
      </c>
      <c r="P549" t="s">
        <v>64</v>
      </c>
      <c r="Q549">
        <v>14</v>
      </c>
      <c r="R549" t="s">
        <v>2420</v>
      </c>
      <c r="S549" t="s">
        <v>2421</v>
      </c>
      <c r="T549">
        <v>5</v>
      </c>
      <c r="U549" t="s">
        <v>2432</v>
      </c>
      <c r="V549" t="s">
        <v>2433</v>
      </c>
      <c r="W549">
        <v>7</v>
      </c>
      <c r="X549" t="s">
        <v>2440</v>
      </c>
      <c r="Y549" t="s">
        <v>2441</v>
      </c>
      <c r="Z549">
        <v>2</v>
      </c>
      <c r="AC549" t="s">
        <v>3057</v>
      </c>
      <c r="AD549" t="s">
        <v>3057</v>
      </c>
      <c r="AF549">
        <v>390.37297615036812</v>
      </c>
      <c r="AG549">
        <v>8.1428571428570997</v>
      </c>
      <c r="AH549">
        <v>13</v>
      </c>
      <c r="AI549">
        <v>914</v>
      </c>
      <c r="AJ549">
        <v>35.477910008347891</v>
      </c>
      <c r="AK549">
        <v>816.88571428571004</v>
      </c>
      <c r="AL549">
        <v>2010</v>
      </c>
      <c r="AM549">
        <v>35.669074011687044</v>
      </c>
      <c r="AN549">
        <v>56</v>
      </c>
      <c r="AO549" t="s">
        <v>6001</v>
      </c>
      <c r="AP549" t="s">
        <v>2848</v>
      </c>
    </row>
    <row r="550" spans="1:42" x14ac:dyDescent="0.25">
      <c r="A550">
        <v>549</v>
      </c>
      <c r="B550" t="s">
        <v>555</v>
      </c>
      <c r="C550" t="s">
        <v>555</v>
      </c>
      <c r="D550" t="s">
        <v>4811</v>
      </c>
      <c r="E550" t="s">
        <v>556</v>
      </c>
      <c r="F550" t="s">
        <v>557</v>
      </c>
      <c r="G550" t="s">
        <v>60</v>
      </c>
      <c r="H550" t="s">
        <v>61</v>
      </c>
      <c r="J550" t="s">
        <v>3120</v>
      </c>
      <c r="K550" t="s">
        <v>3121</v>
      </c>
      <c r="R550" t="s">
        <v>73</v>
      </c>
      <c r="S550" t="s">
        <v>73</v>
      </c>
      <c r="U550" t="s">
        <v>73</v>
      </c>
      <c r="V550" t="s">
        <v>73</v>
      </c>
      <c r="X550" t="s">
        <v>73</v>
      </c>
      <c r="Y550" t="s">
        <v>73</v>
      </c>
      <c r="AA550" t="s">
        <v>73</v>
      </c>
      <c r="AB550" t="s">
        <v>73</v>
      </c>
      <c r="AF550">
        <v>390.2647697541297</v>
      </c>
      <c r="AG550">
        <v>7.125</v>
      </c>
      <c r="AH550">
        <v>7</v>
      </c>
      <c r="AI550">
        <v>620</v>
      </c>
      <c r="AJ550">
        <v>92.571966393477439</v>
      </c>
      <c r="AK550">
        <v>713.9</v>
      </c>
      <c r="AM550">
        <v>73.600752950868412</v>
      </c>
      <c r="AN550">
        <v>224</v>
      </c>
      <c r="AO550" t="s">
        <v>6002</v>
      </c>
      <c r="AP550" t="s">
        <v>4811</v>
      </c>
    </row>
    <row r="551" spans="1:42" x14ac:dyDescent="0.25">
      <c r="A551">
        <v>550</v>
      </c>
      <c r="B551" t="s">
        <v>2917</v>
      </c>
      <c r="C551" t="s">
        <v>2917</v>
      </c>
      <c r="D551" t="s">
        <v>1810</v>
      </c>
      <c r="E551" t="s">
        <v>67</v>
      </c>
      <c r="F551" t="s">
        <v>68</v>
      </c>
      <c r="G551" t="s">
        <v>3845</v>
      </c>
      <c r="H551" t="s">
        <v>3846</v>
      </c>
      <c r="I551" t="s">
        <v>1811</v>
      </c>
      <c r="J551" t="s">
        <v>1293</v>
      </c>
      <c r="K551" t="s">
        <v>1294</v>
      </c>
      <c r="L551" t="s">
        <v>5424</v>
      </c>
      <c r="M551" t="s">
        <v>5423</v>
      </c>
      <c r="O551" t="s">
        <v>2601</v>
      </c>
      <c r="P551" t="s">
        <v>2601</v>
      </c>
      <c r="Q551">
        <v>14</v>
      </c>
      <c r="R551" t="s">
        <v>2420</v>
      </c>
      <c r="S551" t="s">
        <v>2421</v>
      </c>
      <c r="T551">
        <v>5</v>
      </c>
      <c r="U551" t="s">
        <v>3137</v>
      </c>
      <c r="V551" t="s">
        <v>3136</v>
      </c>
      <c r="W551">
        <v>5</v>
      </c>
      <c r="X551" t="s">
        <v>2437</v>
      </c>
      <c r="Y551" t="s">
        <v>2438</v>
      </c>
      <c r="Z551">
        <v>1</v>
      </c>
      <c r="AA551" t="s">
        <v>73</v>
      </c>
      <c r="AB551" t="s">
        <v>73</v>
      </c>
      <c r="AF551">
        <v>390.03572184076188</v>
      </c>
      <c r="AG551">
        <v>6.6956521739130004</v>
      </c>
      <c r="AH551">
        <v>22</v>
      </c>
      <c r="AI551">
        <v>534</v>
      </c>
      <c r="AJ551">
        <v>114.50345905012428</v>
      </c>
      <c r="AK551">
        <v>673.96521739130003</v>
      </c>
      <c r="AM551">
        <v>132.30484267017397</v>
      </c>
      <c r="AN551">
        <v>112</v>
      </c>
      <c r="AO551" t="s">
        <v>6003</v>
      </c>
      <c r="AP551" t="s">
        <v>1810</v>
      </c>
    </row>
    <row r="552" spans="1:42" x14ac:dyDescent="0.25">
      <c r="A552">
        <v>551</v>
      </c>
      <c r="B552" t="s">
        <v>2153</v>
      </c>
      <c r="C552" t="s">
        <v>2153</v>
      </c>
      <c r="D552" t="s">
        <v>2154</v>
      </c>
      <c r="E552" t="s">
        <v>595</v>
      </c>
      <c r="F552" t="s">
        <v>596</v>
      </c>
      <c r="G552" t="s">
        <v>3167</v>
      </c>
      <c r="H552" t="s">
        <v>3166</v>
      </c>
      <c r="I552" t="s">
        <v>930</v>
      </c>
      <c r="J552" t="s">
        <v>607</v>
      </c>
      <c r="K552" t="s">
        <v>608</v>
      </c>
      <c r="R552" t="s">
        <v>73</v>
      </c>
      <c r="S552" t="s">
        <v>73</v>
      </c>
      <c r="U552" t="s">
        <v>73</v>
      </c>
      <c r="V552" t="s">
        <v>73</v>
      </c>
      <c r="X552" t="s">
        <v>73</v>
      </c>
      <c r="Y552" t="s">
        <v>73</v>
      </c>
      <c r="AF552">
        <v>389.66424831182229</v>
      </c>
      <c r="AG552">
        <v>6.375</v>
      </c>
      <c r="AH552">
        <v>7</v>
      </c>
      <c r="AI552">
        <v>444</v>
      </c>
      <c r="AJ552">
        <v>133.57138701313588</v>
      </c>
      <c r="AK552">
        <v>638.9</v>
      </c>
      <c r="AM552">
        <v>130.99994181839023</v>
      </c>
      <c r="AN552">
        <v>224</v>
      </c>
      <c r="AO552" t="s">
        <v>6004</v>
      </c>
      <c r="AP552" t="s">
        <v>2154</v>
      </c>
    </row>
    <row r="553" spans="1:42" x14ac:dyDescent="0.25">
      <c r="A553">
        <v>552</v>
      </c>
      <c r="B553" t="s">
        <v>1386</v>
      </c>
      <c r="C553" t="s">
        <v>1386</v>
      </c>
      <c r="D553" t="s">
        <v>2486</v>
      </c>
      <c r="E553" t="s">
        <v>137</v>
      </c>
      <c r="F553" t="s">
        <v>138</v>
      </c>
      <c r="G553" t="s">
        <v>139</v>
      </c>
      <c r="H553" t="s">
        <v>140</v>
      </c>
      <c r="I553" t="s">
        <v>1387</v>
      </c>
      <c r="J553" t="s">
        <v>1234</v>
      </c>
      <c r="K553" t="s">
        <v>1235</v>
      </c>
      <c r="L553" t="s">
        <v>4611</v>
      </c>
      <c r="M553" t="s">
        <v>4612</v>
      </c>
      <c r="Q553">
        <v>12</v>
      </c>
      <c r="R553" t="s">
        <v>2406</v>
      </c>
      <c r="S553" t="s">
        <v>2407</v>
      </c>
      <c r="T553">
        <v>1</v>
      </c>
      <c r="U553" t="s">
        <v>2430</v>
      </c>
      <c r="V553" t="s">
        <v>2431</v>
      </c>
      <c r="W553">
        <v>6</v>
      </c>
      <c r="X553" t="s">
        <v>2446</v>
      </c>
      <c r="Y553" t="s">
        <v>2447</v>
      </c>
      <c r="Z553">
        <v>4</v>
      </c>
      <c r="AF553">
        <v>389.36395901894008</v>
      </c>
      <c r="AG553">
        <v>7</v>
      </c>
      <c r="AH553">
        <v>9</v>
      </c>
      <c r="AI553">
        <v>598</v>
      </c>
      <c r="AJ553">
        <v>98.29328779882232</v>
      </c>
      <c r="AK553">
        <v>701.8</v>
      </c>
      <c r="AM553">
        <v>137.61060291835125</v>
      </c>
      <c r="AN553">
        <v>0</v>
      </c>
      <c r="AO553" t="s">
        <v>6005</v>
      </c>
      <c r="AP553" t="s">
        <v>2486</v>
      </c>
    </row>
    <row r="554" spans="1:42" x14ac:dyDescent="0.25">
      <c r="A554">
        <v>553</v>
      </c>
      <c r="B554" t="s">
        <v>1648</v>
      </c>
      <c r="C554" t="s">
        <v>1648</v>
      </c>
      <c r="D554" t="s">
        <v>1649</v>
      </c>
      <c r="E554" t="s">
        <v>1650</v>
      </c>
      <c r="F554" t="s">
        <v>1651</v>
      </c>
      <c r="G554" t="s">
        <v>85</v>
      </c>
      <c r="H554" t="s">
        <v>86</v>
      </c>
      <c r="I554" t="s">
        <v>1652</v>
      </c>
      <c r="J554" t="s">
        <v>1653</v>
      </c>
      <c r="K554" t="s">
        <v>1654</v>
      </c>
      <c r="O554" t="s">
        <v>2584</v>
      </c>
      <c r="P554" t="s">
        <v>2584</v>
      </c>
      <c r="R554" t="s">
        <v>73</v>
      </c>
      <c r="S554" t="s">
        <v>73</v>
      </c>
      <c r="U554" t="s">
        <v>73</v>
      </c>
      <c r="V554" t="s">
        <v>73</v>
      </c>
      <c r="X554" t="s">
        <v>73</v>
      </c>
      <c r="Y554" t="s">
        <v>73</v>
      </c>
      <c r="AA554" t="s">
        <v>73</v>
      </c>
      <c r="AB554" t="s">
        <v>73</v>
      </c>
      <c r="AF554">
        <v>388.88971666901648</v>
      </c>
      <c r="AG554">
        <v>6.1</v>
      </c>
      <c r="AH554">
        <v>9</v>
      </c>
      <c r="AI554">
        <v>369</v>
      </c>
      <c r="AJ554">
        <v>147.76635185446281</v>
      </c>
      <c r="AK554">
        <v>611.79999999999995</v>
      </c>
      <c r="AM554">
        <v>94.872892596247951</v>
      </c>
      <c r="AN554">
        <v>448</v>
      </c>
      <c r="AO554" t="s">
        <v>6006</v>
      </c>
      <c r="AP554" t="s">
        <v>1649</v>
      </c>
    </row>
    <row r="555" spans="1:42" x14ac:dyDescent="0.25">
      <c r="A555">
        <v>554</v>
      </c>
      <c r="B555" t="s">
        <v>3356</v>
      </c>
      <c r="C555" t="s">
        <v>3356</v>
      </c>
      <c r="D555" t="s">
        <v>3585</v>
      </c>
      <c r="E555" t="s">
        <v>218</v>
      </c>
      <c r="F555" t="s">
        <v>219</v>
      </c>
      <c r="G555" t="s">
        <v>69</v>
      </c>
      <c r="H555" t="s">
        <v>70</v>
      </c>
      <c r="I555" t="s">
        <v>3586</v>
      </c>
      <c r="J555" t="s">
        <v>251</v>
      </c>
      <c r="K555" t="s">
        <v>252</v>
      </c>
      <c r="L555" t="s">
        <v>4918</v>
      </c>
      <c r="M555" t="s">
        <v>4919</v>
      </c>
      <c r="R555" t="s">
        <v>73</v>
      </c>
      <c r="S555" t="s">
        <v>73</v>
      </c>
      <c r="U555" t="s">
        <v>73</v>
      </c>
      <c r="V555" t="s">
        <v>73</v>
      </c>
      <c r="X555" t="s">
        <v>73</v>
      </c>
      <c r="Y555" t="s">
        <v>73</v>
      </c>
      <c r="AA555" t="s">
        <v>73</v>
      </c>
      <c r="AB555" t="s">
        <v>73</v>
      </c>
      <c r="AF555">
        <v>388.53681024704235</v>
      </c>
      <c r="AG555">
        <v>6.1666666666666998</v>
      </c>
      <c r="AH555">
        <v>5</v>
      </c>
      <c r="AI555">
        <v>394</v>
      </c>
      <c r="AJ555">
        <v>144.11497434856372</v>
      </c>
      <c r="AK555">
        <v>617.66666666666993</v>
      </c>
      <c r="AM555">
        <v>145.76096408798918</v>
      </c>
      <c r="AN555">
        <v>224</v>
      </c>
      <c r="AO555" t="s">
        <v>6007</v>
      </c>
      <c r="AP555" t="s">
        <v>3585</v>
      </c>
    </row>
    <row r="556" spans="1:42" x14ac:dyDescent="0.25">
      <c r="A556">
        <v>555</v>
      </c>
      <c r="B556" t="s">
        <v>1886</v>
      </c>
      <c r="C556" t="s">
        <v>1886</v>
      </c>
      <c r="D556" t="s">
        <v>1887</v>
      </c>
      <c r="E556" t="s">
        <v>282</v>
      </c>
      <c r="F556" t="s">
        <v>283</v>
      </c>
      <c r="G556" t="s">
        <v>3167</v>
      </c>
      <c r="H556" t="s">
        <v>3166</v>
      </c>
      <c r="I556" t="s">
        <v>1888</v>
      </c>
      <c r="J556" t="s">
        <v>368</v>
      </c>
      <c r="K556" t="s">
        <v>369</v>
      </c>
      <c r="O556" t="s">
        <v>2388</v>
      </c>
      <c r="P556" t="s">
        <v>2389</v>
      </c>
      <c r="R556" t="s">
        <v>73</v>
      </c>
      <c r="S556" t="s">
        <v>73</v>
      </c>
      <c r="U556" t="s">
        <v>73</v>
      </c>
      <c r="V556" t="s">
        <v>73</v>
      </c>
      <c r="X556" t="s">
        <v>73</v>
      </c>
      <c r="Y556" t="s">
        <v>73</v>
      </c>
      <c r="AA556" t="s">
        <v>73</v>
      </c>
      <c r="AB556" t="s">
        <v>73</v>
      </c>
      <c r="AF556">
        <v>387.89479672339934</v>
      </c>
      <c r="AG556">
        <v>6.4</v>
      </c>
      <c r="AH556">
        <v>4</v>
      </c>
      <c r="AI556">
        <v>452</v>
      </c>
      <c r="AJ556">
        <v>130.54977413711038</v>
      </c>
      <c r="AK556">
        <v>640.79999999999995</v>
      </c>
      <c r="AM556">
        <v>126.76968379195452</v>
      </c>
      <c r="AN556">
        <v>224</v>
      </c>
      <c r="AO556" t="s">
        <v>6008</v>
      </c>
      <c r="AP556" t="s">
        <v>1887</v>
      </c>
    </row>
    <row r="557" spans="1:42" x14ac:dyDescent="0.25">
      <c r="A557">
        <v>556</v>
      </c>
      <c r="B557" t="s">
        <v>2372</v>
      </c>
      <c r="C557" t="s">
        <v>2372</v>
      </c>
      <c r="D557" t="s">
        <v>2373</v>
      </c>
      <c r="E557" t="s">
        <v>351</v>
      </c>
      <c r="F557" t="s">
        <v>352</v>
      </c>
      <c r="G557" t="s">
        <v>257</v>
      </c>
      <c r="H557" t="s">
        <v>258</v>
      </c>
      <c r="I557" t="s">
        <v>2374</v>
      </c>
      <c r="J557" t="s">
        <v>467</v>
      </c>
      <c r="K557" t="s">
        <v>468</v>
      </c>
      <c r="L557">
        <v>51.078904088800002</v>
      </c>
      <c r="M557">
        <v>3.0591333253399999</v>
      </c>
      <c r="N557" t="s">
        <v>4254</v>
      </c>
      <c r="O557" t="s">
        <v>2375</v>
      </c>
      <c r="P557" t="s">
        <v>2376</v>
      </c>
      <c r="Q557">
        <v>13</v>
      </c>
      <c r="R557" t="s">
        <v>2414</v>
      </c>
      <c r="S557" t="s">
        <v>2415</v>
      </c>
      <c r="T557">
        <v>3</v>
      </c>
      <c r="U557" t="s">
        <v>3137</v>
      </c>
      <c r="V557" t="s">
        <v>3136</v>
      </c>
      <c r="W557">
        <v>5</v>
      </c>
      <c r="X557" t="s">
        <v>2437</v>
      </c>
      <c r="Y557" t="s">
        <v>2438</v>
      </c>
      <c r="Z557">
        <v>1</v>
      </c>
      <c r="AF557">
        <v>387.72925170068004</v>
      </c>
      <c r="AG557">
        <v>8.4625850340135997</v>
      </c>
      <c r="AH557">
        <v>146</v>
      </c>
      <c r="AI557">
        <v>955</v>
      </c>
      <c r="AJ557">
        <v>0</v>
      </c>
      <c r="AK557">
        <v>875.45850340136008</v>
      </c>
      <c r="AM557">
        <v>0</v>
      </c>
      <c r="AN557">
        <v>0</v>
      </c>
      <c r="AO557" t="s">
        <v>6009</v>
      </c>
      <c r="AP557" t="s">
        <v>2373</v>
      </c>
    </row>
    <row r="558" spans="1:42" x14ac:dyDescent="0.25">
      <c r="A558">
        <v>557</v>
      </c>
      <c r="B558" t="s">
        <v>793</v>
      </c>
      <c r="C558" t="s">
        <v>794</v>
      </c>
      <c r="D558" t="s">
        <v>794</v>
      </c>
      <c r="E558" t="s">
        <v>199</v>
      </c>
      <c r="F558" t="s">
        <v>200</v>
      </c>
      <c r="J558" t="s">
        <v>411</v>
      </c>
      <c r="K558" t="s">
        <v>412</v>
      </c>
      <c r="L558" t="s">
        <v>5189</v>
      </c>
      <c r="M558" t="s">
        <v>5190</v>
      </c>
      <c r="R558" t="s">
        <v>73</v>
      </c>
      <c r="S558" t="s">
        <v>73</v>
      </c>
      <c r="U558" t="s">
        <v>73</v>
      </c>
      <c r="V558" t="s">
        <v>73</v>
      </c>
      <c r="X558" t="s">
        <v>73</v>
      </c>
      <c r="Y558" t="s">
        <v>73</v>
      </c>
      <c r="AA558" t="s">
        <v>73</v>
      </c>
      <c r="AB558" t="s">
        <v>73</v>
      </c>
      <c r="AF558">
        <v>387.65447957625037</v>
      </c>
      <c r="AG558">
        <v>6.5454545454544997</v>
      </c>
      <c r="AH558">
        <v>10</v>
      </c>
      <c r="AI558">
        <v>494</v>
      </c>
      <c r="AJ558">
        <v>121.53528033725041</v>
      </c>
      <c r="AK558">
        <v>656.54545454544996</v>
      </c>
      <c r="AM558">
        <v>170.14939247215057</v>
      </c>
      <c r="AN558">
        <v>0</v>
      </c>
      <c r="AO558" t="s">
        <v>6010</v>
      </c>
      <c r="AP558" t="s">
        <v>794</v>
      </c>
    </row>
    <row r="559" spans="1:42" x14ac:dyDescent="0.25">
      <c r="A559">
        <v>558</v>
      </c>
      <c r="B559" t="s">
        <v>2914</v>
      </c>
      <c r="C559" t="s">
        <v>4089</v>
      </c>
      <c r="D559" t="s">
        <v>2002</v>
      </c>
      <c r="E559" t="s">
        <v>67</v>
      </c>
      <c r="F559" t="s">
        <v>68</v>
      </c>
      <c r="G559" t="s">
        <v>69</v>
      </c>
      <c r="H559" t="s">
        <v>70</v>
      </c>
      <c r="I559" t="s">
        <v>5395</v>
      </c>
      <c r="J559" t="s">
        <v>2003</v>
      </c>
      <c r="K559" t="s">
        <v>2004</v>
      </c>
      <c r="L559" t="s">
        <v>5392</v>
      </c>
      <c r="M559" t="s">
        <v>5393</v>
      </c>
      <c r="R559" t="s">
        <v>73</v>
      </c>
      <c r="S559" t="s">
        <v>73</v>
      </c>
      <c r="U559" t="s">
        <v>73</v>
      </c>
      <c r="V559" t="s">
        <v>73</v>
      </c>
      <c r="X559" t="s">
        <v>73</v>
      </c>
      <c r="Y559" t="s">
        <v>73</v>
      </c>
      <c r="AA559" t="s">
        <v>73</v>
      </c>
      <c r="AB559" t="s">
        <v>73</v>
      </c>
      <c r="AF559">
        <v>387.5932022372703</v>
      </c>
      <c r="AG559">
        <v>7.4166666666666998</v>
      </c>
      <c r="AH559">
        <v>11</v>
      </c>
      <c r="AI559">
        <v>731</v>
      </c>
      <c r="AJ559">
        <v>72.955409893261447</v>
      </c>
      <c r="AK559">
        <v>743.86666666666997</v>
      </c>
      <c r="AM559">
        <v>74.137573850566014</v>
      </c>
      <c r="AN559">
        <v>112</v>
      </c>
      <c r="AO559" t="s">
        <v>6011</v>
      </c>
      <c r="AP559" t="s">
        <v>2002</v>
      </c>
    </row>
    <row r="560" spans="1:42" x14ac:dyDescent="0.25">
      <c r="A560">
        <v>559</v>
      </c>
      <c r="B560" t="s">
        <v>2158</v>
      </c>
      <c r="C560" t="s">
        <v>2158</v>
      </c>
      <c r="D560" t="s">
        <v>2159</v>
      </c>
      <c r="E560" t="s">
        <v>282</v>
      </c>
      <c r="F560" t="s">
        <v>283</v>
      </c>
      <c r="G560" t="s">
        <v>3167</v>
      </c>
      <c r="H560" t="s">
        <v>3166</v>
      </c>
      <c r="I560" t="s">
        <v>2160</v>
      </c>
      <c r="J560" t="s">
        <v>523</v>
      </c>
      <c r="K560" t="s">
        <v>524</v>
      </c>
      <c r="R560" t="s">
        <v>73</v>
      </c>
      <c r="S560" t="s">
        <v>73</v>
      </c>
      <c r="U560" t="s">
        <v>73</v>
      </c>
      <c r="V560" t="s">
        <v>73</v>
      </c>
      <c r="X560" t="s">
        <v>2437</v>
      </c>
      <c r="Y560" t="s">
        <v>2438</v>
      </c>
      <c r="Z560">
        <v>1</v>
      </c>
      <c r="AA560" t="s">
        <v>73</v>
      </c>
      <c r="AB560" t="s">
        <v>73</v>
      </c>
      <c r="AF560">
        <v>387.25097943791718</v>
      </c>
      <c r="AG560">
        <v>6.8571428571429003</v>
      </c>
      <c r="AH560">
        <v>6</v>
      </c>
      <c r="AI560">
        <v>575</v>
      </c>
      <c r="AJ560">
        <v>104.21537397863571</v>
      </c>
      <c r="AK560">
        <v>686.91428571429003</v>
      </c>
      <c r="AM560">
        <v>89.901523570089992</v>
      </c>
      <c r="AN560">
        <v>224</v>
      </c>
      <c r="AO560" t="s">
        <v>6012</v>
      </c>
      <c r="AP560" t="s">
        <v>2159</v>
      </c>
    </row>
    <row r="561" spans="1:42" x14ac:dyDescent="0.25">
      <c r="A561">
        <v>560</v>
      </c>
      <c r="B561" t="s">
        <v>1855</v>
      </c>
      <c r="C561" t="s">
        <v>1855</v>
      </c>
      <c r="D561" t="s">
        <v>4808</v>
      </c>
      <c r="E561" t="s">
        <v>556</v>
      </c>
      <c r="F561" t="s">
        <v>557</v>
      </c>
      <c r="G561" t="s">
        <v>60</v>
      </c>
      <c r="H561" t="s">
        <v>61</v>
      </c>
      <c r="I561" t="s">
        <v>3126</v>
      </c>
      <c r="J561" t="s">
        <v>3120</v>
      </c>
      <c r="K561" t="s">
        <v>3121</v>
      </c>
      <c r="Q561">
        <v>12</v>
      </c>
      <c r="R561" t="s">
        <v>2406</v>
      </c>
      <c r="S561" t="s">
        <v>2407</v>
      </c>
      <c r="T561">
        <v>1</v>
      </c>
      <c r="U561" t="s">
        <v>3137</v>
      </c>
      <c r="V561" t="s">
        <v>3136</v>
      </c>
      <c r="W561">
        <v>5</v>
      </c>
      <c r="X561" t="s">
        <v>2437</v>
      </c>
      <c r="Y561" t="s">
        <v>2438</v>
      </c>
      <c r="Z561">
        <v>1</v>
      </c>
      <c r="AA561" t="s">
        <v>73</v>
      </c>
      <c r="AB561" t="s">
        <v>73</v>
      </c>
      <c r="AF561">
        <v>386.3</v>
      </c>
      <c r="AG561">
        <v>8</v>
      </c>
      <c r="AH561">
        <v>3</v>
      </c>
      <c r="AI561">
        <v>851</v>
      </c>
      <c r="AJ561">
        <v>40</v>
      </c>
      <c r="AK561">
        <v>800.6</v>
      </c>
      <c r="AM561">
        <v>0</v>
      </c>
      <c r="AN561">
        <v>224</v>
      </c>
      <c r="AO561" t="s">
        <v>6013</v>
      </c>
      <c r="AP561" t="s">
        <v>4808</v>
      </c>
    </row>
    <row r="562" spans="1:42" x14ac:dyDescent="0.25">
      <c r="A562">
        <v>561</v>
      </c>
      <c r="B562" t="s">
        <v>1458</v>
      </c>
      <c r="C562" t="s">
        <v>1458</v>
      </c>
      <c r="D562" t="s">
        <v>3709</v>
      </c>
      <c r="E562" t="s">
        <v>255</v>
      </c>
      <c r="F562" t="s">
        <v>256</v>
      </c>
      <c r="G562" t="s">
        <v>257</v>
      </c>
      <c r="H562" t="s">
        <v>258</v>
      </c>
      <c r="I562" t="s">
        <v>1459</v>
      </c>
      <c r="J562" t="s">
        <v>1379</v>
      </c>
      <c r="K562" t="s">
        <v>1380</v>
      </c>
      <c r="L562">
        <v>51.290555500000004</v>
      </c>
      <c r="M562">
        <v>6.0558332999999998</v>
      </c>
      <c r="R562" t="s">
        <v>73</v>
      </c>
      <c r="S562" t="s">
        <v>73</v>
      </c>
      <c r="U562" t="s">
        <v>2424</v>
      </c>
      <c r="V562" t="s">
        <v>2425</v>
      </c>
      <c r="W562">
        <v>1</v>
      </c>
      <c r="X562" t="s">
        <v>73</v>
      </c>
      <c r="Y562" t="s">
        <v>73</v>
      </c>
      <c r="AF562">
        <v>386.24633297702752</v>
      </c>
      <c r="AG562">
        <v>7</v>
      </c>
      <c r="AH562">
        <v>30</v>
      </c>
      <c r="AI562">
        <v>621</v>
      </c>
      <c r="AJ562">
        <v>92.49592553003059</v>
      </c>
      <c r="AK562">
        <v>706</v>
      </c>
      <c r="AL562">
        <v>2006</v>
      </c>
      <c r="AM562">
        <v>129.49429574204282</v>
      </c>
      <c r="AN562">
        <v>0</v>
      </c>
      <c r="AO562" t="s">
        <v>6014</v>
      </c>
      <c r="AP562" t="s">
        <v>3709</v>
      </c>
    </row>
    <row r="563" spans="1:42" x14ac:dyDescent="0.25">
      <c r="A563">
        <v>562</v>
      </c>
      <c r="B563" t="s">
        <v>2928</v>
      </c>
      <c r="C563" t="s">
        <v>4162</v>
      </c>
      <c r="D563" t="s">
        <v>1107</v>
      </c>
      <c r="E563" t="s">
        <v>459</v>
      </c>
      <c r="F563" t="s">
        <v>459</v>
      </c>
      <c r="G563" t="s">
        <v>257</v>
      </c>
      <c r="H563" t="s">
        <v>258</v>
      </c>
      <c r="R563" t="s">
        <v>73</v>
      </c>
      <c r="S563" t="s">
        <v>73</v>
      </c>
      <c r="U563" t="s">
        <v>73</v>
      </c>
      <c r="V563" t="s">
        <v>73</v>
      </c>
      <c r="X563" t="s">
        <v>73</v>
      </c>
      <c r="Y563" t="s">
        <v>73</v>
      </c>
      <c r="AA563" t="s">
        <v>73</v>
      </c>
      <c r="AB563" t="s">
        <v>73</v>
      </c>
      <c r="AF563">
        <v>386.09781646416991</v>
      </c>
      <c r="AG563">
        <v>7.7142857142857002</v>
      </c>
      <c r="AH563">
        <v>13</v>
      </c>
      <c r="AI563">
        <v>810</v>
      </c>
      <c r="AJ563">
        <v>54.537256388761001</v>
      </c>
      <c r="AK563">
        <v>774.02857142856999</v>
      </c>
      <c r="AL563">
        <v>2004</v>
      </c>
      <c r="AM563">
        <v>48.352158944265398</v>
      </c>
      <c r="AN563">
        <v>112</v>
      </c>
      <c r="AO563" t="s">
        <v>6015</v>
      </c>
      <c r="AP563" t="s">
        <v>1107</v>
      </c>
    </row>
    <row r="564" spans="1:42" x14ac:dyDescent="0.25">
      <c r="A564">
        <v>563</v>
      </c>
      <c r="B564" t="s">
        <v>2369</v>
      </c>
      <c r="C564" t="s">
        <v>2369</v>
      </c>
      <c r="D564" t="s">
        <v>2370</v>
      </c>
      <c r="E564" t="s">
        <v>161</v>
      </c>
      <c r="F564" t="s">
        <v>161</v>
      </c>
      <c r="G564" t="s">
        <v>3167</v>
      </c>
      <c r="H564" t="s">
        <v>3166</v>
      </c>
      <c r="I564" t="s">
        <v>2371</v>
      </c>
      <c r="J564" t="s">
        <v>463</v>
      </c>
      <c r="K564" t="s">
        <v>464</v>
      </c>
      <c r="R564" t="s">
        <v>73</v>
      </c>
      <c r="S564" t="s">
        <v>73</v>
      </c>
      <c r="U564" t="s">
        <v>73</v>
      </c>
      <c r="V564" t="s">
        <v>73</v>
      </c>
      <c r="X564" t="s">
        <v>73</v>
      </c>
      <c r="Y564" t="s">
        <v>73</v>
      </c>
      <c r="AA564" t="s">
        <v>73</v>
      </c>
      <c r="AB564" t="s">
        <v>73</v>
      </c>
      <c r="AF564">
        <v>385.45006138022677</v>
      </c>
      <c r="AG564">
        <v>6.3529411764706003</v>
      </c>
      <c r="AH564">
        <v>16</v>
      </c>
      <c r="AI564">
        <v>462</v>
      </c>
      <c r="AJ564">
        <v>129.11444728521857</v>
      </c>
      <c r="AK564">
        <v>638.49411764706008</v>
      </c>
      <c r="AM564">
        <v>180.760226199306</v>
      </c>
      <c r="AN564">
        <v>0</v>
      </c>
      <c r="AO564" t="s">
        <v>6016</v>
      </c>
      <c r="AP564" t="s">
        <v>2370</v>
      </c>
    </row>
    <row r="565" spans="1:42" x14ac:dyDescent="0.25">
      <c r="A565">
        <v>564</v>
      </c>
      <c r="B565" t="s">
        <v>2161</v>
      </c>
      <c r="C565" t="s">
        <v>2161</v>
      </c>
      <c r="D565" t="s">
        <v>3007</v>
      </c>
      <c r="E565" t="s">
        <v>137</v>
      </c>
      <c r="F565" t="s">
        <v>138</v>
      </c>
      <c r="G565" t="s">
        <v>139</v>
      </c>
      <c r="H565" t="s">
        <v>140</v>
      </c>
      <c r="I565" t="s">
        <v>3008</v>
      </c>
      <c r="J565" t="s">
        <v>651</v>
      </c>
      <c r="K565" t="s">
        <v>652</v>
      </c>
      <c r="L565" t="s">
        <v>4603</v>
      </c>
      <c r="M565" t="s">
        <v>4604</v>
      </c>
      <c r="R565" t="s">
        <v>73</v>
      </c>
      <c r="S565" t="s">
        <v>73</v>
      </c>
      <c r="U565" t="s">
        <v>73</v>
      </c>
      <c r="V565" t="s">
        <v>73</v>
      </c>
      <c r="X565" t="s">
        <v>73</v>
      </c>
      <c r="Y565" t="s">
        <v>73</v>
      </c>
      <c r="AF565">
        <v>385.25458142957575</v>
      </c>
      <c r="AG565">
        <v>5.8333333333333002</v>
      </c>
      <c r="AH565">
        <v>11</v>
      </c>
      <c r="AI565">
        <v>333</v>
      </c>
      <c r="AJ565">
        <v>158.31990529212297</v>
      </c>
      <c r="AK565">
        <v>585.53333333333012</v>
      </c>
      <c r="AM565">
        <v>221.64786740897213</v>
      </c>
      <c r="AN565">
        <v>0</v>
      </c>
      <c r="AO565" t="s">
        <v>6017</v>
      </c>
      <c r="AP565" t="s">
        <v>3007</v>
      </c>
    </row>
    <row r="566" spans="1:42" x14ac:dyDescent="0.25">
      <c r="A566">
        <v>565</v>
      </c>
      <c r="B566" t="s">
        <v>288</v>
      </c>
      <c r="C566" t="s">
        <v>288</v>
      </c>
      <c r="D566" t="s">
        <v>289</v>
      </c>
      <c r="E566" t="s">
        <v>218</v>
      </c>
      <c r="F566" t="s">
        <v>219</v>
      </c>
      <c r="G566" t="s">
        <v>69</v>
      </c>
      <c r="H566" t="s">
        <v>70</v>
      </c>
      <c r="I566" t="s">
        <v>290</v>
      </c>
      <c r="J566" t="s">
        <v>291</v>
      </c>
      <c r="K566" t="s">
        <v>292</v>
      </c>
      <c r="L566" t="s">
        <v>4895</v>
      </c>
      <c r="M566" t="s">
        <v>4896</v>
      </c>
      <c r="R566" t="s">
        <v>2409</v>
      </c>
      <c r="S566" t="s">
        <v>2410</v>
      </c>
      <c r="T566">
        <v>2</v>
      </c>
      <c r="U566" t="s">
        <v>2432</v>
      </c>
      <c r="V566" t="s">
        <v>2433</v>
      </c>
      <c r="W566">
        <v>7</v>
      </c>
      <c r="X566" t="s">
        <v>2446</v>
      </c>
      <c r="Y566" t="s">
        <v>2447</v>
      </c>
      <c r="Z566">
        <v>4</v>
      </c>
      <c r="AF566">
        <v>385.16842105262998</v>
      </c>
      <c r="AG566">
        <v>7.9473684210525999</v>
      </c>
      <c r="AH566">
        <v>18</v>
      </c>
      <c r="AI566">
        <v>852</v>
      </c>
      <c r="AJ566">
        <v>40</v>
      </c>
      <c r="AK566">
        <v>798.33684210525996</v>
      </c>
      <c r="AM566">
        <v>0</v>
      </c>
      <c r="AN566">
        <v>224</v>
      </c>
      <c r="AO566" t="s">
        <v>6018</v>
      </c>
      <c r="AP566" t="s">
        <v>289</v>
      </c>
    </row>
    <row r="567" spans="1:42" x14ac:dyDescent="0.25">
      <c r="A567">
        <v>566</v>
      </c>
      <c r="B567" t="s">
        <v>3664</v>
      </c>
      <c r="C567" t="s">
        <v>4172</v>
      </c>
      <c r="D567" t="s">
        <v>3969</v>
      </c>
      <c r="E567" t="s">
        <v>666</v>
      </c>
      <c r="F567" t="s">
        <v>667</v>
      </c>
      <c r="G567" t="s">
        <v>60</v>
      </c>
      <c r="H567" t="s">
        <v>61</v>
      </c>
      <c r="I567" t="s">
        <v>3967</v>
      </c>
      <c r="J567" t="s">
        <v>3619</v>
      </c>
      <c r="K567" t="s">
        <v>3616</v>
      </c>
      <c r="L567" t="s">
        <v>4490</v>
      </c>
      <c r="M567" t="s">
        <v>4491</v>
      </c>
      <c r="R567" t="s">
        <v>73</v>
      </c>
      <c r="S567" t="s">
        <v>73</v>
      </c>
      <c r="U567" t="s">
        <v>73</v>
      </c>
      <c r="V567" t="s">
        <v>73</v>
      </c>
      <c r="X567" t="s">
        <v>73</v>
      </c>
      <c r="Y567" t="s">
        <v>73</v>
      </c>
      <c r="AA567" t="s">
        <v>73</v>
      </c>
      <c r="AB567" t="s">
        <v>73</v>
      </c>
      <c r="AF567">
        <v>384.43056762971128</v>
      </c>
      <c r="AG567">
        <v>6.4</v>
      </c>
      <c r="AH567">
        <v>9</v>
      </c>
      <c r="AI567">
        <v>477</v>
      </c>
      <c r="AJ567">
        <v>126.14507514412368</v>
      </c>
      <c r="AK567">
        <v>641.79999999999995</v>
      </c>
      <c r="AM567">
        <v>92.603105201773147</v>
      </c>
      <c r="AN567">
        <v>336</v>
      </c>
      <c r="AO567" t="s">
        <v>6019</v>
      </c>
      <c r="AP567" t="s">
        <v>3969</v>
      </c>
    </row>
    <row r="568" spans="1:42" x14ac:dyDescent="0.25">
      <c r="A568">
        <v>567</v>
      </c>
      <c r="B568" t="s">
        <v>1880</v>
      </c>
      <c r="C568" t="s">
        <v>1880</v>
      </c>
      <c r="D568" t="s">
        <v>1881</v>
      </c>
      <c r="E568" t="s">
        <v>199</v>
      </c>
      <c r="F568" t="s">
        <v>200</v>
      </c>
      <c r="J568" t="s">
        <v>202</v>
      </c>
      <c r="K568" t="s">
        <v>203</v>
      </c>
      <c r="L568" t="s">
        <v>5053</v>
      </c>
      <c r="M568" t="s">
        <v>5054</v>
      </c>
      <c r="R568" t="s">
        <v>2409</v>
      </c>
      <c r="S568" t="s">
        <v>2410</v>
      </c>
      <c r="T568">
        <v>2</v>
      </c>
      <c r="U568" t="s">
        <v>2430</v>
      </c>
      <c r="V568" t="s">
        <v>2431</v>
      </c>
      <c r="W568">
        <v>6</v>
      </c>
      <c r="X568" t="s">
        <v>2446</v>
      </c>
      <c r="Y568" t="s">
        <v>2447</v>
      </c>
      <c r="Z568">
        <v>4</v>
      </c>
      <c r="AA568" t="s">
        <v>73</v>
      </c>
      <c r="AB568" t="s">
        <v>73</v>
      </c>
      <c r="AF568">
        <v>383.99804108317932</v>
      </c>
      <c r="AG568">
        <v>6.45</v>
      </c>
      <c r="AH568">
        <v>19</v>
      </c>
      <c r="AI568">
        <v>492</v>
      </c>
      <c r="AJ568">
        <v>121.77560120353257</v>
      </c>
      <c r="AK568">
        <v>648.79999999999995</v>
      </c>
      <c r="AL568">
        <v>2011</v>
      </c>
      <c r="AM568">
        <v>170.4858416849456</v>
      </c>
      <c r="AN568">
        <v>0</v>
      </c>
      <c r="AO568" t="s">
        <v>6020</v>
      </c>
      <c r="AP568" t="s">
        <v>1881</v>
      </c>
    </row>
    <row r="569" spans="1:42" x14ac:dyDescent="0.25">
      <c r="A569">
        <v>568</v>
      </c>
      <c r="B569" t="s">
        <v>1421</v>
      </c>
      <c r="C569" t="s">
        <v>1421</v>
      </c>
      <c r="D569" t="s">
        <v>2495</v>
      </c>
      <c r="E569" t="s">
        <v>595</v>
      </c>
      <c r="F569" t="s">
        <v>596</v>
      </c>
      <c r="G569" t="s">
        <v>3167</v>
      </c>
      <c r="H569" t="s">
        <v>3166</v>
      </c>
      <c r="J569" t="s">
        <v>1037</v>
      </c>
      <c r="K569" t="s">
        <v>1038</v>
      </c>
      <c r="R569" t="s">
        <v>73</v>
      </c>
      <c r="S569" t="s">
        <v>73</v>
      </c>
      <c r="U569" t="s">
        <v>73</v>
      </c>
      <c r="V569" t="s">
        <v>73</v>
      </c>
      <c r="X569" t="s">
        <v>73</v>
      </c>
      <c r="Y569" t="s">
        <v>73</v>
      </c>
      <c r="AA569" t="s">
        <v>73</v>
      </c>
      <c r="AB569" t="s">
        <v>73</v>
      </c>
      <c r="AF569">
        <v>383.6595213031581</v>
      </c>
      <c r="AG569">
        <v>7.5652173913042997</v>
      </c>
      <c r="AH569">
        <v>22</v>
      </c>
      <c r="AI569">
        <v>797</v>
      </c>
      <c r="AJ569">
        <v>59.109613042158998</v>
      </c>
      <c r="AK569">
        <v>760.92173913042996</v>
      </c>
      <c r="AM569">
        <v>26.753458259022594</v>
      </c>
      <c r="AN569">
        <v>224</v>
      </c>
      <c r="AO569" t="s">
        <v>6021</v>
      </c>
      <c r="AP569" t="s">
        <v>2495</v>
      </c>
    </row>
    <row r="570" spans="1:42" x14ac:dyDescent="0.25">
      <c r="A570">
        <v>569</v>
      </c>
      <c r="B570" t="s">
        <v>118</v>
      </c>
      <c r="C570" t="s">
        <v>4067</v>
      </c>
      <c r="D570" t="s">
        <v>3128</v>
      </c>
      <c r="E570" t="s">
        <v>101</v>
      </c>
      <c r="F570" t="s">
        <v>102</v>
      </c>
      <c r="G570" t="s">
        <v>108</v>
      </c>
      <c r="H570" t="s">
        <v>109</v>
      </c>
      <c r="I570" t="s">
        <v>119</v>
      </c>
      <c r="O570" t="s">
        <v>63</v>
      </c>
      <c r="P570" t="s">
        <v>64</v>
      </c>
      <c r="Q570">
        <v>13</v>
      </c>
      <c r="R570" t="s">
        <v>2409</v>
      </c>
      <c r="S570" t="s">
        <v>2410</v>
      </c>
      <c r="T570">
        <v>2</v>
      </c>
      <c r="U570" t="s">
        <v>3137</v>
      </c>
      <c r="V570" t="s">
        <v>3136</v>
      </c>
      <c r="W570">
        <v>5</v>
      </c>
      <c r="X570" t="s">
        <v>2440</v>
      </c>
      <c r="Y570" t="s">
        <v>2441</v>
      </c>
      <c r="Z570">
        <v>2</v>
      </c>
      <c r="AF570">
        <v>383.6294516889368</v>
      </c>
      <c r="AG570">
        <v>7.2222222222222001</v>
      </c>
      <c r="AH570">
        <v>8</v>
      </c>
      <c r="AI570">
        <v>688</v>
      </c>
      <c r="AJ570">
        <v>79.6870450864742</v>
      </c>
      <c r="AK570">
        <v>723.82222222222003</v>
      </c>
      <c r="AM570">
        <v>55.561863121063887</v>
      </c>
      <c r="AN570">
        <v>224</v>
      </c>
      <c r="AO570" t="s">
        <v>6022</v>
      </c>
      <c r="AP570" t="s">
        <v>3128</v>
      </c>
    </row>
    <row r="571" spans="1:42" x14ac:dyDescent="0.25">
      <c r="A571">
        <v>570</v>
      </c>
      <c r="B571" t="s">
        <v>1807</v>
      </c>
      <c r="C571" t="s">
        <v>1807</v>
      </c>
      <c r="D571" t="s">
        <v>1808</v>
      </c>
      <c r="E571" t="s">
        <v>161</v>
      </c>
      <c r="F571" t="s">
        <v>161</v>
      </c>
      <c r="G571" t="s">
        <v>3167</v>
      </c>
      <c r="H571" t="s">
        <v>3166</v>
      </c>
      <c r="J571" t="s">
        <v>716</v>
      </c>
      <c r="K571" t="s">
        <v>717</v>
      </c>
      <c r="R571" t="s">
        <v>73</v>
      </c>
      <c r="S571" t="s">
        <v>73</v>
      </c>
      <c r="U571" t="s">
        <v>73</v>
      </c>
      <c r="V571" t="s">
        <v>73</v>
      </c>
      <c r="X571" t="s">
        <v>73</v>
      </c>
      <c r="Y571" t="s">
        <v>73</v>
      </c>
      <c r="AA571" t="s">
        <v>73</v>
      </c>
      <c r="AB571" t="s">
        <v>73</v>
      </c>
      <c r="AF571">
        <v>383.48945384801937</v>
      </c>
      <c r="AG571">
        <v>7.6</v>
      </c>
      <c r="AH571">
        <v>9</v>
      </c>
      <c r="AI571">
        <v>800</v>
      </c>
      <c r="AJ571">
        <v>58.432726497799344</v>
      </c>
      <c r="AK571">
        <v>761.8</v>
      </c>
      <c r="AM571">
        <v>81.805817096919071</v>
      </c>
      <c r="AN571">
        <v>0</v>
      </c>
      <c r="AO571" t="s">
        <v>6023</v>
      </c>
      <c r="AP571" t="s">
        <v>1808</v>
      </c>
    </row>
    <row r="572" spans="1:42" x14ac:dyDescent="0.25">
      <c r="A572">
        <v>571</v>
      </c>
      <c r="B572" t="s">
        <v>2733</v>
      </c>
      <c r="C572" t="s">
        <v>2733</v>
      </c>
      <c r="D572" t="s">
        <v>789</v>
      </c>
      <c r="E572" t="s">
        <v>199</v>
      </c>
      <c r="F572" t="s">
        <v>200</v>
      </c>
      <c r="J572" t="s">
        <v>360</v>
      </c>
      <c r="K572" t="s">
        <v>361</v>
      </c>
      <c r="L572" t="s">
        <v>5197</v>
      </c>
      <c r="M572" t="s">
        <v>5198</v>
      </c>
      <c r="R572" t="s">
        <v>73</v>
      </c>
      <c r="S572" t="s">
        <v>73</v>
      </c>
      <c r="U572" t="s">
        <v>73</v>
      </c>
      <c r="V572" t="s">
        <v>73</v>
      </c>
      <c r="X572" t="s">
        <v>73</v>
      </c>
      <c r="Y572" t="s">
        <v>73</v>
      </c>
      <c r="AA572" t="s">
        <v>73</v>
      </c>
      <c r="AB572" t="s">
        <v>73</v>
      </c>
      <c r="AF572">
        <v>383.44386716772908</v>
      </c>
      <c r="AG572">
        <v>7</v>
      </c>
      <c r="AH572">
        <v>9</v>
      </c>
      <c r="AI572">
        <v>624</v>
      </c>
      <c r="AJ572">
        <v>91.715407964143424</v>
      </c>
      <c r="AK572">
        <v>701.8</v>
      </c>
      <c r="AL572">
        <v>2005</v>
      </c>
      <c r="AM572">
        <v>128.40157114980079</v>
      </c>
      <c r="AN572">
        <v>0</v>
      </c>
      <c r="AO572" t="s">
        <v>6024</v>
      </c>
      <c r="AP572" t="s">
        <v>789</v>
      </c>
    </row>
    <row r="573" spans="1:42" x14ac:dyDescent="0.25">
      <c r="A573">
        <v>572</v>
      </c>
      <c r="B573" t="s">
        <v>77</v>
      </c>
      <c r="C573" t="s">
        <v>77</v>
      </c>
      <c r="D573" t="s">
        <v>78</v>
      </c>
      <c r="E573" t="s">
        <v>58</v>
      </c>
      <c r="F573" t="s">
        <v>59</v>
      </c>
      <c r="G573" t="s">
        <v>108</v>
      </c>
      <c r="H573" t="s">
        <v>109</v>
      </c>
      <c r="I573" t="s">
        <v>81</v>
      </c>
      <c r="O573" t="s">
        <v>63</v>
      </c>
      <c r="P573" t="s">
        <v>64</v>
      </c>
      <c r="R573" t="s">
        <v>2406</v>
      </c>
      <c r="S573" t="s">
        <v>2407</v>
      </c>
      <c r="T573">
        <v>1</v>
      </c>
      <c r="U573" t="s">
        <v>3137</v>
      </c>
      <c r="V573" t="s">
        <v>3136</v>
      </c>
      <c r="W573">
        <v>5</v>
      </c>
      <c r="X573" t="s">
        <v>2443</v>
      </c>
      <c r="Y573" t="s">
        <v>2444</v>
      </c>
      <c r="Z573">
        <v>3</v>
      </c>
      <c r="AF573">
        <v>383.19905575788516</v>
      </c>
      <c r="AG573">
        <v>6.3333333333333002</v>
      </c>
      <c r="AH573">
        <v>5</v>
      </c>
      <c r="AI573">
        <v>463</v>
      </c>
      <c r="AJ573">
        <v>128.92487676802236</v>
      </c>
      <c r="AK573">
        <v>634.33333333333007</v>
      </c>
      <c r="AM573">
        <v>124.49482747523129</v>
      </c>
      <c r="AN573">
        <v>224</v>
      </c>
      <c r="AO573" t="s">
        <v>6025</v>
      </c>
      <c r="AP573" t="s">
        <v>78</v>
      </c>
    </row>
    <row r="574" spans="1:42" x14ac:dyDescent="0.25">
      <c r="A574">
        <v>573</v>
      </c>
      <c r="B574" t="s">
        <v>2858</v>
      </c>
      <c r="C574" t="s">
        <v>2858</v>
      </c>
      <c r="D574" t="s">
        <v>2843</v>
      </c>
      <c r="E574" t="s">
        <v>91</v>
      </c>
      <c r="F574" t="s">
        <v>92</v>
      </c>
      <c r="G574" t="s">
        <v>632</v>
      </c>
      <c r="H574" t="s">
        <v>633</v>
      </c>
      <c r="I574" t="s">
        <v>3077</v>
      </c>
      <c r="J574" t="s">
        <v>3075</v>
      </c>
      <c r="K574" t="s">
        <v>3076</v>
      </c>
      <c r="L574" t="s">
        <v>4516</v>
      </c>
      <c r="M574" t="s">
        <v>4517</v>
      </c>
      <c r="R574" t="s">
        <v>2409</v>
      </c>
      <c r="S574" t="s">
        <v>2410</v>
      </c>
      <c r="T574">
        <v>2</v>
      </c>
      <c r="U574" t="s">
        <v>2432</v>
      </c>
      <c r="V574" t="s">
        <v>2433</v>
      </c>
      <c r="W574">
        <v>7</v>
      </c>
      <c r="X574" t="s">
        <v>2446</v>
      </c>
      <c r="Y574" t="s">
        <v>2447</v>
      </c>
      <c r="Z574">
        <v>4</v>
      </c>
      <c r="AF574">
        <v>383.13364004972965</v>
      </c>
      <c r="AG574">
        <v>7.2307692307691998</v>
      </c>
      <c r="AH574">
        <v>12</v>
      </c>
      <c r="AI574">
        <v>697</v>
      </c>
      <c r="AJ574">
        <v>78.216865012521836</v>
      </c>
      <c r="AK574">
        <v>725.47692307692</v>
      </c>
      <c r="AM574">
        <v>53.503611017530567</v>
      </c>
      <c r="AN574">
        <v>224</v>
      </c>
      <c r="AO574" t="s">
        <v>6026</v>
      </c>
      <c r="AP574" t="s">
        <v>2843</v>
      </c>
    </row>
    <row r="575" spans="1:42" x14ac:dyDescent="0.25">
      <c r="A575">
        <v>574</v>
      </c>
      <c r="B575" t="s">
        <v>116</v>
      </c>
      <c r="C575" t="s">
        <v>116</v>
      </c>
      <c r="D575" t="s">
        <v>117</v>
      </c>
      <c r="E575" t="s">
        <v>101</v>
      </c>
      <c r="F575" t="s">
        <v>102</v>
      </c>
      <c r="G575" t="s">
        <v>108</v>
      </c>
      <c r="H575" t="s">
        <v>109</v>
      </c>
      <c r="I575" t="s">
        <v>117</v>
      </c>
      <c r="O575" t="s">
        <v>63</v>
      </c>
      <c r="P575" t="s">
        <v>64</v>
      </c>
      <c r="Q575">
        <v>16</v>
      </c>
      <c r="R575" t="s">
        <v>2420</v>
      </c>
      <c r="S575" t="s">
        <v>2421</v>
      </c>
      <c r="T575">
        <v>5</v>
      </c>
      <c r="U575" t="s">
        <v>3137</v>
      </c>
      <c r="V575" t="s">
        <v>3136</v>
      </c>
      <c r="W575">
        <v>5</v>
      </c>
      <c r="X575" t="s">
        <v>2440</v>
      </c>
      <c r="Y575" t="s">
        <v>2441</v>
      </c>
      <c r="Z575">
        <v>2</v>
      </c>
      <c r="AF575">
        <v>383.10704279021184</v>
      </c>
      <c r="AG575">
        <v>5</v>
      </c>
      <c r="AH575">
        <v>6</v>
      </c>
      <c r="AI575">
        <v>206</v>
      </c>
      <c r="AJ575">
        <v>202.78560310023539</v>
      </c>
      <c r="AK575">
        <v>501.2</v>
      </c>
      <c r="AM575">
        <v>171.89984434032954</v>
      </c>
      <c r="AN575">
        <v>448</v>
      </c>
      <c r="AO575" t="s">
        <v>6027</v>
      </c>
      <c r="AP575" t="s">
        <v>117</v>
      </c>
    </row>
    <row r="576" spans="1:42" x14ac:dyDescent="0.25">
      <c r="A576">
        <v>575</v>
      </c>
      <c r="B576" t="s">
        <v>3388</v>
      </c>
      <c r="C576" t="s">
        <v>3388</v>
      </c>
      <c r="D576" t="s">
        <v>3534</v>
      </c>
      <c r="E576" t="s">
        <v>137</v>
      </c>
      <c r="F576" t="s">
        <v>138</v>
      </c>
      <c r="G576" t="s">
        <v>139</v>
      </c>
      <c r="H576" t="s">
        <v>140</v>
      </c>
      <c r="J576" t="s">
        <v>426</v>
      </c>
      <c r="K576" t="s">
        <v>427</v>
      </c>
      <c r="L576" t="s">
        <v>4593</v>
      </c>
      <c r="M576" t="s">
        <v>4594</v>
      </c>
      <c r="Q576">
        <v>12</v>
      </c>
      <c r="R576" t="s">
        <v>2409</v>
      </c>
      <c r="S576" t="s">
        <v>2410</v>
      </c>
      <c r="T576">
        <v>2</v>
      </c>
      <c r="U576" t="s">
        <v>2432</v>
      </c>
      <c r="V576" t="s">
        <v>2433</v>
      </c>
      <c r="W576">
        <v>7</v>
      </c>
      <c r="X576" t="s">
        <v>2446</v>
      </c>
      <c r="Y576" t="s">
        <v>2447</v>
      </c>
      <c r="Z576">
        <v>4</v>
      </c>
      <c r="AA576" t="s">
        <v>73</v>
      </c>
      <c r="AB576" t="s">
        <v>73</v>
      </c>
      <c r="AF576">
        <v>383.0563621036203</v>
      </c>
      <c r="AG576">
        <v>6.1428571428570997</v>
      </c>
      <c r="AH576">
        <v>6</v>
      </c>
      <c r="AI576">
        <v>415</v>
      </c>
      <c r="AJ576">
        <v>139.23722773418365</v>
      </c>
      <c r="AK576">
        <v>615.48571428571006</v>
      </c>
      <c r="AM576">
        <v>194.9321188278571</v>
      </c>
      <c r="AN576">
        <v>0</v>
      </c>
      <c r="AO576" t="s">
        <v>6028</v>
      </c>
      <c r="AP576" t="s">
        <v>3534</v>
      </c>
    </row>
    <row r="577" spans="1:42" x14ac:dyDescent="0.25">
      <c r="A577">
        <v>576</v>
      </c>
      <c r="B577" t="s">
        <v>2930</v>
      </c>
      <c r="C577" t="s">
        <v>4120</v>
      </c>
      <c r="D577" t="s">
        <v>5210</v>
      </c>
      <c r="E577" t="s">
        <v>199</v>
      </c>
      <c r="F577" t="s">
        <v>200</v>
      </c>
      <c r="J577" t="s">
        <v>3164</v>
      </c>
      <c r="K577" t="s">
        <v>309</v>
      </c>
      <c r="L577" t="s">
        <v>5204</v>
      </c>
      <c r="M577" t="s">
        <v>5205</v>
      </c>
      <c r="R577" t="s">
        <v>73</v>
      </c>
      <c r="S577" t="s">
        <v>73</v>
      </c>
      <c r="U577" t="s">
        <v>73</v>
      </c>
      <c r="V577" t="s">
        <v>73</v>
      </c>
      <c r="X577" t="s">
        <v>73</v>
      </c>
      <c r="Y577" t="s">
        <v>73</v>
      </c>
      <c r="AA577" t="s">
        <v>73</v>
      </c>
      <c r="AB577" t="s">
        <v>73</v>
      </c>
      <c r="AF577">
        <v>382.86080466501244</v>
      </c>
      <c r="AG577">
        <v>7.75</v>
      </c>
      <c r="AH577">
        <v>15</v>
      </c>
      <c r="AI577">
        <v>819</v>
      </c>
      <c r="AJ577">
        <v>48.734227405569349</v>
      </c>
      <c r="AK577">
        <v>778</v>
      </c>
      <c r="AM577">
        <v>68.227918367797088</v>
      </c>
      <c r="AN577">
        <v>0</v>
      </c>
      <c r="AO577" t="s">
        <v>6029</v>
      </c>
      <c r="AP577" t="s">
        <v>5210</v>
      </c>
    </row>
    <row r="578" spans="1:42" x14ac:dyDescent="0.25">
      <c r="A578">
        <v>577</v>
      </c>
      <c r="B578" t="s">
        <v>2911</v>
      </c>
      <c r="C578" t="s">
        <v>2911</v>
      </c>
      <c r="D578" t="s">
        <v>1727</v>
      </c>
      <c r="E578" t="s">
        <v>282</v>
      </c>
      <c r="F578" t="s">
        <v>283</v>
      </c>
      <c r="G578" t="s">
        <v>3167</v>
      </c>
      <c r="H578" t="s">
        <v>3166</v>
      </c>
      <c r="I578" t="s">
        <v>1728</v>
      </c>
      <c r="J578" t="s">
        <v>285</v>
      </c>
      <c r="K578" t="s">
        <v>286</v>
      </c>
      <c r="R578" t="s">
        <v>73</v>
      </c>
      <c r="S578" t="s">
        <v>73</v>
      </c>
      <c r="U578" t="s">
        <v>73</v>
      </c>
      <c r="V578" t="s">
        <v>73</v>
      </c>
      <c r="X578" t="s">
        <v>73</v>
      </c>
      <c r="Y578" t="s">
        <v>73</v>
      </c>
      <c r="AF578">
        <v>382.76656353116124</v>
      </c>
      <c r="AG578">
        <v>5.5294117647059</v>
      </c>
      <c r="AH578">
        <v>16</v>
      </c>
      <c r="AI578">
        <v>293</v>
      </c>
      <c r="AJ578">
        <v>171.88441699540689</v>
      </c>
      <c r="AK578">
        <v>556.14117647059004</v>
      </c>
      <c r="AM578">
        <v>184.63818379356965</v>
      </c>
      <c r="AN578">
        <v>224</v>
      </c>
      <c r="AO578" t="s">
        <v>6030</v>
      </c>
      <c r="AP578" t="s">
        <v>1727</v>
      </c>
    </row>
    <row r="579" spans="1:42" x14ac:dyDescent="0.25">
      <c r="A579">
        <v>578</v>
      </c>
      <c r="B579" t="s">
        <v>915</v>
      </c>
      <c r="C579" t="s">
        <v>915</v>
      </c>
      <c r="D579" t="s">
        <v>916</v>
      </c>
      <c r="E579" t="s">
        <v>595</v>
      </c>
      <c r="F579" t="s">
        <v>596</v>
      </c>
      <c r="G579" t="s">
        <v>3167</v>
      </c>
      <c r="H579" t="s">
        <v>3166</v>
      </c>
      <c r="I579" t="s">
        <v>917</v>
      </c>
      <c r="J579" t="s">
        <v>625</v>
      </c>
      <c r="K579" t="s">
        <v>626</v>
      </c>
      <c r="R579" t="s">
        <v>73</v>
      </c>
      <c r="S579" t="s">
        <v>73</v>
      </c>
      <c r="U579" t="s">
        <v>73</v>
      </c>
      <c r="V579" t="s">
        <v>73</v>
      </c>
      <c r="X579" t="s">
        <v>73</v>
      </c>
      <c r="Y579" t="s">
        <v>73</v>
      </c>
      <c r="AF579">
        <v>382.52701155825355</v>
      </c>
      <c r="AG579">
        <v>7.1538461538462004</v>
      </c>
      <c r="AH579">
        <v>25</v>
      </c>
      <c r="AI579">
        <v>667</v>
      </c>
      <c r="AJ579">
        <v>80.371893184381719</v>
      </c>
      <c r="AK579">
        <v>720.38461538462002</v>
      </c>
      <c r="AM579">
        <v>56.520650458134398</v>
      </c>
      <c r="AN579">
        <v>224</v>
      </c>
      <c r="AO579" t="s">
        <v>6031</v>
      </c>
      <c r="AP579" t="s">
        <v>916</v>
      </c>
    </row>
    <row r="580" spans="1:42" x14ac:dyDescent="0.25">
      <c r="A580">
        <v>579</v>
      </c>
      <c r="B580" t="s">
        <v>1803</v>
      </c>
      <c r="C580" t="s">
        <v>1803</v>
      </c>
      <c r="D580" t="s">
        <v>1804</v>
      </c>
      <c r="E580" t="s">
        <v>67</v>
      </c>
      <c r="F580" t="s">
        <v>68</v>
      </c>
      <c r="G580" t="s">
        <v>69</v>
      </c>
      <c r="H580" t="s">
        <v>70</v>
      </c>
      <c r="I580" t="s">
        <v>1805</v>
      </c>
      <c r="J580" t="s">
        <v>1795</v>
      </c>
      <c r="K580" t="s">
        <v>1796</v>
      </c>
      <c r="L580" t="s">
        <v>5379</v>
      </c>
      <c r="M580" t="s">
        <v>5380</v>
      </c>
      <c r="R580" t="s">
        <v>73</v>
      </c>
      <c r="S580" t="s">
        <v>73</v>
      </c>
      <c r="U580" t="s">
        <v>73</v>
      </c>
      <c r="V580" t="s">
        <v>73</v>
      </c>
      <c r="X580" t="s">
        <v>73</v>
      </c>
      <c r="Y580" t="s">
        <v>73</v>
      </c>
      <c r="AA580" t="s">
        <v>73</v>
      </c>
      <c r="AB580" t="s">
        <v>73</v>
      </c>
      <c r="AF580">
        <v>382.27055633469348</v>
      </c>
      <c r="AG580">
        <v>6.1666666666666998</v>
      </c>
      <c r="AH580">
        <v>5</v>
      </c>
      <c r="AI580">
        <v>431</v>
      </c>
      <c r="AJ580">
        <v>137.15247000150944</v>
      </c>
      <c r="AK580">
        <v>617.66666666666993</v>
      </c>
      <c r="AM580">
        <v>164.0134580021132</v>
      </c>
      <c r="AN580">
        <v>112</v>
      </c>
      <c r="AO580" t="s">
        <v>6032</v>
      </c>
      <c r="AP580" t="s">
        <v>1804</v>
      </c>
    </row>
    <row r="581" spans="1:42" x14ac:dyDescent="0.25">
      <c r="A581">
        <v>580</v>
      </c>
      <c r="B581" t="s">
        <v>3753</v>
      </c>
      <c r="C581" t="s">
        <v>3753</v>
      </c>
      <c r="D581" t="s">
        <v>3768</v>
      </c>
      <c r="E581" t="s">
        <v>556</v>
      </c>
      <c r="F581" t="s">
        <v>557</v>
      </c>
      <c r="G581" t="s">
        <v>60</v>
      </c>
      <c r="H581" t="s">
        <v>61</v>
      </c>
      <c r="I581" t="s">
        <v>3767</v>
      </c>
      <c r="J581" t="s">
        <v>3758</v>
      </c>
      <c r="K581" t="s">
        <v>3759</v>
      </c>
      <c r="R581" t="s">
        <v>73</v>
      </c>
      <c r="S581" t="s">
        <v>73</v>
      </c>
      <c r="U581" t="s">
        <v>73</v>
      </c>
      <c r="V581" t="s">
        <v>73</v>
      </c>
      <c r="X581" t="s">
        <v>73</v>
      </c>
      <c r="Y581" t="s">
        <v>73</v>
      </c>
      <c r="AA581" t="s">
        <v>73</v>
      </c>
      <c r="AB581" t="s">
        <v>73</v>
      </c>
      <c r="AF581">
        <v>381.9</v>
      </c>
      <c r="AG581">
        <v>7.9</v>
      </c>
      <c r="AH581">
        <v>9</v>
      </c>
      <c r="AI581">
        <v>853</v>
      </c>
      <c r="AJ581">
        <v>40</v>
      </c>
      <c r="AK581">
        <v>791.8</v>
      </c>
      <c r="AM581">
        <v>0</v>
      </c>
      <c r="AN581">
        <v>224</v>
      </c>
      <c r="AO581" t="s">
        <v>6033</v>
      </c>
      <c r="AP581" t="s">
        <v>3768</v>
      </c>
    </row>
    <row r="582" spans="1:42" x14ac:dyDescent="0.25">
      <c r="A582">
        <v>581</v>
      </c>
      <c r="B582" t="s">
        <v>3367</v>
      </c>
      <c r="C582" t="s">
        <v>3367</v>
      </c>
      <c r="D582" t="s">
        <v>3368</v>
      </c>
      <c r="E582" t="s">
        <v>3643</v>
      </c>
      <c r="F582" t="s">
        <v>786</v>
      </c>
      <c r="G582" t="s">
        <v>60</v>
      </c>
      <c r="H582" t="s">
        <v>61</v>
      </c>
      <c r="R582" t="s">
        <v>2420</v>
      </c>
      <c r="S582" t="s">
        <v>2421</v>
      </c>
      <c r="T582">
        <v>5</v>
      </c>
      <c r="U582" t="s">
        <v>73</v>
      </c>
      <c r="V582" t="s">
        <v>73</v>
      </c>
      <c r="X582" t="s">
        <v>73</v>
      </c>
      <c r="Y582" t="s">
        <v>73</v>
      </c>
      <c r="AA582" t="s">
        <v>73</v>
      </c>
      <c r="AB582" t="s">
        <v>73</v>
      </c>
      <c r="AF582">
        <v>381.74749987968221</v>
      </c>
      <c r="AG582">
        <v>6</v>
      </c>
      <c r="AH582">
        <v>6</v>
      </c>
      <c r="AI582">
        <v>387</v>
      </c>
      <c r="AJ582">
        <v>145.71944431075798</v>
      </c>
      <c r="AK582">
        <v>601.20000000000005</v>
      </c>
      <c r="AM582">
        <v>92.007222035061133</v>
      </c>
      <c r="AN582">
        <v>448</v>
      </c>
      <c r="AO582" t="s">
        <v>6034</v>
      </c>
      <c r="AP582" t="s">
        <v>3368</v>
      </c>
    </row>
    <row r="583" spans="1:42" x14ac:dyDescent="0.25">
      <c r="A583">
        <v>582</v>
      </c>
      <c r="B583" t="s">
        <v>1408</v>
      </c>
      <c r="C583" t="s">
        <v>1408</v>
      </c>
      <c r="D583" t="s">
        <v>3229</v>
      </c>
      <c r="E583" t="s">
        <v>471</v>
      </c>
      <c r="F583" t="s">
        <v>472</v>
      </c>
      <c r="G583" t="s">
        <v>93</v>
      </c>
      <c r="H583" t="s">
        <v>94</v>
      </c>
      <c r="I583" t="s">
        <v>3230</v>
      </c>
      <c r="J583" t="s">
        <v>3242</v>
      </c>
      <c r="K583" t="s">
        <v>3233</v>
      </c>
      <c r="Q583">
        <v>13</v>
      </c>
      <c r="R583" t="s">
        <v>2409</v>
      </c>
      <c r="S583" t="s">
        <v>2410</v>
      </c>
      <c r="T583">
        <v>2</v>
      </c>
      <c r="U583" t="s">
        <v>3137</v>
      </c>
      <c r="V583" t="s">
        <v>3136</v>
      </c>
      <c r="W583">
        <v>5</v>
      </c>
      <c r="X583" t="s">
        <v>2446</v>
      </c>
      <c r="Y583" t="s">
        <v>2447</v>
      </c>
      <c r="Z583">
        <v>4</v>
      </c>
      <c r="AA583" t="s">
        <v>73</v>
      </c>
      <c r="AB583" t="s">
        <v>73</v>
      </c>
      <c r="AE583" t="s">
        <v>1409</v>
      </c>
      <c r="AF583">
        <v>381.29753638510203</v>
      </c>
      <c r="AG583">
        <v>7.2727272727273</v>
      </c>
      <c r="AH583">
        <v>10</v>
      </c>
      <c r="AI583">
        <v>716</v>
      </c>
      <c r="AJ583">
        <v>74.067969720818951</v>
      </c>
      <c r="AK583">
        <v>729.27272727272998</v>
      </c>
      <c r="AM583">
        <v>75.695157609146534</v>
      </c>
      <c r="AN583">
        <v>112</v>
      </c>
      <c r="AO583" t="s">
        <v>6035</v>
      </c>
      <c r="AP583" t="s">
        <v>3229</v>
      </c>
    </row>
    <row r="584" spans="1:42" x14ac:dyDescent="0.25">
      <c r="A584">
        <v>583</v>
      </c>
      <c r="B584" t="s">
        <v>2739</v>
      </c>
      <c r="C584" t="s">
        <v>2739</v>
      </c>
      <c r="D584" t="s">
        <v>2499</v>
      </c>
      <c r="E584" t="s">
        <v>199</v>
      </c>
      <c r="F584" t="s">
        <v>200</v>
      </c>
      <c r="I584" t="s">
        <v>1433</v>
      </c>
      <c r="J584" t="s">
        <v>649</v>
      </c>
      <c r="K584" t="s">
        <v>650</v>
      </c>
      <c r="L584" t="s">
        <v>5193</v>
      </c>
      <c r="M584" t="s">
        <v>5194</v>
      </c>
      <c r="Q584">
        <v>11</v>
      </c>
      <c r="R584" t="s">
        <v>2409</v>
      </c>
      <c r="S584" t="s">
        <v>2410</v>
      </c>
      <c r="T584">
        <v>2</v>
      </c>
      <c r="U584" t="s">
        <v>2430</v>
      </c>
      <c r="V584" t="s">
        <v>2431</v>
      </c>
      <c r="W584">
        <v>6</v>
      </c>
      <c r="X584" t="s">
        <v>2440</v>
      </c>
      <c r="Y584" t="s">
        <v>2441</v>
      </c>
      <c r="Z584">
        <v>2</v>
      </c>
      <c r="AA584" t="s">
        <v>73</v>
      </c>
      <c r="AB584" t="s">
        <v>73</v>
      </c>
      <c r="AE584" t="s">
        <v>3918</v>
      </c>
      <c r="AF584">
        <v>380.87507785537315</v>
      </c>
      <c r="AG584">
        <v>7.0416666666666998</v>
      </c>
      <c r="AH584">
        <v>23</v>
      </c>
      <c r="AI584">
        <v>647</v>
      </c>
      <c r="AJ584">
        <v>84.990827246709074</v>
      </c>
      <c r="AK584">
        <v>708.76666666666995</v>
      </c>
      <c r="AM584">
        <v>118.9871581453927</v>
      </c>
      <c r="AN584">
        <v>0</v>
      </c>
      <c r="AO584" t="s">
        <v>6036</v>
      </c>
      <c r="AP584" t="s">
        <v>2499</v>
      </c>
    </row>
    <row r="585" spans="1:42" x14ac:dyDescent="0.25">
      <c r="A585">
        <v>584</v>
      </c>
      <c r="B585" t="s">
        <v>3396</v>
      </c>
      <c r="C585" t="s">
        <v>4065</v>
      </c>
      <c r="D585" t="s">
        <v>3920</v>
      </c>
      <c r="E585" t="s">
        <v>5312</v>
      </c>
      <c r="F585" t="s">
        <v>157</v>
      </c>
      <c r="G585" t="s">
        <v>158</v>
      </c>
      <c r="H585" t="s">
        <v>159</v>
      </c>
      <c r="I585" t="s">
        <v>3921</v>
      </c>
      <c r="J585" t="s">
        <v>3085</v>
      </c>
      <c r="K585" t="s">
        <v>3086</v>
      </c>
      <c r="L585" t="s">
        <v>5284</v>
      </c>
      <c r="M585" t="s">
        <v>5285</v>
      </c>
      <c r="O585" t="s">
        <v>3922</v>
      </c>
      <c r="P585" t="s">
        <v>3922</v>
      </c>
      <c r="Q585">
        <v>13</v>
      </c>
      <c r="R585" t="s">
        <v>2420</v>
      </c>
      <c r="S585" t="s">
        <v>2421</v>
      </c>
      <c r="T585">
        <v>5</v>
      </c>
      <c r="U585" t="s">
        <v>2430</v>
      </c>
      <c r="V585" t="s">
        <v>2431</v>
      </c>
      <c r="W585">
        <v>6</v>
      </c>
      <c r="X585" t="s">
        <v>2440</v>
      </c>
      <c r="Y585" t="s">
        <v>2441</v>
      </c>
      <c r="Z585">
        <v>2</v>
      </c>
      <c r="AA585" t="s">
        <v>73</v>
      </c>
      <c r="AB585" t="s">
        <v>73</v>
      </c>
      <c r="AE585" t="s">
        <v>3923</v>
      </c>
      <c r="AF585">
        <v>380.78000652108426</v>
      </c>
      <c r="AG585">
        <v>6.8333333333333002</v>
      </c>
      <c r="AH585">
        <v>5</v>
      </c>
      <c r="AI585">
        <v>595</v>
      </c>
      <c r="AJ585">
        <v>98.459266504910218</v>
      </c>
      <c r="AK585">
        <v>684.33333333333007</v>
      </c>
      <c r="AM585">
        <v>137.8429731068743</v>
      </c>
      <c r="AN585">
        <v>0</v>
      </c>
      <c r="AO585" t="s">
        <v>6037</v>
      </c>
      <c r="AP585" t="s">
        <v>3920</v>
      </c>
    </row>
    <row r="586" spans="1:42" x14ac:dyDescent="0.25">
      <c r="A586">
        <v>585</v>
      </c>
      <c r="B586" t="s">
        <v>2678</v>
      </c>
      <c r="C586" t="s">
        <v>2678</v>
      </c>
      <c r="D586" t="s">
        <v>2669</v>
      </c>
      <c r="E586" t="s">
        <v>1775</v>
      </c>
      <c r="F586" t="s">
        <v>1775</v>
      </c>
      <c r="G586" t="s">
        <v>151</v>
      </c>
      <c r="H586" t="s">
        <v>152</v>
      </c>
      <c r="I586" t="s">
        <v>5077</v>
      </c>
      <c r="R586" t="s">
        <v>73</v>
      </c>
      <c r="S586" t="s">
        <v>73</v>
      </c>
      <c r="U586" t="s">
        <v>73</v>
      </c>
      <c r="V586" t="s">
        <v>73</v>
      </c>
      <c r="X586" t="s">
        <v>73</v>
      </c>
      <c r="Y586" t="s">
        <v>73</v>
      </c>
      <c r="AF586">
        <v>380.72109978664491</v>
      </c>
      <c r="AG586">
        <v>6.3333333333333002</v>
      </c>
      <c r="AH586">
        <v>8</v>
      </c>
      <c r="AI586">
        <v>478</v>
      </c>
      <c r="AJ586">
        <v>125.83825902219982</v>
      </c>
      <c r="AK586">
        <v>634.9333333333301</v>
      </c>
      <c r="AM586">
        <v>64.173562631079747</v>
      </c>
      <c r="AN586">
        <v>448</v>
      </c>
      <c r="AO586" t="s">
        <v>6038</v>
      </c>
      <c r="AP586" t="s">
        <v>2669</v>
      </c>
    </row>
    <row r="587" spans="1:42" x14ac:dyDescent="0.25">
      <c r="A587">
        <v>586</v>
      </c>
      <c r="B587" t="s">
        <v>643</v>
      </c>
      <c r="C587" t="s">
        <v>643</v>
      </c>
      <c r="D587" t="s">
        <v>644</v>
      </c>
      <c r="E587" t="s">
        <v>255</v>
      </c>
      <c r="F587" t="s">
        <v>256</v>
      </c>
      <c r="G587" t="s">
        <v>257</v>
      </c>
      <c r="H587" t="s">
        <v>258</v>
      </c>
      <c r="I587" t="s">
        <v>645</v>
      </c>
      <c r="J587" t="s">
        <v>382</v>
      </c>
      <c r="K587" t="s">
        <v>383</v>
      </c>
      <c r="L587">
        <v>52.425382020400001</v>
      </c>
      <c r="M587">
        <v>4.6228931496300003</v>
      </c>
      <c r="Q587">
        <v>14</v>
      </c>
      <c r="R587" t="s">
        <v>2414</v>
      </c>
      <c r="S587" t="s">
        <v>2415</v>
      </c>
      <c r="T587">
        <v>3</v>
      </c>
      <c r="U587" t="s">
        <v>3137</v>
      </c>
      <c r="V587" t="s">
        <v>3136</v>
      </c>
      <c r="W587">
        <v>5</v>
      </c>
      <c r="X587" t="s">
        <v>2446</v>
      </c>
      <c r="Y587" t="s">
        <v>2447</v>
      </c>
      <c r="Z587">
        <v>4</v>
      </c>
      <c r="AA587" t="s">
        <v>73</v>
      </c>
      <c r="AB587" t="s">
        <v>73</v>
      </c>
      <c r="AC587" t="s">
        <v>646</v>
      </c>
      <c r="AD587" t="s">
        <v>646</v>
      </c>
      <c r="AF587">
        <v>380.67940956883314</v>
      </c>
      <c r="AG587">
        <v>7.1037735849057002</v>
      </c>
      <c r="AH587">
        <v>105</v>
      </c>
      <c r="AI587">
        <v>733</v>
      </c>
      <c r="AJ587">
        <v>72.211922581720145</v>
      </c>
      <c r="AK587">
        <v>731.37735849057003</v>
      </c>
      <c r="AL587">
        <v>2004</v>
      </c>
      <c r="AM587">
        <v>101.0966916144082</v>
      </c>
      <c r="AN587">
        <v>0</v>
      </c>
      <c r="AO587" t="s">
        <v>6039</v>
      </c>
      <c r="AP587" t="s">
        <v>644</v>
      </c>
    </row>
    <row r="588" spans="1:42" x14ac:dyDescent="0.25">
      <c r="A588">
        <v>587</v>
      </c>
      <c r="B588" t="s">
        <v>3322</v>
      </c>
      <c r="C588" t="s">
        <v>3322</v>
      </c>
      <c r="D588" t="s">
        <v>3686</v>
      </c>
      <c r="E588" t="s">
        <v>595</v>
      </c>
      <c r="F588" t="s">
        <v>596</v>
      </c>
      <c r="G588" t="s">
        <v>3167</v>
      </c>
      <c r="H588" t="s">
        <v>3166</v>
      </c>
      <c r="I588" t="s">
        <v>3997</v>
      </c>
      <c r="J588" t="s">
        <v>1037</v>
      </c>
      <c r="K588" t="s">
        <v>1038</v>
      </c>
      <c r="Q588">
        <v>15</v>
      </c>
      <c r="R588" t="s">
        <v>2417</v>
      </c>
      <c r="S588" t="s">
        <v>2418</v>
      </c>
      <c r="T588">
        <v>4</v>
      </c>
      <c r="U588" t="s">
        <v>3139</v>
      </c>
      <c r="V588" t="s">
        <v>3140</v>
      </c>
      <c r="W588">
        <v>4</v>
      </c>
      <c r="X588" t="s">
        <v>2446</v>
      </c>
      <c r="Y588" t="s">
        <v>2447</v>
      </c>
      <c r="Z588">
        <v>4</v>
      </c>
      <c r="AA588" t="s">
        <v>73</v>
      </c>
      <c r="AB588" t="s">
        <v>73</v>
      </c>
      <c r="AF588">
        <v>380.157142857145</v>
      </c>
      <c r="AG588">
        <v>7.8571428571429003</v>
      </c>
      <c r="AH588">
        <v>13</v>
      </c>
      <c r="AI588">
        <v>854</v>
      </c>
      <c r="AJ588">
        <v>40</v>
      </c>
      <c r="AK588">
        <v>788.31428571429001</v>
      </c>
      <c r="AM588">
        <v>0</v>
      </c>
      <c r="AN588">
        <v>224</v>
      </c>
      <c r="AO588" t="s">
        <v>6040</v>
      </c>
      <c r="AP588" t="s">
        <v>3686</v>
      </c>
    </row>
    <row r="589" spans="1:42" x14ac:dyDescent="0.25">
      <c r="A589">
        <v>588</v>
      </c>
      <c r="B589" t="s">
        <v>2662</v>
      </c>
      <c r="C589" t="s">
        <v>2662</v>
      </c>
      <c r="D589" t="s">
        <v>3295</v>
      </c>
      <c r="E589" t="s">
        <v>300</v>
      </c>
      <c r="F589" t="s">
        <v>301</v>
      </c>
      <c r="G589" t="s">
        <v>151</v>
      </c>
      <c r="H589" t="s">
        <v>152</v>
      </c>
      <c r="I589" t="s">
        <v>3257</v>
      </c>
      <c r="J589" t="s">
        <v>3251</v>
      </c>
      <c r="K589" t="s">
        <v>3253</v>
      </c>
      <c r="O589" t="s">
        <v>3299</v>
      </c>
      <c r="P589" t="s">
        <v>3299</v>
      </c>
      <c r="Q589">
        <v>16</v>
      </c>
      <c r="R589" t="s">
        <v>2414</v>
      </c>
      <c r="S589" t="s">
        <v>2415</v>
      </c>
      <c r="T589">
        <v>3</v>
      </c>
      <c r="U589" t="s">
        <v>3137</v>
      </c>
      <c r="V589" t="s">
        <v>3136</v>
      </c>
      <c r="W589">
        <v>5</v>
      </c>
      <c r="X589" t="s">
        <v>2443</v>
      </c>
      <c r="Y589" t="s">
        <v>2444</v>
      </c>
      <c r="Z589">
        <v>3</v>
      </c>
      <c r="AA589" t="s">
        <v>73</v>
      </c>
      <c r="AB589" t="s">
        <v>73</v>
      </c>
      <c r="AE589" t="s">
        <v>3300</v>
      </c>
      <c r="AF589">
        <v>379.92219852538994</v>
      </c>
      <c r="AG589">
        <v>5.6</v>
      </c>
      <c r="AH589">
        <v>9</v>
      </c>
      <c r="AI589">
        <v>306</v>
      </c>
      <c r="AJ589">
        <v>165.58022058376659</v>
      </c>
      <c r="AK589">
        <v>561.79999999999995</v>
      </c>
      <c r="AM589">
        <v>119.81230881727322</v>
      </c>
      <c r="AN589">
        <v>448</v>
      </c>
      <c r="AO589" t="s">
        <v>6041</v>
      </c>
      <c r="AP589" t="s">
        <v>3295</v>
      </c>
    </row>
    <row r="590" spans="1:42" x14ac:dyDescent="0.25">
      <c r="A590">
        <v>589</v>
      </c>
      <c r="B590" t="s">
        <v>1103</v>
      </c>
      <c r="C590" t="s">
        <v>1103</v>
      </c>
      <c r="D590" t="s">
        <v>1104</v>
      </c>
      <c r="E590" t="s">
        <v>318</v>
      </c>
      <c r="F590" t="s">
        <v>319</v>
      </c>
      <c r="G590" t="s">
        <v>75</v>
      </c>
      <c r="H590" t="s">
        <v>76</v>
      </c>
      <c r="R590" t="s">
        <v>73</v>
      </c>
      <c r="S590" t="s">
        <v>73</v>
      </c>
      <c r="U590" t="s">
        <v>73</v>
      </c>
      <c r="V590" t="s">
        <v>73</v>
      </c>
      <c r="X590" t="s">
        <v>73</v>
      </c>
      <c r="Y590" t="s">
        <v>73</v>
      </c>
      <c r="AA590" t="s">
        <v>73</v>
      </c>
      <c r="AB590" t="s">
        <v>73</v>
      </c>
      <c r="AF590">
        <v>379.7</v>
      </c>
      <c r="AG590">
        <v>7.5</v>
      </c>
      <c r="AH590">
        <v>7</v>
      </c>
      <c r="AI590">
        <v>768</v>
      </c>
      <c r="AJ590">
        <v>60.000000000000007</v>
      </c>
      <c r="AK590">
        <v>751.4</v>
      </c>
      <c r="AM590">
        <v>0</v>
      </c>
      <c r="AN590">
        <v>336</v>
      </c>
      <c r="AO590" t="s">
        <v>6042</v>
      </c>
      <c r="AP590" t="s">
        <v>1104</v>
      </c>
    </row>
    <row r="591" spans="1:42" x14ac:dyDescent="0.25">
      <c r="A591">
        <v>590</v>
      </c>
      <c r="B591" t="s">
        <v>3387</v>
      </c>
      <c r="C591" t="s">
        <v>3387</v>
      </c>
      <c r="D591" t="s">
        <v>3824</v>
      </c>
      <c r="E591" t="s">
        <v>199</v>
      </c>
      <c r="F591" t="s">
        <v>200</v>
      </c>
      <c r="G591" t="s">
        <v>139</v>
      </c>
      <c r="H591" t="s">
        <v>140</v>
      </c>
      <c r="I591" t="s">
        <v>1906</v>
      </c>
      <c r="J591" t="s">
        <v>326</v>
      </c>
      <c r="K591" t="s">
        <v>327</v>
      </c>
      <c r="L591" t="s">
        <v>4732</v>
      </c>
      <c r="M591" t="s">
        <v>4733</v>
      </c>
      <c r="R591" t="s">
        <v>73</v>
      </c>
      <c r="S591" t="s">
        <v>73</v>
      </c>
      <c r="U591" t="s">
        <v>73</v>
      </c>
      <c r="V591" t="s">
        <v>73</v>
      </c>
      <c r="X591" t="s">
        <v>73</v>
      </c>
      <c r="Y591" t="s">
        <v>73</v>
      </c>
      <c r="AA591" t="s">
        <v>3822</v>
      </c>
      <c r="AB591" t="s">
        <v>3823</v>
      </c>
      <c r="AF591">
        <v>379.61205534422925</v>
      </c>
      <c r="AG591">
        <v>6.2222222222222001</v>
      </c>
      <c r="AH591">
        <v>8</v>
      </c>
      <c r="AI591">
        <v>451</v>
      </c>
      <c r="AJ591">
        <v>130.77882692568807</v>
      </c>
      <c r="AK591">
        <v>623.82222222222003</v>
      </c>
      <c r="AM591">
        <v>183.09035769596329</v>
      </c>
      <c r="AN591">
        <v>0</v>
      </c>
      <c r="AO591" t="s">
        <v>6043</v>
      </c>
      <c r="AP591" t="s">
        <v>3824</v>
      </c>
    </row>
    <row r="592" spans="1:42" x14ac:dyDescent="0.25">
      <c r="A592">
        <v>591</v>
      </c>
      <c r="B592" t="s">
        <v>1404</v>
      </c>
      <c r="C592" t="s">
        <v>1404</v>
      </c>
      <c r="D592" t="s">
        <v>2970</v>
      </c>
      <c r="E592" t="s">
        <v>318</v>
      </c>
      <c r="F592" t="s">
        <v>319</v>
      </c>
      <c r="G592" t="s">
        <v>75</v>
      </c>
      <c r="H592" t="s">
        <v>76</v>
      </c>
      <c r="I592" t="s">
        <v>2971</v>
      </c>
      <c r="R592" t="s">
        <v>73</v>
      </c>
      <c r="S592" t="s">
        <v>73</v>
      </c>
      <c r="U592" t="s">
        <v>73</v>
      </c>
      <c r="V592" t="s">
        <v>73</v>
      </c>
      <c r="X592" t="s">
        <v>73</v>
      </c>
      <c r="Y592" t="s">
        <v>73</v>
      </c>
      <c r="AA592" t="s">
        <v>73</v>
      </c>
      <c r="AB592" t="s">
        <v>73</v>
      </c>
      <c r="AF592">
        <v>379.5</v>
      </c>
      <c r="AG592">
        <v>7.5</v>
      </c>
      <c r="AH592">
        <v>5</v>
      </c>
      <c r="AI592">
        <v>769</v>
      </c>
      <c r="AJ592">
        <v>60.000000000000007</v>
      </c>
      <c r="AK592">
        <v>751</v>
      </c>
      <c r="AM592">
        <v>0</v>
      </c>
      <c r="AN592">
        <v>336</v>
      </c>
      <c r="AO592" t="s">
        <v>6044</v>
      </c>
      <c r="AP592" t="s">
        <v>2970</v>
      </c>
    </row>
    <row r="593" spans="1:42" x14ac:dyDescent="0.25">
      <c r="A593">
        <v>592</v>
      </c>
      <c r="B593" t="s">
        <v>3399</v>
      </c>
      <c r="C593" t="s">
        <v>3399</v>
      </c>
      <c r="D593" t="s">
        <v>3888</v>
      </c>
      <c r="E593" t="s">
        <v>183</v>
      </c>
      <c r="F593" t="s">
        <v>184</v>
      </c>
      <c r="G593" t="s">
        <v>158</v>
      </c>
      <c r="H593" t="s">
        <v>159</v>
      </c>
      <c r="I593" t="s">
        <v>3889</v>
      </c>
      <c r="J593" t="s">
        <v>185</v>
      </c>
      <c r="K593" t="s">
        <v>3021</v>
      </c>
      <c r="Q593">
        <v>15</v>
      </c>
      <c r="R593" t="s">
        <v>2409</v>
      </c>
      <c r="S593" t="s">
        <v>2410</v>
      </c>
      <c r="T593">
        <v>2</v>
      </c>
      <c r="U593" t="s">
        <v>2432</v>
      </c>
      <c r="V593" t="s">
        <v>2433</v>
      </c>
      <c r="W593">
        <v>7</v>
      </c>
      <c r="X593" t="s">
        <v>2440</v>
      </c>
      <c r="Y593" t="s">
        <v>2441</v>
      </c>
      <c r="Z593">
        <v>2</v>
      </c>
      <c r="AA593" t="s">
        <v>73</v>
      </c>
      <c r="AB593" t="s">
        <v>73</v>
      </c>
      <c r="AE593" t="s">
        <v>3887</v>
      </c>
      <c r="AF593">
        <v>379.25027259152307</v>
      </c>
      <c r="AG593">
        <v>6.4285714285714004</v>
      </c>
      <c r="AH593">
        <v>6</v>
      </c>
      <c r="AI593">
        <v>508</v>
      </c>
      <c r="AJ593">
        <v>119.13522351439224</v>
      </c>
      <c r="AK593">
        <v>644.05714285714009</v>
      </c>
      <c r="AM593">
        <v>166.78931292014911</v>
      </c>
      <c r="AN593">
        <v>0</v>
      </c>
      <c r="AO593" t="s">
        <v>6045</v>
      </c>
      <c r="AP593" t="s">
        <v>3888</v>
      </c>
    </row>
    <row r="594" spans="1:42" x14ac:dyDescent="0.25">
      <c r="A594">
        <v>593</v>
      </c>
      <c r="B594" t="s">
        <v>324</v>
      </c>
      <c r="C594" t="s">
        <v>324</v>
      </c>
      <c r="D594" t="s">
        <v>325</v>
      </c>
      <c r="E594" t="s">
        <v>318</v>
      </c>
      <c r="F594" t="s">
        <v>319</v>
      </c>
      <c r="G594" t="s">
        <v>75</v>
      </c>
      <c r="H594" t="s">
        <v>76</v>
      </c>
      <c r="R594" t="s">
        <v>73</v>
      </c>
      <c r="S594" t="s">
        <v>73</v>
      </c>
      <c r="U594" t="s">
        <v>73</v>
      </c>
      <c r="V594" t="s">
        <v>73</v>
      </c>
      <c r="X594" t="s">
        <v>73</v>
      </c>
      <c r="Y594" t="s">
        <v>73</v>
      </c>
      <c r="AA594" t="s">
        <v>73</v>
      </c>
      <c r="AB594" t="s">
        <v>73</v>
      </c>
      <c r="AF594">
        <v>379.24012814363022</v>
      </c>
      <c r="AG594">
        <v>6.9</v>
      </c>
      <c r="AH594">
        <v>9</v>
      </c>
      <c r="AI594">
        <v>619</v>
      </c>
      <c r="AJ594">
        <v>92.600142381811366</v>
      </c>
      <c r="AK594">
        <v>691.8</v>
      </c>
      <c r="AM594">
        <v>45.640199334535922</v>
      </c>
      <c r="AN594">
        <v>336</v>
      </c>
      <c r="AO594" t="s">
        <v>6046</v>
      </c>
      <c r="AP594" t="s">
        <v>325</v>
      </c>
    </row>
    <row r="595" spans="1:42" x14ac:dyDescent="0.25">
      <c r="A595">
        <v>594</v>
      </c>
      <c r="B595" t="s">
        <v>1406</v>
      </c>
      <c r="C595" t="s">
        <v>1406</v>
      </c>
      <c r="D595" t="s">
        <v>2493</v>
      </c>
      <c r="E595" t="s">
        <v>199</v>
      </c>
      <c r="F595" t="s">
        <v>200</v>
      </c>
      <c r="I595" t="s">
        <v>1407</v>
      </c>
      <c r="J595" t="s">
        <v>447</v>
      </c>
      <c r="K595" t="s">
        <v>448</v>
      </c>
      <c r="L595" t="s">
        <v>5177</v>
      </c>
      <c r="M595" t="s">
        <v>5178</v>
      </c>
      <c r="Q595">
        <v>12</v>
      </c>
      <c r="R595" t="s">
        <v>73</v>
      </c>
      <c r="S595" t="s">
        <v>73</v>
      </c>
      <c r="U595" t="s">
        <v>73</v>
      </c>
      <c r="V595" t="s">
        <v>73</v>
      </c>
      <c r="X595" t="s">
        <v>2443</v>
      </c>
      <c r="Y595" t="s">
        <v>2444</v>
      </c>
      <c r="Z595">
        <v>3</v>
      </c>
      <c r="AF595">
        <v>378.8565426835853</v>
      </c>
      <c r="AG595">
        <v>5.5882352941175997</v>
      </c>
      <c r="AH595">
        <v>16</v>
      </c>
      <c r="AI595">
        <v>307</v>
      </c>
      <c r="AJ595">
        <v>164.27197553078361</v>
      </c>
      <c r="AK595">
        <v>562.02352941176002</v>
      </c>
      <c r="AM595">
        <v>229.98076574309704</v>
      </c>
      <c r="AN595">
        <v>0</v>
      </c>
      <c r="AO595" t="s">
        <v>6047</v>
      </c>
      <c r="AP595" t="s">
        <v>2493</v>
      </c>
    </row>
    <row r="596" spans="1:42" x14ac:dyDescent="0.25">
      <c r="A596">
        <v>595</v>
      </c>
      <c r="B596" t="s">
        <v>3370</v>
      </c>
      <c r="C596" t="s">
        <v>3370</v>
      </c>
      <c r="D596" t="s">
        <v>3659</v>
      </c>
      <c r="E596" t="s">
        <v>666</v>
      </c>
      <c r="F596" t="s">
        <v>667</v>
      </c>
      <c r="G596" t="s">
        <v>60</v>
      </c>
      <c r="H596" t="s">
        <v>61</v>
      </c>
      <c r="I596" t="s">
        <v>3660</v>
      </c>
      <c r="J596" t="s">
        <v>3625</v>
      </c>
      <c r="K596" t="s">
        <v>3626</v>
      </c>
      <c r="L596" t="s">
        <v>4480</v>
      </c>
      <c r="M596" t="s">
        <v>4481</v>
      </c>
      <c r="R596" t="s">
        <v>73</v>
      </c>
      <c r="S596" t="s">
        <v>73</v>
      </c>
      <c r="U596" t="s">
        <v>73</v>
      </c>
      <c r="V596" t="s">
        <v>73</v>
      </c>
      <c r="X596" t="s">
        <v>73</v>
      </c>
      <c r="Y596" t="s">
        <v>73</v>
      </c>
      <c r="AA596" t="s">
        <v>73</v>
      </c>
      <c r="AB596" t="s">
        <v>73</v>
      </c>
      <c r="AF596">
        <v>378.73450071033585</v>
      </c>
      <c r="AG596">
        <v>5</v>
      </c>
      <c r="AH596">
        <v>5</v>
      </c>
      <c r="AI596">
        <v>217</v>
      </c>
      <c r="AJ596">
        <v>198.03833412259542</v>
      </c>
      <c r="AK596">
        <v>501</v>
      </c>
      <c r="AM596">
        <v>193.25366777163359</v>
      </c>
      <c r="AN596">
        <v>336</v>
      </c>
      <c r="AO596" t="s">
        <v>6048</v>
      </c>
      <c r="AP596" t="s">
        <v>3659</v>
      </c>
    </row>
    <row r="597" spans="1:42" x14ac:dyDescent="0.25">
      <c r="A597">
        <v>596</v>
      </c>
      <c r="B597" t="s">
        <v>2679</v>
      </c>
      <c r="C597" t="s">
        <v>2679</v>
      </c>
      <c r="D597" t="s">
        <v>2665</v>
      </c>
      <c r="E597" t="s">
        <v>300</v>
      </c>
      <c r="F597" t="s">
        <v>301</v>
      </c>
      <c r="G597" t="s">
        <v>151</v>
      </c>
      <c r="H597" t="s">
        <v>152</v>
      </c>
      <c r="I597" t="s">
        <v>3276</v>
      </c>
      <c r="J597" t="s">
        <v>3251</v>
      </c>
      <c r="K597" t="s">
        <v>3253</v>
      </c>
      <c r="Q597">
        <v>15</v>
      </c>
      <c r="R597" t="s">
        <v>2414</v>
      </c>
      <c r="S597" t="s">
        <v>2415</v>
      </c>
      <c r="T597">
        <v>3</v>
      </c>
      <c r="U597" t="s">
        <v>3137</v>
      </c>
      <c r="V597" t="s">
        <v>3136</v>
      </c>
      <c r="W597">
        <v>5</v>
      </c>
      <c r="X597" t="s">
        <v>2440</v>
      </c>
      <c r="Y597" t="s">
        <v>2441</v>
      </c>
      <c r="Z597">
        <v>2</v>
      </c>
      <c r="AF597">
        <v>378.19966649020051</v>
      </c>
      <c r="AG597">
        <v>5.375</v>
      </c>
      <c r="AH597">
        <v>7</v>
      </c>
      <c r="AI597">
        <v>279</v>
      </c>
      <c r="AJ597">
        <v>176.38851832244501</v>
      </c>
      <c r="AK597">
        <v>538.9</v>
      </c>
      <c r="AM597">
        <v>134.943925651423</v>
      </c>
      <c r="AN597">
        <v>448</v>
      </c>
      <c r="AO597" t="s">
        <v>6049</v>
      </c>
      <c r="AP597" t="s">
        <v>2665</v>
      </c>
    </row>
    <row r="598" spans="1:42" x14ac:dyDescent="0.25">
      <c r="A598">
        <v>597</v>
      </c>
      <c r="B598" t="s">
        <v>3327</v>
      </c>
      <c r="C598" t="s">
        <v>3327</v>
      </c>
      <c r="D598" t="s">
        <v>4827</v>
      </c>
      <c r="E598" t="s">
        <v>213</v>
      </c>
      <c r="F598" t="s">
        <v>214</v>
      </c>
      <c r="G598" t="s">
        <v>75</v>
      </c>
      <c r="H598" t="s">
        <v>76</v>
      </c>
      <c r="I598" t="s">
        <v>3491</v>
      </c>
      <c r="O598" t="s">
        <v>3492</v>
      </c>
      <c r="P598" t="s">
        <v>3492</v>
      </c>
      <c r="Q598">
        <v>12</v>
      </c>
      <c r="R598" t="s">
        <v>2409</v>
      </c>
      <c r="S598" t="s">
        <v>2410</v>
      </c>
      <c r="T598">
        <v>2</v>
      </c>
      <c r="U598" t="s">
        <v>3137</v>
      </c>
      <c r="V598" t="s">
        <v>3136</v>
      </c>
      <c r="W598">
        <v>5</v>
      </c>
      <c r="X598" t="s">
        <v>2446</v>
      </c>
      <c r="Y598" t="s">
        <v>2447</v>
      </c>
      <c r="Z598">
        <v>4</v>
      </c>
      <c r="AA598" t="s">
        <v>73</v>
      </c>
      <c r="AB598" t="s">
        <v>73</v>
      </c>
      <c r="AF598">
        <v>378.16666666666504</v>
      </c>
      <c r="AG598">
        <v>7.8333333333333002</v>
      </c>
      <c r="AH598">
        <v>5</v>
      </c>
      <c r="AI598">
        <v>855</v>
      </c>
      <c r="AJ598">
        <v>40</v>
      </c>
      <c r="AK598">
        <v>784.33333333333007</v>
      </c>
      <c r="AM598">
        <v>0</v>
      </c>
      <c r="AN598">
        <v>224</v>
      </c>
      <c r="AO598" t="s">
        <v>6050</v>
      </c>
      <c r="AP598" t="s">
        <v>4827</v>
      </c>
    </row>
    <row r="599" spans="1:42" x14ac:dyDescent="0.25">
      <c r="A599">
        <v>598</v>
      </c>
      <c r="B599" t="s">
        <v>3320</v>
      </c>
      <c r="C599" t="s">
        <v>3320</v>
      </c>
      <c r="D599" t="s">
        <v>3697</v>
      </c>
      <c r="E599" t="s">
        <v>229</v>
      </c>
      <c r="F599" t="s">
        <v>229</v>
      </c>
      <c r="G599" t="s">
        <v>69</v>
      </c>
      <c r="H599" t="s">
        <v>70</v>
      </c>
      <c r="R599" t="s">
        <v>73</v>
      </c>
      <c r="S599" t="s">
        <v>73</v>
      </c>
      <c r="U599" t="s">
        <v>73</v>
      </c>
      <c r="V599" t="s">
        <v>73</v>
      </c>
      <c r="X599" t="s">
        <v>73</v>
      </c>
      <c r="Y599" t="s">
        <v>73</v>
      </c>
      <c r="AA599" t="s">
        <v>73</v>
      </c>
      <c r="AB599" t="s">
        <v>73</v>
      </c>
      <c r="AF599">
        <v>378.15133323708068</v>
      </c>
      <c r="AG599">
        <v>6.1666666666666998</v>
      </c>
      <c r="AH599">
        <v>5</v>
      </c>
      <c r="AI599">
        <v>448</v>
      </c>
      <c r="AJ599">
        <v>132.57555544860637</v>
      </c>
      <c r="AK599">
        <v>617.66666666666993</v>
      </c>
      <c r="AM599">
        <v>73.605777628048898</v>
      </c>
      <c r="AN599">
        <v>448</v>
      </c>
      <c r="AO599" t="s">
        <v>6051</v>
      </c>
      <c r="AP599" t="s">
        <v>3697</v>
      </c>
    </row>
    <row r="600" spans="1:42" x14ac:dyDescent="0.25">
      <c r="A600">
        <v>599</v>
      </c>
      <c r="B600" t="s">
        <v>2250</v>
      </c>
      <c r="C600" t="s">
        <v>2250</v>
      </c>
      <c r="D600" t="s">
        <v>2251</v>
      </c>
      <c r="E600" t="s">
        <v>351</v>
      </c>
      <c r="F600" t="s">
        <v>352</v>
      </c>
      <c r="G600" t="s">
        <v>257</v>
      </c>
      <c r="H600" t="s">
        <v>258</v>
      </c>
      <c r="I600" t="s">
        <v>2252</v>
      </c>
      <c r="J600" t="s">
        <v>602</v>
      </c>
      <c r="K600" t="s">
        <v>603</v>
      </c>
      <c r="L600">
        <v>51.324444444444502</v>
      </c>
      <c r="M600">
        <v>4.9458333333333302</v>
      </c>
      <c r="O600" t="s">
        <v>2253</v>
      </c>
      <c r="P600" t="s">
        <v>2254</v>
      </c>
      <c r="Q600">
        <v>14</v>
      </c>
      <c r="R600" t="s">
        <v>2414</v>
      </c>
      <c r="S600" t="s">
        <v>2415</v>
      </c>
      <c r="T600">
        <v>3</v>
      </c>
      <c r="U600" t="s">
        <v>2432</v>
      </c>
      <c r="V600" t="s">
        <v>2433</v>
      </c>
      <c r="W600">
        <v>7</v>
      </c>
      <c r="X600" t="s">
        <v>2440</v>
      </c>
      <c r="Y600" t="s">
        <v>2441</v>
      </c>
      <c r="Z600">
        <v>2</v>
      </c>
      <c r="AA600" t="s">
        <v>2255</v>
      </c>
      <c r="AB600" t="s">
        <v>2255</v>
      </c>
      <c r="AC600" t="s">
        <v>2256</v>
      </c>
      <c r="AD600" t="s">
        <v>2256</v>
      </c>
      <c r="AF600">
        <v>378.0605632973938</v>
      </c>
      <c r="AG600">
        <v>7.9629629629630001</v>
      </c>
      <c r="AH600">
        <v>26</v>
      </c>
      <c r="AI600">
        <v>925</v>
      </c>
      <c r="AJ600">
        <v>30.347127943604139</v>
      </c>
      <c r="AK600">
        <v>801.4962962963001</v>
      </c>
      <c r="AL600">
        <v>2004</v>
      </c>
      <c r="AM600">
        <v>42.485979121045794</v>
      </c>
      <c r="AN600">
        <v>0</v>
      </c>
      <c r="AO600" t="s">
        <v>6052</v>
      </c>
      <c r="AP600" t="s">
        <v>2251</v>
      </c>
    </row>
    <row r="601" spans="1:42" x14ac:dyDescent="0.25">
      <c r="A601">
        <v>600</v>
      </c>
      <c r="B601" t="s">
        <v>2761</v>
      </c>
      <c r="C601" t="s">
        <v>2761</v>
      </c>
      <c r="D601" t="s">
        <v>2246</v>
      </c>
      <c r="E601" t="s">
        <v>218</v>
      </c>
      <c r="F601" t="s">
        <v>219</v>
      </c>
      <c r="G601" t="s">
        <v>69</v>
      </c>
      <c r="H601" t="s">
        <v>70</v>
      </c>
      <c r="I601" t="s">
        <v>2247</v>
      </c>
      <c r="J601" t="s">
        <v>1752</v>
      </c>
      <c r="K601" t="s">
        <v>1753</v>
      </c>
      <c r="L601" t="s">
        <v>4938</v>
      </c>
      <c r="M601" t="s">
        <v>4939</v>
      </c>
      <c r="R601" t="s">
        <v>73</v>
      </c>
      <c r="S601" t="s">
        <v>73</v>
      </c>
      <c r="U601" t="s">
        <v>73</v>
      </c>
      <c r="V601" t="s">
        <v>73</v>
      </c>
      <c r="X601" t="s">
        <v>73</v>
      </c>
      <c r="Y601" t="s">
        <v>73</v>
      </c>
      <c r="AF601">
        <v>377.9</v>
      </c>
      <c r="AG601">
        <v>7.8</v>
      </c>
      <c r="AH601">
        <v>19</v>
      </c>
      <c r="AI601">
        <v>856</v>
      </c>
      <c r="AJ601">
        <v>40</v>
      </c>
      <c r="AK601">
        <v>783.8</v>
      </c>
      <c r="AM601">
        <v>0</v>
      </c>
      <c r="AN601">
        <v>224</v>
      </c>
      <c r="AO601" t="s">
        <v>6053</v>
      </c>
      <c r="AP601" t="s">
        <v>2246</v>
      </c>
    </row>
    <row r="602" spans="1:42" x14ac:dyDescent="0.25">
      <c r="A602">
        <v>601</v>
      </c>
      <c r="B602" t="s">
        <v>1348</v>
      </c>
      <c r="C602" t="s">
        <v>1348</v>
      </c>
      <c r="D602" t="s">
        <v>2472</v>
      </c>
      <c r="E602" t="s">
        <v>255</v>
      </c>
      <c r="F602" t="s">
        <v>256</v>
      </c>
      <c r="G602" t="s">
        <v>257</v>
      </c>
      <c r="H602" t="s">
        <v>258</v>
      </c>
      <c r="I602" t="s">
        <v>1349</v>
      </c>
      <c r="J602" t="s">
        <v>931</v>
      </c>
      <c r="K602" t="s">
        <v>932</v>
      </c>
      <c r="L602">
        <v>51.477180262700003</v>
      </c>
      <c r="M602">
        <v>5.6530655548700004</v>
      </c>
      <c r="O602" t="s">
        <v>2562</v>
      </c>
      <c r="P602" t="s">
        <v>2563</v>
      </c>
      <c r="Q602">
        <v>15</v>
      </c>
      <c r="R602" t="s">
        <v>2414</v>
      </c>
      <c r="S602" t="s">
        <v>2415</v>
      </c>
      <c r="T602">
        <v>3</v>
      </c>
      <c r="U602" t="s">
        <v>3137</v>
      </c>
      <c r="V602" t="s">
        <v>3136</v>
      </c>
      <c r="W602">
        <v>5</v>
      </c>
      <c r="X602" t="s">
        <v>2437</v>
      </c>
      <c r="Y602" t="s">
        <v>2438</v>
      </c>
      <c r="Z602">
        <v>1</v>
      </c>
      <c r="AA602" t="s">
        <v>73</v>
      </c>
      <c r="AB602" t="s">
        <v>73</v>
      </c>
      <c r="AC602" t="s">
        <v>1350</v>
      </c>
      <c r="AD602" t="s">
        <v>1350</v>
      </c>
      <c r="AF602">
        <v>377.80582045912348</v>
      </c>
      <c r="AG602">
        <v>7.5131578947367998</v>
      </c>
      <c r="AH602">
        <v>75</v>
      </c>
      <c r="AI602">
        <v>818</v>
      </c>
      <c r="AJ602">
        <v>49.608806358092764</v>
      </c>
      <c r="AK602">
        <v>766.31578947367996</v>
      </c>
      <c r="AL602">
        <v>2004</v>
      </c>
      <c r="AM602">
        <v>69.452328901329864</v>
      </c>
      <c r="AN602">
        <v>0</v>
      </c>
      <c r="AO602" t="s">
        <v>6054</v>
      </c>
      <c r="AP602" t="s">
        <v>2472</v>
      </c>
    </row>
    <row r="603" spans="1:42" x14ac:dyDescent="0.25">
      <c r="A603">
        <v>602</v>
      </c>
      <c r="B603" t="s">
        <v>1468</v>
      </c>
      <c r="C603" t="s">
        <v>1468</v>
      </c>
      <c r="D603" t="s">
        <v>2509</v>
      </c>
      <c r="E603" t="s">
        <v>595</v>
      </c>
      <c r="F603" t="s">
        <v>596</v>
      </c>
      <c r="G603" t="s">
        <v>3167</v>
      </c>
      <c r="H603" t="s">
        <v>3166</v>
      </c>
      <c r="I603" t="s">
        <v>1469</v>
      </c>
      <c r="J603" t="s">
        <v>625</v>
      </c>
      <c r="K603" t="s">
        <v>626</v>
      </c>
      <c r="R603" t="s">
        <v>73</v>
      </c>
      <c r="S603" t="s">
        <v>73</v>
      </c>
      <c r="U603" t="s">
        <v>73</v>
      </c>
      <c r="V603" t="s">
        <v>73</v>
      </c>
      <c r="X603" t="s">
        <v>73</v>
      </c>
      <c r="Y603" t="s">
        <v>73</v>
      </c>
      <c r="AA603" t="s">
        <v>73</v>
      </c>
      <c r="AB603" t="s">
        <v>73</v>
      </c>
      <c r="AF603">
        <v>377.59086734355662</v>
      </c>
      <c r="AG603">
        <v>5.9</v>
      </c>
      <c r="AH603">
        <v>9</v>
      </c>
      <c r="AI603">
        <v>379</v>
      </c>
      <c r="AJ603">
        <v>146.32318593728516</v>
      </c>
      <c r="AK603">
        <v>591.79999999999995</v>
      </c>
      <c r="AM603">
        <v>148.85246031219921</v>
      </c>
      <c r="AN603">
        <v>224</v>
      </c>
      <c r="AO603" t="s">
        <v>6055</v>
      </c>
      <c r="AP603" t="s">
        <v>2509</v>
      </c>
    </row>
    <row r="604" spans="1:42" x14ac:dyDescent="0.25">
      <c r="A604">
        <v>603</v>
      </c>
      <c r="B604" t="s">
        <v>1328</v>
      </c>
      <c r="C604" t="s">
        <v>3210</v>
      </c>
      <c r="D604" t="s">
        <v>3204</v>
      </c>
      <c r="E604" t="s">
        <v>471</v>
      </c>
      <c r="F604" t="s">
        <v>472</v>
      </c>
      <c r="G604" t="s">
        <v>93</v>
      </c>
      <c r="H604" t="s">
        <v>94</v>
      </c>
      <c r="I604" t="s">
        <v>3210</v>
      </c>
      <c r="J604" t="s">
        <v>3246</v>
      </c>
      <c r="K604" t="s">
        <v>3203</v>
      </c>
      <c r="Q604">
        <v>14</v>
      </c>
      <c r="R604" t="s">
        <v>2409</v>
      </c>
      <c r="S604" t="s">
        <v>2410</v>
      </c>
      <c r="T604">
        <v>2</v>
      </c>
      <c r="U604" t="s">
        <v>2430</v>
      </c>
      <c r="V604" t="s">
        <v>2431</v>
      </c>
      <c r="W604">
        <v>6</v>
      </c>
      <c r="X604" t="s">
        <v>2446</v>
      </c>
      <c r="Y604" t="s">
        <v>2447</v>
      </c>
      <c r="Z604">
        <v>4</v>
      </c>
      <c r="AA604" t="s">
        <v>73</v>
      </c>
      <c r="AB604" t="s">
        <v>73</v>
      </c>
      <c r="AF604">
        <v>376.60807291922674</v>
      </c>
      <c r="AG604">
        <v>7</v>
      </c>
      <c r="AH604">
        <v>6</v>
      </c>
      <c r="AI604">
        <v>650</v>
      </c>
      <c r="AJ604">
        <v>84.453414354696335</v>
      </c>
      <c r="AK604">
        <v>701.2</v>
      </c>
      <c r="AM604">
        <v>90.234780096574866</v>
      </c>
      <c r="AN604">
        <v>112</v>
      </c>
      <c r="AO604" t="s">
        <v>6056</v>
      </c>
      <c r="AP604" t="s">
        <v>3204</v>
      </c>
    </row>
    <row r="605" spans="1:42" x14ac:dyDescent="0.25">
      <c r="A605">
        <v>604</v>
      </c>
      <c r="B605" t="s">
        <v>3314</v>
      </c>
      <c r="C605" t="s">
        <v>4112</v>
      </c>
      <c r="D605" t="s">
        <v>3548</v>
      </c>
      <c r="E605" t="s">
        <v>318</v>
      </c>
      <c r="F605" t="s">
        <v>319</v>
      </c>
      <c r="G605" t="s">
        <v>75</v>
      </c>
      <c r="H605" t="s">
        <v>76</v>
      </c>
      <c r="I605" t="s">
        <v>3545</v>
      </c>
      <c r="J605" t="s">
        <v>3316</v>
      </c>
      <c r="K605" t="s">
        <v>3544</v>
      </c>
      <c r="Q605">
        <v>11</v>
      </c>
      <c r="R605" t="s">
        <v>2409</v>
      </c>
      <c r="S605" t="s">
        <v>2410</v>
      </c>
      <c r="T605">
        <v>2</v>
      </c>
      <c r="U605" t="s">
        <v>3137</v>
      </c>
      <c r="V605" t="s">
        <v>3136</v>
      </c>
      <c r="W605">
        <v>5</v>
      </c>
      <c r="X605" t="s">
        <v>2446</v>
      </c>
      <c r="Y605" t="s">
        <v>2447</v>
      </c>
      <c r="Z605">
        <v>4</v>
      </c>
      <c r="AA605" t="s">
        <v>3549</v>
      </c>
      <c r="AB605" t="s">
        <v>3549</v>
      </c>
      <c r="AC605" t="s">
        <v>3547</v>
      </c>
      <c r="AD605" t="s">
        <v>3547</v>
      </c>
      <c r="AE605" t="s">
        <v>3546</v>
      </c>
      <c r="AF605">
        <v>376.02857142857005</v>
      </c>
      <c r="AG605">
        <v>7.4285714285714004</v>
      </c>
      <c r="AH605">
        <v>6</v>
      </c>
      <c r="AI605">
        <v>770</v>
      </c>
      <c r="AJ605">
        <v>60.000000000000007</v>
      </c>
      <c r="AK605">
        <v>744.05714285714009</v>
      </c>
      <c r="AM605">
        <v>0</v>
      </c>
      <c r="AN605">
        <v>336</v>
      </c>
      <c r="AO605" t="s">
        <v>6057</v>
      </c>
      <c r="AP605" t="s">
        <v>3548</v>
      </c>
    </row>
    <row r="606" spans="1:42" x14ac:dyDescent="0.25">
      <c r="A606">
        <v>605</v>
      </c>
      <c r="B606" t="s">
        <v>1273</v>
      </c>
      <c r="C606" t="s">
        <v>1273</v>
      </c>
      <c r="D606" t="s">
        <v>1274</v>
      </c>
      <c r="E606" t="s">
        <v>137</v>
      </c>
      <c r="F606" t="s">
        <v>138</v>
      </c>
      <c r="G606" t="s">
        <v>139</v>
      </c>
      <c r="H606" t="s">
        <v>140</v>
      </c>
      <c r="I606" t="s">
        <v>1275</v>
      </c>
      <c r="J606" t="s">
        <v>651</v>
      </c>
      <c r="K606" t="s">
        <v>652</v>
      </c>
      <c r="L606" t="s">
        <v>4635</v>
      </c>
      <c r="M606" t="s">
        <v>4634</v>
      </c>
      <c r="Q606">
        <v>13</v>
      </c>
      <c r="R606" t="s">
        <v>2406</v>
      </c>
      <c r="S606" t="s">
        <v>2407</v>
      </c>
      <c r="T606">
        <v>1</v>
      </c>
      <c r="U606" t="s">
        <v>73</v>
      </c>
      <c r="V606" t="s">
        <v>73</v>
      </c>
      <c r="X606" t="s">
        <v>2446</v>
      </c>
      <c r="Y606" t="s">
        <v>2447</v>
      </c>
      <c r="Z606">
        <v>4</v>
      </c>
      <c r="AF606">
        <v>375.92622070671263</v>
      </c>
      <c r="AG606">
        <v>7.4074074074074003</v>
      </c>
      <c r="AH606">
        <v>26</v>
      </c>
      <c r="AI606">
        <v>798</v>
      </c>
      <c r="AJ606">
        <v>58.839833707047283</v>
      </c>
      <c r="AK606">
        <v>745.94074074074013</v>
      </c>
      <c r="AM606">
        <v>82.375767189866195</v>
      </c>
      <c r="AN606">
        <v>0</v>
      </c>
      <c r="AO606" t="s">
        <v>6058</v>
      </c>
      <c r="AP606" t="s">
        <v>1274</v>
      </c>
    </row>
    <row r="607" spans="1:42" x14ac:dyDescent="0.25">
      <c r="A607">
        <v>606</v>
      </c>
      <c r="B607" t="s">
        <v>3554</v>
      </c>
      <c r="C607" t="s">
        <v>3554</v>
      </c>
      <c r="D607" t="s">
        <v>3555</v>
      </c>
      <c r="E607" t="s">
        <v>137</v>
      </c>
      <c r="F607" t="s">
        <v>138</v>
      </c>
      <c r="G607" t="s">
        <v>139</v>
      </c>
      <c r="H607" t="s">
        <v>140</v>
      </c>
      <c r="I607" t="s">
        <v>3556</v>
      </c>
      <c r="J607" t="s">
        <v>651</v>
      </c>
      <c r="K607" t="s">
        <v>652</v>
      </c>
      <c r="L607" t="s">
        <v>4757</v>
      </c>
      <c r="M607" t="s">
        <v>4758</v>
      </c>
      <c r="Q607">
        <v>12</v>
      </c>
      <c r="R607" t="s">
        <v>2409</v>
      </c>
      <c r="S607" t="s">
        <v>2410</v>
      </c>
      <c r="T607">
        <v>2</v>
      </c>
      <c r="U607" t="s">
        <v>2432</v>
      </c>
      <c r="V607" t="s">
        <v>2433</v>
      </c>
      <c r="W607">
        <v>7</v>
      </c>
      <c r="X607" t="s">
        <v>2437</v>
      </c>
      <c r="Y607" t="s">
        <v>2438</v>
      </c>
      <c r="Z607">
        <v>1</v>
      </c>
      <c r="AA607" t="s">
        <v>73</v>
      </c>
      <c r="AB607" t="s">
        <v>73</v>
      </c>
      <c r="AF607">
        <v>375.52655528758027</v>
      </c>
      <c r="AG607">
        <v>6.0833333333333002</v>
      </c>
      <c r="AH607">
        <v>11</v>
      </c>
      <c r="AI607">
        <v>443</v>
      </c>
      <c r="AJ607">
        <v>133.62209846768357</v>
      </c>
      <c r="AK607">
        <v>610.53333333333012</v>
      </c>
      <c r="AM607">
        <v>187.07093785475698</v>
      </c>
      <c r="AN607">
        <v>0</v>
      </c>
      <c r="AO607" t="s">
        <v>6059</v>
      </c>
      <c r="AP607" t="s">
        <v>3555</v>
      </c>
    </row>
    <row r="608" spans="1:42" x14ac:dyDescent="0.25">
      <c r="A608">
        <v>607</v>
      </c>
      <c r="B608" t="s">
        <v>3472</v>
      </c>
      <c r="C608" t="s">
        <v>3472</v>
      </c>
      <c r="D608" t="s">
        <v>3471</v>
      </c>
      <c r="E608" t="s">
        <v>137</v>
      </c>
      <c r="F608" t="s">
        <v>138</v>
      </c>
      <c r="G608" t="s">
        <v>139</v>
      </c>
      <c r="H608" t="s">
        <v>140</v>
      </c>
      <c r="J608" t="s">
        <v>426</v>
      </c>
      <c r="K608" t="s">
        <v>427</v>
      </c>
      <c r="L608" t="s">
        <v>4648</v>
      </c>
      <c r="M608" t="s">
        <v>4649</v>
      </c>
      <c r="O608" t="s">
        <v>3469</v>
      </c>
      <c r="P608" t="s">
        <v>3470</v>
      </c>
      <c r="Q608">
        <v>12</v>
      </c>
      <c r="R608" t="s">
        <v>73</v>
      </c>
      <c r="S608" t="s">
        <v>73</v>
      </c>
      <c r="U608" t="s">
        <v>73</v>
      </c>
      <c r="V608" t="s">
        <v>73</v>
      </c>
      <c r="X608" t="s">
        <v>73</v>
      </c>
      <c r="Y608" t="s">
        <v>73</v>
      </c>
      <c r="AA608" t="s">
        <v>73</v>
      </c>
      <c r="AB608" t="s">
        <v>73</v>
      </c>
      <c r="AF608">
        <v>374.37580157667423</v>
      </c>
      <c r="AG608">
        <v>6.2222222222222001</v>
      </c>
      <c r="AH608">
        <v>8</v>
      </c>
      <c r="AI608">
        <v>483</v>
      </c>
      <c r="AJ608">
        <v>124.96076718396024</v>
      </c>
      <c r="AK608">
        <v>623.82222222222003</v>
      </c>
      <c r="AM608">
        <v>174.94507405754433</v>
      </c>
      <c r="AN608">
        <v>0</v>
      </c>
      <c r="AO608" t="s">
        <v>6060</v>
      </c>
      <c r="AP608" t="s">
        <v>3471</v>
      </c>
    </row>
    <row r="609" spans="1:42" x14ac:dyDescent="0.25">
      <c r="A609">
        <v>608</v>
      </c>
      <c r="B609" t="s">
        <v>1130</v>
      </c>
      <c r="C609" t="s">
        <v>1130</v>
      </c>
      <c r="D609" t="s">
        <v>1131</v>
      </c>
      <c r="E609" t="s">
        <v>351</v>
      </c>
      <c r="F609" t="s">
        <v>352</v>
      </c>
      <c r="G609" t="s">
        <v>257</v>
      </c>
      <c r="H609" t="s">
        <v>258</v>
      </c>
      <c r="I609" t="s">
        <v>1132</v>
      </c>
      <c r="J609" t="s">
        <v>1133</v>
      </c>
      <c r="K609" t="s">
        <v>1134</v>
      </c>
      <c r="L609">
        <v>50.608053206999998</v>
      </c>
      <c r="M609">
        <v>5.17086136023</v>
      </c>
      <c r="O609" t="s">
        <v>1135</v>
      </c>
      <c r="P609" t="s">
        <v>1136</v>
      </c>
      <c r="Q609">
        <v>13</v>
      </c>
      <c r="R609" t="s">
        <v>2414</v>
      </c>
      <c r="S609" t="s">
        <v>2415</v>
      </c>
      <c r="T609">
        <v>3</v>
      </c>
      <c r="U609" t="s">
        <v>3137</v>
      </c>
      <c r="V609" t="s">
        <v>3136</v>
      </c>
      <c r="W609">
        <v>5</v>
      </c>
      <c r="X609" t="s">
        <v>2440</v>
      </c>
      <c r="Y609" t="s">
        <v>2441</v>
      </c>
      <c r="Z609">
        <v>2</v>
      </c>
      <c r="AF609">
        <v>373.96744186046499</v>
      </c>
      <c r="AG609">
        <v>8.3953488372092995</v>
      </c>
      <c r="AH609">
        <v>42</v>
      </c>
      <c r="AI609">
        <v>956</v>
      </c>
      <c r="AJ609">
        <v>0</v>
      </c>
      <c r="AK609">
        <v>847.93488372092997</v>
      </c>
      <c r="AL609">
        <v>2004</v>
      </c>
      <c r="AM609">
        <v>0</v>
      </c>
      <c r="AN609">
        <v>0</v>
      </c>
      <c r="AO609" t="s">
        <v>6061</v>
      </c>
      <c r="AP609" t="s">
        <v>1131</v>
      </c>
    </row>
    <row r="610" spans="1:42" x14ac:dyDescent="0.25">
      <c r="A610">
        <v>609</v>
      </c>
      <c r="B610" t="s">
        <v>1300</v>
      </c>
      <c r="C610" t="s">
        <v>1300</v>
      </c>
      <c r="D610" t="s">
        <v>1301</v>
      </c>
      <c r="E610" t="s">
        <v>137</v>
      </c>
      <c r="F610" t="s">
        <v>138</v>
      </c>
      <c r="G610" t="s">
        <v>139</v>
      </c>
      <c r="H610" t="s">
        <v>140</v>
      </c>
      <c r="I610" t="s">
        <v>1302</v>
      </c>
      <c r="J610" t="s">
        <v>1234</v>
      </c>
      <c r="K610" t="s">
        <v>1235</v>
      </c>
      <c r="L610" t="s">
        <v>4620</v>
      </c>
      <c r="M610" t="s">
        <v>4621</v>
      </c>
      <c r="Q610">
        <v>13</v>
      </c>
      <c r="R610" t="s">
        <v>2406</v>
      </c>
      <c r="S610" t="s">
        <v>2407</v>
      </c>
      <c r="T610">
        <v>1</v>
      </c>
      <c r="U610" t="s">
        <v>2430</v>
      </c>
      <c r="V610" t="s">
        <v>2431</v>
      </c>
      <c r="W610">
        <v>6</v>
      </c>
      <c r="X610" t="s">
        <v>2443</v>
      </c>
      <c r="Y610" t="s">
        <v>2444</v>
      </c>
      <c r="Z610">
        <v>3</v>
      </c>
      <c r="AF610">
        <v>373.88969851460183</v>
      </c>
      <c r="AG610">
        <v>7.375</v>
      </c>
      <c r="AH610">
        <v>15</v>
      </c>
      <c r="AI610">
        <v>791</v>
      </c>
      <c r="AJ610">
        <v>59.599665016224257</v>
      </c>
      <c r="AK610">
        <v>740.5</v>
      </c>
      <c r="AM610">
        <v>83.43953102271395</v>
      </c>
      <c r="AN610">
        <v>0</v>
      </c>
      <c r="AO610" t="s">
        <v>6062</v>
      </c>
      <c r="AP610" t="s">
        <v>1301</v>
      </c>
    </row>
    <row r="611" spans="1:42" x14ac:dyDescent="0.25">
      <c r="A611">
        <v>610</v>
      </c>
      <c r="B611" t="s">
        <v>1502</v>
      </c>
      <c r="C611" t="s">
        <v>1502</v>
      </c>
      <c r="D611" t="s">
        <v>2983</v>
      </c>
      <c r="E611" t="s">
        <v>672</v>
      </c>
      <c r="F611" t="s">
        <v>672</v>
      </c>
      <c r="G611" t="s">
        <v>79</v>
      </c>
      <c r="H611" t="s">
        <v>80</v>
      </c>
      <c r="I611" t="s">
        <v>2518</v>
      </c>
      <c r="J611" t="s">
        <v>1503</v>
      </c>
      <c r="K611" t="s">
        <v>1504</v>
      </c>
      <c r="R611" t="s">
        <v>73</v>
      </c>
      <c r="S611" t="s">
        <v>73</v>
      </c>
      <c r="U611" t="s">
        <v>73</v>
      </c>
      <c r="V611" t="s">
        <v>73</v>
      </c>
      <c r="X611" t="s">
        <v>73</v>
      </c>
      <c r="Y611" t="s">
        <v>73</v>
      </c>
      <c r="AA611" t="s">
        <v>73</v>
      </c>
      <c r="AB611" t="s">
        <v>73</v>
      </c>
      <c r="AF611">
        <v>373.81591219806324</v>
      </c>
      <c r="AG611">
        <v>7.0714285714285996</v>
      </c>
      <c r="AH611">
        <v>13</v>
      </c>
      <c r="AI611">
        <v>704</v>
      </c>
      <c r="AJ611">
        <v>76.604981807370294</v>
      </c>
      <c r="AK611">
        <v>709.74285714285998</v>
      </c>
      <c r="AM611">
        <v>51.246974530318411</v>
      </c>
      <c r="AN611">
        <v>224</v>
      </c>
      <c r="AO611" t="s">
        <v>6063</v>
      </c>
      <c r="AP611" t="s">
        <v>2983</v>
      </c>
    </row>
    <row r="612" spans="1:42" x14ac:dyDescent="0.25">
      <c r="A612">
        <v>611</v>
      </c>
      <c r="B612" t="s">
        <v>2908</v>
      </c>
      <c r="C612" t="s">
        <v>4091</v>
      </c>
      <c r="D612" t="s">
        <v>4809</v>
      </c>
      <c r="E612" t="s">
        <v>556</v>
      </c>
      <c r="F612" t="s">
        <v>557</v>
      </c>
      <c r="G612" t="s">
        <v>60</v>
      </c>
      <c r="H612" t="s">
        <v>61</v>
      </c>
      <c r="I612" t="s">
        <v>2293</v>
      </c>
      <c r="J612" t="s">
        <v>591</v>
      </c>
      <c r="K612" t="s">
        <v>592</v>
      </c>
      <c r="R612" t="s">
        <v>73</v>
      </c>
      <c r="S612" t="s">
        <v>73</v>
      </c>
      <c r="U612" t="s">
        <v>73</v>
      </c>
      <c r="V612" t="s">
        <v>73</v>
      </c>
      <c r="X612" t="s">
        <v>73</v>
      </c>
      <c r="Y612" t="s">
        <v>73</v>
      </c>
      <c r="AA612" t="s">
        <v>73</v>
      </c>
      <c r="AB612" t="s">
        <v>73</v>
      </c>
      <c r="AF612">
        <v>373.8</v>
      </c>
      <c r="AG612">
        <v>7.75</v>
      </c>
      <c r="AH612">
        <v>3</v>
      </c>
      <c r="AI612">
        <v>857</v>
      </c>
      <c r="AJ612">
        <v>40</v>
      </c>
      <c r="AK612">
        <v>775.6</v>
      </c>
      <c r="AM612">
        <v>0</v>
      </c>
      <c r="AN612">
        <v>224</v>
      </c>
      <c r="AO612" t="s">
        <v>6064</v>
      </c>
      <c r="AP612" t="s">
        <v>4809</v>
      </c>
    </row>
    <row r="613" spans="1:42" x14ac:dyDescent="0.25">
      <c r="A613">
        <v>612</v>
      </c>
      <c r="B613" t="s">
        <v>2920</v>
      </c>
      <c r="C613" t="s">
        <v>2920</v>
      </c>
      <c r="D613" t="s">
        <v>2683</v>
      </c>
      <c r="E613" t="s">
        <v>1884</v>
      </c>
      <c r="F613" t="s">
        <v>1884</v>
      </c>
      <c r="G613" t="s">
        <v>85</v>
      </c>
      <c r="H613" t="s">
        <v>86</v>
      </c>
      <c r="R613" t="s">
        <v>73</v>
      </c>
      <c r="S613" t="s">
        <v>73</v>
      </c>
      <c r="U613" t="s">
        <v>73</v>
      </c>
      <c r="V613" t="s">
        <v>73</v>
      </c>
      <c r="X613" t="s">
        <v>73</v>
      </c>
      <c r="Y613" t="s">
        <v>73</v>
      </c>
      <c r="AF613">
        <v>373.38971666901648</v>
      </c>
      <c r="AG613">
        <v>5.8</v>
      </c>
      <c r="AH613">
        <v>4</v>
      </c>
      <c r="AI613">
        <v>370</v>
      </c>
      <c r="AJ613">
        <v>147.76635185446281</v>
      </c>
      <c r="AK613">
        <v>580.79999999999995</v>
      </c>
      <c r="AM613">
        <v>94.872892596247951</v>
      </c>
      <c r="AN613">
        <v>448</v>
      </c>
      <c r="AO613" t="s">
        <v>6065</v>
      </c>
      <c r="AP613" t="s">
        <v>2683</v>
      </c>
    </row>
    <row r="614" spans="1:42" x14ac:dyDescent="0.25">
      <c r="A614">
        <v>613</v>
      </c>
      <c r="B614" t="s">
        <v>1448</v>
      </c>
      <c r="C614" t="s">
        <v>1448</v>
      </c>
      <c r="D614" t="s">
        <v>2504</v>
      </c>
      <c r="E614" t="s">
        <v>137</v>
      </c>
      <c r="F614" t="s">
        <v>138</v>
      </c>
      <c r="G614" t="s">
        <v>139</v>
      </c>
      <c r="H614" t="s">
        <v>140</v>
      </c>
      <c r="I614" t="s">
        <v>1449</v>
      </c>
      <c r="J614" t="s">
        <v>426</v>
      </c>
      <c r="K614" t="s">
        <v>427</v>
      </c>
      <c r="L614" t="s">
        <v>4650</v>
      </c>
      <c r="M614" t="s">
        <v>4651</v>
      </c>
      <c r="Q614">
        <v>14</v>
      </c>
      <c r="R614" t="s">
        <v>2406</v>
      </c>
      <c r="S614" t="s">
        <v>2407</v>
      </c>
      <c r="T614">
        <v>1</v>
      </c>
      <c r="U614" t="s">
        <v>2432</v>
      </c>
      <c r="V614" t="s">
        <v>2433</v>
      </c>
      <c r="W614">
        <v>7</v>
      </c>
      <c r="X614" t="s">
        <v>2443</v>
      </c>
      <c r="Y614" t="s">
        <v>2444</v>
      </c>
      <c r="Z614">
        <v>3</v>
      </c>
      <c r="AF614">
        <v>373.04650226503497</v>
      </c>
      <c r="AG614">
        <v>6.2608695652173996</v>
      </c>
      <c r="AH614">
        <v>22</v>
      </c>
      <c r="AI614">
        <v>502</v>
      </c>
      <c r="AJ614">
        <v>119.78113778240558</v>
      </c>
      <c r="AK614">
        <v>630.4869565217399</v>
      </c>
      <c r="AL614">
        <v>2006</v>
      </c>
      <c r="AM614">
        <v>167.6935928953678</v>
      </c>
      <c r="AN614">
        <v>0</v>
      </c>
      <c r="AO614" t="s">
        <v>6066</v>
      </c>
      <c r="AP614" t="s">
        <v>2504</v>
      </c>
    </row>
    <row r="615" spans="1:42" x14ac:dyDescent="0.25">
      <c r="A615">
        <v>614</v>
      </c>
      <c r="B615" t="s">
        <v>3378</v>
      </c>
      <c r="C615" t="s">
        <v>3378</v>
      </c>
      <c r="D615" t="s">
        <v>5278</v>
      </c>
      <c r="E615" t="s">
        <v>5312</v>
      </c>
      <c r="F615" t="s">
        <v>157</v>
      </c>
      <c r="G615" t="s">
        <v>158</v>
      </c>
      <c r="H615" t="s">
        <v>159</v>
      </c>
      <c r="I615" t="s">
        <v>3894</v>
      </c>
      <c r="J615" t="s">
        <v>3094</v>
      </c>
      <c r="K615" t="s">
        <v>3095</v>
      </c>
      <c r="L615" t="s">
        <v>5279</v>
      </c>
      <c r="M615" t="s">
        <v>5280</v>
      </c>
      <c r="Q615">
        <v>11</v>
      </c>
      <c r="R615" t="s">
        <v>2409</v>
      </c>
      <c r="S615" t="s">
        <v>2410</v>
      </c>
      <c r="T615">
        <v>2</v>
      </c>
      <c r="U615" t="s">
        <v>2432</v>
      </c>
      <c r="V615" t="s">
        <v>2433</v>
      </c>
      <c r="W615">
        <v>7</v>
      </c>
      <c r="X615" t="s">
        <v>2440</v>
      </c>
      <c r="Y615" t="s">
        <v>2441</v>
      </c>
      <c r="Z615">
        <v>2</v>
      </c>
      <c r="AA615" t="s">
        <v>73</v>
      </c>
      <c r="AB615" t="s">
        <v>73</v>
      </c>
      <c r="AE615" t="s">
        <v>3880</v>
      </c>
      <c r="AF615">
        <v>372.96823082695732</v>
      </c>
      <c r="AG615">
        <v>5.5</v>
      </c>
      <c r="AH615">
        <v>3</v>
      </c>
      <c r="AI615">
        <v>310</v>
      </c>
      <c r="AJ615">
        <v>164.07581202995257</v>
      </c>
      <c r="AK615">
        <v>550.6</v>
      </c>
      <c r="AM615">
        <v>229.70613684193358</v>
      </c>
      <c r="AN615">
        <v>0</v>
      </c>
      <c r="AO615" t="s">
        <v>6067</v>
      </c>
      <c r="AP615" t="s">
        <v>5278</v>
      </c>
    </row>
    <row r="616" spans="1:42" x14ac:dyDescent="0.25">
      <c r="A616">
        <v>615</v>
      </c>
      <c r="B616" t="s">
        <v>2182</v>
      </c>
      <c r="C616" t="s">
        <v>2182</v>
      </c>
      <c r="D616" t="s">
        <v>2183</v>
      </c>
      <c r="E616" t="s">
        <v>255</v>
      </c>
      <c r="F616" t="s">
        <v>256</v>
      </c>
      <c r="G616" t="s">
        <v>257</v>
      </c>
      <c r="H616" t="s">
        <v>258</v>
      </c>
      <c r="I616" t="s">
        <v>2184</v>
      </c>
      <c r="J616" t="s">
        <v>546</v>
      </c>
      <c r="K616" t="s">
        <v>547</v>
      </c>
      <c r="L616">
        <v>52.231111111111098</v>
      </c>
      <c r="M616">
        <v>4.5191666666666697</v>
      </c>
      <c r="O616" t="s">
        <v>2652</v>
      </c>
      <c r="P616" t="s">
        <v>2653</v>
      </c>
      <c r="Q616">
        <v>13</v>
      </c>
      <c r="R616" t="s">
        <v>2414</v>
      </c>
      <c r="S616" t="s">
        <v>2415</v>
      </c>
      <c r="T616">
        <v>3</v>
      </c>
      <c r="U616" t="s">
        <v>2428</v>
      </c>
      <c r="V616" t="s">
        <v>2429</v>
      </c>
      <c r="W616">
        <v>3</v>
      </c>
      <c r="X616" t="s">
        <v>2443</v>
      </c>
      <c r="Y616" t="s">
        <v>2444</v>
      </c>
      <c r="Z616">
        <v>3</v>
      </c>
      <c r="AA616" t="s">
        <v>2185</v>
      </c>
      <c r="AB616" t="s">
        <v>2185</v>
      </c>
      <c r="AF616">
        <v>372.63207864900517</v>
      </c>
      <c r="AG616">
        <v>6.8148148148147998</v>
      </c>
      <c r="AH616">
        <v>53</v>
      </c>
      <c r="AI616">
        <v>646</v>
      </c>
      <c r="AJ616">
        <v>85.101486564739062</v>
      </c>
      <c r="AK616">
        <v>692.08148148147995</v>
      </c>
      <c r="AL616">
        <v>2004</v>
      </c>
      <c r="AM616">
        <v>119.14208119063468</v>
      </c>
      <c r="AN616">
        <v>0</v>
      </c>
      <c r="AO616" t="s">
        <v>6068</v>
      </c>
      <c r="AP616" t="s">
        <v>2183</v>
      </c>
    </row>
    <row r="617" spans="1:42" x14ac:dyDescent="0.25">
      <c r="A617">
        <v>616</v>
      </c>
      <c r="B617" t="s">
        <v>928</v>
      </c>
      <c r="C617" t="s">
        <v>928</v>
      </c>
      <c r="D617" t="s">
        <v>929</v>
      </c>
      <c r="E617" t="s">
        <v>595</v>
      </c>
      <c r="F617" t="s">
        <v>596</v>
      </c>
      <c r="G617" t="s">
        <v>3167</v>
      </c>
      <c r="H617" t="s">
        <v>3166</v>
      </c>
      <c r="I617" t="s">
        <v>597</v>
      </c>
      <c r="J617" t="s">
        <v>598</v>
      </c>
      <c r="K617" t="s">
        <v>599</v>
      </c>
      <c r="R617" t="s">
        <v>73</v>
      </c>
      <c r="S617" t="s">
        <v>73</v>
      </c>
      <c r="U617" t="s">
        <v>73</v>
      </c>
      <c r="V617" t="s">
        <v>73</v>
      </c>
      <c r="X617" t="s">
        <v>73</v>
      </c>
      <c r="Y617" t="s">
        <v>73</v>
      </c>
      <c r="AF617">
        <v>372.43947305416862</v>
      </c>
      <c r="AG617">
        <v>6.5625</v>
      </c>
      <c r="AH617">
        <v>15</v>
      </c>
      <c r="AI617">
        <v>578</v>
      </c>
      <c r="AJ617">
        <v>103.12719228240958</v>
      </c>
      <c r="AK617">
        <v>659.25</v>
      </c>
      <c r="AM617">
        <v>88.378069195373399</v>
      </c>
      <c r="AN617">
        <v>224</v>
      </c>
      <c r="AO617" t="s">
        <v>6069</v>
      </c>
      <c r="AP617" t="s">
        <v>929</v>
      </c>
    </row>
    <row r="618" spans="1:42" x14ac:dyDescent="0.25">
      <c r="A618">
        <v>617</v>
      </c>
      <c r="B618" t="s">
        <v>444</v>
      </c>
      <c r="C618" t="s">
        <v>444</v>
      </c>
      <c r="D618" t="s">
        <v>445</v>
      </c>
      <c r="E618" t="s">
        <v>199</v>
      </c>
      <c r="F618" t="s">
        <v>200</v>
      </c>
      <c r="I618" t="s">
        <v>446</v>
      </c>
      <c r="J618" t="s">
        <v>447</v>
      </c>
      <c r="K618" t="s">
        <v>448</v>
      </c>
      <c r="L618" t="s">
        <v>5175</v>
      </c>
      <c r="M618" t="s">
        <v>5176</v>
      </c>
      <c r="O618" t="s">
        <v>73</v>
      </c>
      <c r="P618" t="s">
        <v>73</v>
      </c>
      <c r="Q618">
        <v>14</v>
      </c>
      <c r="R618" t="s">
        <v>2420</v>
      </c>
      <c r="S618" t="s">
        <v>2421</v>
      </c>
      <c r="T618">
        <v>5</v>
      </c>
      <c r="U618" t="s">
        <v>3137</v>
      </c>
      <c r="V618" t="s">
        <v>3136</v>
      </c>
      <c r="W618">
        <v>5</v>
      </c>
      <c r="X618" t="s">
        <v>2449</v>
      </c>
      <c r="Y618" t="s">
        <v>2450</v>
      </c>
      <c r="Z618">
        <v>5</v>
      </c>
      <c r="AA618" t="s">
        <v>449</v>
      </c>
      <c r="AB618" t="s">
        <v>449</v>
      </c>
      <c r="AC618" t="s">
        <v>450</v>
      </c>
      <c r="AD618" t="s">
        <v>450</v>
      </c>
      <c r="AF618">
        <v>372.3479984505409</v>
      </c>
      <c r="AG618">
        <v>5</v>
      </c>
      <c r="AH618">
        <v>27</v>
      </c>
      <c r="AI618">
        <v>246</v>
      </c>
      <c r="AJ618">
        <v>188.49777605615657</v>
      </c>
      <c r="AK618">
        <v>505.4</v>
      </c>
      <c r="AM618">
        <v>263.89688647861919</v>
      </c>
      <c r="AN618">
        <v>0</v>
      </c>
      <c r="AO618" t="s">
        <v>6070</v>
      </c>
      <c r="AP618" t="s">
        <v>445</v>
      </c>
    </row>
    <row r="619" spans="1:42" x14ac:dyDescent="0.25">
      <c r="A619">
        <v>618</v>
      </c>
      <c r="B619" t="s">
        <v>841</v>
      </c>
      <c r="C619" t="s">
        <v>841</v>
      </c>
      <c r="D619" t="s">
        <v>842</v>
      </c>
      <c r="E619" t="s">
        <v>351</v>
      </c>
      <c r="F619" t="s">
        <v>352</v>
      </c>
      <c r="G619" t="s">
        <v>257</v>
      </c>
      <c r="H619" t="s">
        <v>258</v>
      </c>
      <c r="I619" t="s">
        <v>843</v>
      </c>
      <c r="J619" t="s">
        <v>602</v>
      </c>
      <c r="K619" t="s">
        <v>603</v>
      </c>
      <c r="L619">
        <v>51.1383467462</v>
      </c>
      <c r="M619">
        <v>4.3639763646500001</v>
      </c>
      <c r="O619" t="s">
        <v>844</v>
      </c>
      <c r="P619" t="s">
        <v>845</v>
      </c>
      <c r="Q619">
        <v>14</v>
      </c>
      <c r="R619" t="s">
        <v>2414</v>
      </c>
      <c r="S619" t="s">
        <v>2415</v>
      </c>
      <c r="T619">
        <v>3</v>
      </c>
      <c r="U619" t="s">
        <v>2432</v>
      </c>
      <c r="V619" t="s">
        <v>2433</v>
      </c>
      <c r="W619">
        <v>7</v>
      </c>
      <c r="X619" t="s">
        <v>2437</v>
      </c>
      <c r="Y619" t="s">
        <v>2438</v>
      </c>
      <c r="Z619">
        <v>1</v>
      </c>
      <c r="AF619">
        <v>371.76818181817998</v>
      </c>
      <c r="AG619">
        <v>8.2613636363635994</v>
      </c>
      <c r="AH619">
        <v>87</v>
      </c>
      <c r="AI619">
        <v>957</v>
      </c>
      <c r="AJ619">
        <v>0</v>
      </c>
      <c r="AK619">
        <v>843.53636363635997</v>
      </c>
      <c r="AL619">
        <v>2004</v>
      </c>
      <c r="AM619">
        <v>0</v>
      </c>
      <c r="AN619">
        <v>0</v>
      </c>
      <c r="AO619" t="s">
        <v>6071</v>
      </c>
      <c r="AP619" t="s">
        <v>842</v>
      </c>
    </row>
    <row r="620" spans="1:42" x14ac:dyDescent="0.25">
      <c r="A620">
        <v>619</v>
      </c>
      <c r="B620" t="s">
        <v>2129</v>
      </c>
      <c r="C620" t="s">
        <v>2129</v>
      </c>
      <c r="D620" t="s">
        <v>2130</v>
      </c>
      <c r="E620" t="s">
        <v>137</v>
      </c>
      <c r="F620" t="s">
        <v>138</v>
      </c>
      <c r="G620" t="s">
        <v>139</v>
      </c>
      <c r="H620" t="s">
        <v>140</v>
      </c>
      <c r="J620" t="s">
        <v>426</v>
      </c>
      <c r="K620" t="s">
        <v>427</v>
      </c>
      <c r="L620" t="s">
        <v>4678</v>
      </c>
      <c r="M620" t="s">
        <v>4679</v>
      </c>
      <c r="R620" t="s">
        <v>73</v>
      </c>
      <c r="S620" t="s">
        <v>73</v>
      </c>
      <c r="U620" t="s">
        <v>73</v>
      </c>
      <c r="V620" t="s">
        <v>73</v>
      </c>
      <c r="X620" t="s">
        <v>73</v>
      </c>
      <c r="Y620" t="s">
        <v>73</v>
      </c>
      <c r="AF620">
        <v>371.73227102229851</v>
      </c>
      <c r="AG620">
        <v>6.3</v>
      </c>
      <c r="AH620">
        <v>9</v>
      </c>
      <c r="AI620">
        <v>517</v>
      </c>
      <c r="AJ620">
        <v>117.59141224699835</v>
      </c>
      <c r="AK620">
        <v>631.79999999999995</v>
      </c>
      <c r="AL620">
        <v>2004</v>
      </c>
      <c r="AM620">
        <v>164.62797714579767</v>
      </c>
      <c r="AN620">
        <v>0</v>
      </c>
      <c r="AO620" t="s">
        <v>6072</v>
      </c>
      <c r="AP620" t="s">
        <v>2130</v>
      </c>
    </row>
    <row r="621" spans="1:42" x14ac:dyDescent="0.25">
      <c r="A621">
        <v>620</v>
      </c>
      <c r="B621" t="s">
        <v>1010</v>
      </c>
      <c r="C621" t="s">
        <v>1010</v>
      </c>
      <c r="D621" t="s">
        <v>1011</v>
      </c>
      <c r="E621" t="s">
        <v>91</v>
      </c>
      <c r="F621" t="s">
        <v>92</v>
      </c>
      <c r="G621" t="s">
        <v>632</v>
      </c>
      <c r="H621" t="s">
        <v>633</v>
      </c>
      <c r="I621" t="s">
        <v>1011</v>
      </c>
      <c r="J621" t="s">
        <v>2832</v>
      </c>
      <c r="K621" t="s">
        <v>2831</v>
      </c>
      <c r="L621" t="s">
        <v>4540</v>
      </c>
      <c r="M621" t="s">
        <v>4541</v>
      </c>
      <c r="O621" t="s">
        <v>2834</v>
      </c>
      <c r="P621" t="s">
        <v>2833</v>
      </c>
      <c r="Q621">
        <v>16</v>
      </c>
      <c r="R621" t="s">
        <v>2406</v>
      </c>
      <c r="S621" t="s">
        <v>2407</v>
      </c>
      <c r="T621">
        <v>1</v>
      </c>
      <c r="U621" t="s">
        <v>3137</v>
      </c>
      <c r="V621" t="s">
        <v>3136</v>
      </c>
      <c r="W621">
        <v>5</v>
      </c>
      <c r="X621" t="s">
        <v>2443</v>
      </c>
      <c r="Y621" t="s">
        <v>2444</v>
      </c>
      <c r="Z621">
        <v>3</v>
      </c>
      <c r="AA621" t="s">
        <v>73</v>
      </c>
      <c r="AB621" t="s">
        <v>73</v>
      </c>
      <c r="AC621" t="s">
        <v>2835</v>
      </c>
      <c r="AD621" t="s">
        <v>2835</v>
      </c>
      <c r="AF621">
        <v>371.42149955431813</v>
      </c>
      <c r="AG621">
        <v>6.3846153846154001</v>
      </c>
      <c r="AH621">
        <v>12</v>
      </c>
      <c r="AI621">
        <v>548</v>
      </c>
      <c r="AJ621">
        <v>112.21192258172015</v>
      </c>
      <c r="AK621">
        <v>640.86153846154002</v>
      </c>
      <c r="AM621">
        <v>101.0966916144082</v>
      </c>
      <c r="AN621">
        <v>224</v>
      </c>
      <c r="AO621" t="s">
        <v>6073</v>
      </c>
      <c r="AP621" t="s">
        <v>1011</v>
      </c>
    </row>
    <row r="622" spans="1:42" x14ac:dyDescent="0.25">
      <c r="A622">
        <v>621</v>
      </c>
      <c r="B622" t="s">
        <v>509</v>
      </c>
      <c r="C622" t="s">
        <v>509</v>
      </c>
      <c r="D622" t="s">
        <v>510</v>
      </c>
      <c r="E622" t="s">
        <v>255</v>
      </c>
      <c r="F622" t="s">
        <v>256</v>
      </c>
      <c r="G622" t="s">
        <v>257</v>
      </c>
      <c r="H622" t="s">
        <v>258</v>
      </c>
      <c r="I622" t="s">
        <v>511</v>
      </c>
      <c r="J622" t="s">
        <v>315</v>
      </c>
      <c r="K622" t="s">
        <v>316</v>
      </c>
      <c r="L622">
        <v>51.874520759799999</v>
      </c>
      <c r="M622">
        <v>6.2408660412900003</v>
      </c>
      <c r="N622" t="s">
        <v>4232</v>
      </c>
      <c r="O622" t="s">
        <v>512</v>
      </c>
      <c r="P622" t="s">
        <v>513</v>
      </c>
      <c r="Q622">
        <v>15</v>
      </c>
      <c r="R622" t="s">
        <v>2414</v>
      </c>
      <c r="S622" t="s">
        <v>2415</v>
      </c>
      <c r="T622">
        <v>3</v>
      </c>
      <c r="U622" t="s">
        <v>2432</v>
      </c>
      <c r="V622" t="s">
        <v>2433</v>
      </c>
      <c r="W622">
        <v>7</v>
      </c>
      <c r="X622" t="s">
        <v>2437</v>
      </c>
      <c r="Y622" t="s">
        <v>2438</v>
      </c>
      <c r="Z622">
        <v>1</v>
      </c>
      <c r="AA622" t="s">
        <v>73</v>
      </c>
      <c r="AB622" t="s">
        <v>73</v>
      </c>
      <c r="AC622" t="s">
        <v>514</v>
      </c>
      <c r="AD622" t="s">
        <v>514</v>
      </c>
      <c r="AF622">
        <v>371.25563301257938</v>
      </c>
      <c r="AG622">
        <v>7.3172413793102997</v>
      </c>
      <c r="AH622">
        <v>144</v>
      </c>
      <c r="AI622">
        <v>827</v>
      </c>
      <c r="AJ622">
        <v>45.548404496738215</v>
      </c>
      <c r="AK622">
        <v>760.52413793102994</v>
      </c>
      <c r="AL622">
        <v>2007</v>
      </c>
      <c r="AM622">
        <v>63.767766295433496</v>
      </c>
      <c r="AN622">
        <v>0</v>
      </c>
      <c r="AO622" t="s">
        <v>6074</v>
      </c>
      <c r="AP622" t="s">
        <v>510</v>
      </c>
    </row>
    <row r="623" spans="1:42" x14ac:dyDescent="0.25">
      <c r="A623">
        <v>622</v>
      </c>
      <c r="B623" t="s">
        <v>2381</v>
      </c>
      <c r="C623" t="s">
        <v>2381</v>
      </c>
      <c r="D623" t="s">
        <v>2382</v>
      </c>
      <c r="E623" t="s">
        <v>459</v>
      </c>
      <c r="F623" t="s">
        <v>459</v>
      </c>
      <c r="G623" t="s">
        <v>257</v>
      </c>
      <c r="H623" t="s">
        <v>258</v>
      </c>
      <c r="R623" t="s">
        <v>73</v>
      </c>
      <c r="S623" t="s">
        <v>73</v>
      </c>
      <c r="U623" t="s">
        <v>73</v>
      </c>
      <c r="V623" t="s">
        <v>73</v>
      </c>
      <c r="X623" t="s">
        <v>73</v>
      </c>
      <c r="Y623" t="s">
        <v>73</v>
      </c>
      <c r="AA623" t="s">
        <v>73</v>
      </c>
      <c r="AB623" t="s">
        <v>73</v>
      </c>
      <c r="AF623">
        <v>371.18513882226608</v>
      </c>
      <c r="AG623">
        <v>7.4</v>
      </c>
      <c r="AH623">
        <v>14</v>
      </c>
      <c r="AI623">
        <v>809</v>
      </c>
      <c r="AJ623">
        <v>55.316820913628995</v>
      </c>
      <c r="AK623">
        <v>742.8</v>
      </c>
      <c r="AM623">
        <v>49.443549279080585</v>
      </c>
      <c r="AN623">
        <v>112</v>
      </c>
      <c r="AO623" t="s">
        <v>6075</v>
      </c>
      <c r="AP623" t="s">
        <v>2382</v>
      </c>
    </row>
    <row r="624" spans="1:42" x14ac:dyDescent="0.25">
      <c r="A624">
        <v>623</v>
      </c>
      <c r="B624" t="s">
        <v>3352</v>
      </c>
      <c r="C624" t="s">
        <v>3352</v>
      </c>
      <c r="D624" t="s">
        <v>3655</v>
      </c>
      <c r="E624" t="s">
        <v>666</v>
      </c>
      <c r="F624" t="s">
        <v>667</v>
      </c>
      <c r="G624" t="s">
        <v>60</v>
      </c>
      <c r="H624" t="s">
        <v>61</v>
      </c>
      <c r="I624" t="s">
        <v>3636</v>
      </c>
      <c r="J624" t="s">
        <v>3621</v>
      </c>
      <c r="K624" t="s">
        <v>3618</v>
      </c>
      <c r="L624" t="s">
        <v>4447</v>
      </c>
      <c r="M624" t="s">
        <v>4448</v>
      </c>
      <c r="R624" t="s">
        <v>2414</v>
      </c>
      <c r="S624" t="s">
        <v>2415</v>
      </c>
      <c r="T624">
        <v>3</v>
      </c>
      <c r="U624" t="s">
        <v>73</v>
      </c>
      <c r="V624" t="s">
        <v>73</v>
      </c>
      <c r="X624" t="s">
        <v>73</v>
      </c>
      <c r="Y624" t="s">
        <v>73</v>
      </c>
      <c r="AA624" t="s">
        <v>73</v>
      </c>
      <c r="AB624" t="s">
        <v>73</v>
      </c>
      <c r="AF624">
        <v>371.06333317290955</v>
      </c>
      <c r="AG624">
        <v>5.75</v>
      </c>
      <c r="AH624">
        <v>7</v>
      </c>
      <c r="AI624">
        <v>373</v>
      </c>
      <c r="AJ624">
        <v>147.62592574767729</v>
      </c>
      <c r="AK624">
        <v>576.4</v>
      </c>
      <c r="AM624">
        <v>122.67629604674818</v>
      </c>
      <c r="AN624">
        <v>336</v>
      </c>
      <c r="AO624" t="s">
        <v>6076</v>
      </c>
      <c r="AP624" t="s">
        <v>3655</v>
      </c>
    </row>
    <row r="625" spans="1:42" x14ac:dyDescent="0.25">
      <c r="A625">
        <v>624</v>
      </c>
      <c r="B625" t="s">
        <v>2929</v>
      </c>
      <c r="C625" t="s">
        <v>4258</v>
      </c>
      <c r="D625" t="s">
        <v>4256</v>
      </c>
      <c r="E625" t="s">
        <v>351</v>
      </c>
      <c r="F625" t="s">
        <v>352</v>
      </c>
      <c r="G625" t="s">
        <v>257</v>
      </c>
      <c r="H625" t="s">
        <v>258</v>
      </c>
      <c r="J625" t="s">
        <v>353</v>
      </c>
      <c r="K625" t="s">
        <v>354</v>
      </c>
      <c r="L625">
        <v>50.568156451299998</v>
      </c>
      <c r="M625">
        <v>4.1767986543499998</v>
      </c>
      <c r="N625" t="s">
        <v>4257</v>
      </c>
      <c r="Q625">
        <v>12</v>
      </c>
      <c r="R625" t="s">
        <v>73</v>
      </c>
      <c r="S625" t="s">
        <v>73</v>
      </c>
      <c r="U625" t="s">
        <v>73</v>
      </c>
      <c r="V625" t="s">
        <v>73</v>
      </c>
      <c r="X625" t="s">
        <v>73</v>
      </c>
      <c r="Y625" t="s">
        <v>73</v>
      </c>
      <c r="AE625" t="s">
        <v>1056</v>
      </c>
      <c r="AF625">
        <v>371.053198061057</v>
      </c>
      <c r="AG625">
        <v>7.2</v>
      </c>
      <c r="AH625">
        <v>24</v>
      </c>
      <c r="AI625">
        <v>752</v>
      </c>
      <c r="AJ625">
        <v>65.170220067841157</v>
      </c>
      <c r="AK625">
        <v>724.8</v>
      </c>
      <c r="AM625">
        <v>91.238308094977612</v>
      </c>
      <c r="AN625">
        <v>0</v>
      </c>
      <c r="AO625" t="s">
        <v>6077</v>
      </c>
      <c r="AP625" t="s">
        <v>4256</v>
      </c>
    </row>
    <row r="626" spans="1:42" x14ac:dyDescent="0.25">
      <c r="A626">
        <v>625</v>
      </c>
      <c r="B626" t="s">
        <v>2745</v>
      </c>
      <c r="C626" t="s">
        <v>2745</v>
      </c>
      <c r="D626" t="s">
        <v>1708</v>
      </c>
      <c r="E626" t="s">
        <v>218</v>
      </c>
      <c r="F626" t="s">
        <v>219</v>
      </c>
      <c r="G626" t="s">
        <v>69</v>
      </c>
      <c r="H626" t="s">
        <v>70</v>
      </c>
      <c r="I626" t="s">
        <v>5000</v>
      </c>
      <c r="J626" t="s">
        <v>291</v>
      </c>
      <c r="K626" t="s">
        <v>292</v>
      </c>
      <c r="L626" t="s">
        <v>4998</v>
      </c>
      <c r="M626" t="s">
        <v>4999</v>
      </c>
      <c r="R626" t="s">
        <v>73</v>
      </c>
      <c r="S626" t="s">
        <v>73</v>
      </c>
      <c r="U626" t="s">
        <v>73</v>
      </c>
      <c r="V626" t="s">
        <v>73</v>
      </c>
      <c r="X626" t="s">
        <v>73</v>
      </c>
      <c r="Y626" t="s">
        <v>73</v>
      </c>
      <c r="AF626">
        <v>371.0218572566306</v>
      </c>
      <c r="AG626">
        <v>7</v>
      </c>
      <c r="AH626">
        <v>8</v>
      </c>
      <c r="AI626">
        <v>701</v>
      </c>
      <c r="AJ626">
        <v>78.024285840700657</v>
      </c>
      <c r="AK626">
        <v>701.6</v>
      </c>
      <c r="AM626">
        <v>53.234000176980913</v>
      </c>
      <c r="AN626">
        <v>224</v>
      </c>
      <c r="AO626" t="s">
        <v>6078</v>
      </c>
      <c r="AP626" t="s">
        <v>1708</v>
      </c>
    </row>
    <row r="627" spans="1:42" x14ac:dyDescent="0.25">
      <c r="A627">
        <v>626</v>
      </c>
      <c r="B627" t="s">
        <v>3746</v>
      </c>
      <c r="C627" t="s">
        <v>3746</v>
      </c>
      <c r="D627" t="s">
        <v>4805</v>
      </c>
      <c r="E627" t="s">
        <v>556</v>
      </c>
      <c r="F627" t="s">
        <v>557</v>
      </c>
      <c r="G627" t="s">
        <v>60</v>
      </c>
      <c r="H627" t="s">
        <v>61</v>
      </c>
      <c r="J627" t="s">
        <v>3120</v>
      </c>
      <c r="K627" t="s">
        <v>3121</v>
      </c>
      <c r="L627" t="s">
        <v>4820</v>
      </c>
      <c r="M627" t="s">
        <v>4821</v>
      </c>
      <c r="R627" t="s">
        <v>73</v>
      </c>
      <c r="S627" t="s">
        <v>73</v>
      </c>
      <c r="U627" t="s">
        <v>73</v>
      </c>
      <c r="V627" t="s">
        <v>73</v>
      </c>
      <c r="X627" t="s">
        <v>73</v>
      </c>
      <c r="Y627" t="s">
        <v>73</v>
      </c>
      <c r="AA627" t="s">
        <v>73</v>
      </c>
      <c r="AB627" t="s">
        <v>73</v>
      </c>
      <c r="AF627">
        <v>370.79517851126963</v>
      </c>
      <c r="AG627">
        <v>7</v>
      </c>
      <c r="AH627">
        <v>4</v>
      </c>
      <c r="AI627">
        <v>698</v>
      </c>
      <c r="AJ627">
        <v>78.216865012521836</v>
      </c>
      <c r="AK627">
        <v>700.8</v>
      </c>
      <c r="AM627">
        <v>53.503611017530567</v>
      </c>
      <c r="AN627">
        <v>224</v>
      </c>
      <c r="AO627" t="s">
        <v>6079</v>
      </c>
      <c r="AP627" t="s">
        <v>4805</v>
      </c>
    </row>
    <row r="628" spans="1:42" x14ac:dyDescent="0.25">
      <c r="A628">
        <v>627</v>
      </c>
      <c r="B628" t="s">
        <v>3740</v>
      </c>
      <c r="C628" t="s">
        <v>3740</v>
      </c>
      <c r="D628" t="s">
        <v>3741</v>
      </c>
      <c r="E628" t="s">
        <v>5312</v>
      </c>
      <c r="F628" t="s">
        <v>157</v>
      </c>
      <c r="G628" t="s">
        <v>158</v>
      </c>
      <c r="H628" t="s">
        <v>159</v>
      </c>
      <c r="I628" t="s">
        <v>4780</v>
      </c>
      <c r="J628" t="s">
        <v>3094</v>
      </c>
      <c r="K628" t="s">
        <v>3095</v>
      </c>
      <c r="L628" t="s">
        <v>4778</v>
      </c>
      <c r="M628" t="s">
        <v>4779</v>
      </c>
      <c r="R628" t="s">
        <v>73</v>
      </c>
      <c r="S628" t="s">
        <v>73</v>
      </c>
      <c r="U628" t="s">
        <v>73</v>
      </c>
      <c r="V628" t="s">
        <v>73</v>
      </c>
      <c r="X628" t="s">
        <v>73</v>
      </c>
      <c r="Y628" t="s">
        <v>73</v>
      </c>
      <c r="AA628" t="s">
        <v>73</v>
      </c>
      <c r="AB628" t="s">
        <v>73</v>
      </c>
      <c r="AF628">
        <v>370.75346895352789</v>
      </c>
      <c r="AG628">
        <v>7.3333333333333002</v>
      </c>
      <c r="AH628">
        <v>2</v>
      </c>
      <c r="AI628">
        <v>788</v>
      </c>
      <c r="AJ628">
        <v>59.874224763180941</v>
      </c>
      <c r="AK628">
        <v>733.73333333333005</v>
      </c>
      <c r="AM628">
        <v>83.823914668453313</v>
      </c>
      <c r="AN628">
        <v>0</v>
      </c>
      <c r="AO628" t="s">
        <v>6080</v>
      </c>
      <c r="AP628" t="s">
        <v>3741</v>
      </c>
    </row>
    <row r="629" spans="1:42" x14ac:dyDescent="0.25">
      <c r="A629">
        <v>628</v>
      </c>
      <c r="B629" t="s">
        <v>3332</v>
      </c>
      <c r="C629" t="s">
        <v>3332</v>
      </c>
      <c r="D629" t="s">
        <v>3699</v>
      </c>
      <c r="E629" t="s">
        <v>229</v>
      </c>
      <c r="F629" t="s">
        <v>229</v>
      </c>
      <c r="G629" t="s">
        <v>69</v>
      </c>
      <c r="H629" t="s">
        <v>70</v>
      </c>
      <c r="R629" t="s">
        <v>73</v>
      </c>
      <c r="S629" t="s">
        <v>73</v>
      </c>
      <c r="U629" t="s">
        <v>73</v>
      </c>
      <c r="V629" t="s">
        <v>73</v>
      </c>
      <c r="X629" t="s">
        <v>73</v>
      </c>
      <c r="Y629" t="s">
        <v>73</v>
      </c>
      <c r="AA629" t="s">
        <v>73</v>
      </c>
      <c r="AB629" t="s">
        <v>73</v>
      </c>
      <c r="AF629">
        <v>370.51834057782679</v>
      </c>
      <c r="AG629">
        <v>6.25</v>
      </c>
      <c r="AH629">
        <v>3</v>
      </c>
      <c r="AI629">
        <v>503</v>
      </c>
      <c r="AJ629">
        <v>119.68704508647421</v>
      </c>
      <c r="AK629">
        <v>625.6</v>
      </c>
      <c r="AM629">
        <v>55.561863121063887</v>
      </c>
      <c r="AN629">
        <v>448</v>
      </c>
      <c r="AO629" t="s">
        <v>6081</v>
      </c>
      <c r="AP629" t="s">
        <v>3699</v>
      </c>
    </row>
    <row r="630" spans="1:42" x14ac:dyDescent="0.25">
      <c r="A630">
        <v>629</v>
      </c>
      <c r="B630" t="s">
        <v>3976</v>
      </c>
      <c r="C630" t="s">
        <v>3976</v>
      </c>
      <c r="D630" t="s">
        <v>3977</v>
      </c>
      <c r="E630" t="s">
        <v>183</v>
      </c>
      <c r="F630" t="s">
        <v>184</v>
      </c>
      <c r="G630" t="s">
        <v>158</v>
      </c>
      <c r="H630" t="s">
        <v>159</v>
      </c>
      <c r="J630" t="s">
        <v>337</v>
      </c>
      <c r="K630" t="s">
        <v>338</v>
      </c>
      <c r="Q630">
        <v>12</v>
      </c>
      <c r="R630" t="s">
        <v>2409</v>
      </c>
      <c r="S630" t="s">
        <v>2410</v>
      </c>
      <c r="T630">
        <v>2</v>
      </c>
      <c r="U630" t="s">
        <v>2432</v>
      </c>
      <c r="V630" t="s">
        <v>2433</v>
      </c>
      <c r="W630">
        <v>7</v>
      </c>
      <c r="X630" t="s">
        <v>2440</v>
      </c>
      <c r="Y630" t="s">
        <v>2441</v>
      </c>
      <c r="Z630">
        <v>2</v>
      </c>
      <c r="AA630" t="s">
        <v>73</v>
      </c>
      <c r="AB630" t="s">
        <v>73</v>
      </c>
      <c r="AE630" t="s">
        <v>3978</v>
      </c>
      <c r="AF630">
        <v>370.18611053320285</v>
      </c>
      <c r="AG630">
        <v>7.8181818181817997</v>
      </c>
      <c r="AH630">
        <v>10</v>
      </c>
      <c r="AI630">
        <v>920</v>
      </c>
      <c r="AJ630">
        <v>31.418910693458749</v>
      </c>
      <c r="AK630">
        <v>783.81818181817994</v>
      </c>
      <c r="AM630">
        <v>43.986474970842245</v>
      </c>
      <c r="AN630">
        <v>0</v>
      </c>
      <c r="AO630" t="s">
        <v>6082</v>
      </c>
      <c r="AP630" t="s">
        <v>3977</v>
      </c>
    </row>
    <row r="631" spans="1:42" x14ac:dyDescent="0.25">
      <c r="A631">
        <v>630</v>
      </c>
      <c r="B631" t="s">
        <v>1440</v>
      </c>
      <c r="C631" t="s">
        <v>1440</v>
      </c>
      <c r="D631" t="s">
        <v>2875</v>
      </c>
      <c r="E631" t="s">
        <v>672</v>
      </c>
      <c r="F631" t="s">
        <v>672</v>
      </c>
      <c r="G631" t="s">
        <v>79</v>
      </c>
      <c r="H631" t="s">
        <v>80</v>
      </c>
      <c r="R631" t="s">
        <v>73</v>
      </c>
      <c r="S631" t="s">
        <v>73</v>
      </c>
      <c r="U631" t="s">
        <v>73</v>
      </c>
      <c r="V631" t="s">
        <v>73</v>
      </c>
      <c r="X631" t="s">
        <v>73</v>
      </c>
      <c r="Y631" t="s">
        <v>73</v>
      </c>
      <c r="AA631" t="s">
        <v>73</v>
      </c>
      <c r="AB631" t="s">
        <v>73</v>
      </c>
      <c r="AF631">
        <v>369.83333333333496</v>
      </c>
      <c r="AG631">
        <v>7.6666666666666998</v>
      </c>
      <c r="AH631">
        <v>5</v>
      </c>
      <c r="AI631">
        <v>858</v>
      </c>
      <c r="AJ631">
        <v>40</v>
      </c>
      <c r="AK631">
        <v>767.66666666666993</v>
      </c>
      <c r="AM631">
        <v>0</v>
      </c>
      <c r="AN631">
        <v>224</v>
      </c>
      <c r="AO631" t="s">
        <v>6083</v>
      </c>
      <c r="AP631" t="s">
        <v>2875</v>
      </c>
    </row>
    <row r="632" spans="1:42" x14ac:dyDescent="0.25">
      <c r="A632">
        <v>631</v>
      </c>
      <c r="B632" t="s">
        <v>1836</v>
      </c>
      <c r="C632" t="s">
        <v>1836</v>
      </c>
      <c r="D632" t="s">
        <v>3858</v>
      </c>
      <c r="E632" t="s">
        <v>199</v>
      </c>
      <c r="F632" t="s">
        <v>200</v>
      </c>
      <c r="J632" t="s">
        <v>202</v>
      </c>
      <c r="K632" t="s">
        <v>203</v>
      </c>
      <c r="L632" t="s">
        <v>5061</v>
      </c>
      <c r="M632" t="s">
        <v>5062</v>
      </c>
      <c r="Q632">
        <v>14</v>
      </c>
      <c r="R632" t="s">
        <v>2420</v>
      </c>
      <c r="S632" t="s">
        <v>2421</v>
      </c>
      <c r="T632">
        <v>5</v>
      </c>
      <c r="U632" t="s">
        <v>2432</v>
      </c>
      <c r="V632" t="s">
        <v>2433</v>
      </c>
      <c r="W632">
        <v>7</v>
      </c>
      <c r="X632" t="s">
        <v>2437</v>
      </c>
      <c r="Y632" t="s">
        <v>2438</v>
      </c>
      <c r="Z632">
        <v>1</v>
      </c>
      <c r="AA632" t="s">
        <v>73</v>
      </c>
      <c r="AB632" t="s">
        <v>73</v>
      </c>
      <c r="AE632" t="s">
        <v>5063</v>
      </c>
      <c r="AF632">
        <v>369.7098293436419</v>
      </c>
      <c r="AG632">
        <v>7.4285714285714004</v>
      </c>
      <c r="AH632">
        <v>6</v>
      </c>
      <c r="AI632">
        <v>812</v>
      </c>
      <c r="AJ632">
        <v>52.979175461190962</v>
      </c>
      <c r="AK632">
        <v>744.05714285714009</v>
      </c>
      <c r="AL632">
        <v>2011</v>
      </c>
      <c r="AM632">
        <v>74.170845645667342</v>
      </c>
      <c r="AN632">
        <v>0</v>
      </c>
      <c r="AO632" t="s">
        <v>6084</v>
      </c>
      <c r="AP632" t="s">
        <v>3858</v>
      </c>
    </row>
    <row r="633" spans="1:42" x14ac:dyDescent="0.25">
      <c r="A633">
        <v>632</v>
      </c>
      <c r="B633" t="s">
        <v>1731</v>
      </c>
      <c r="C633" t="s">
        <v>1731</v>
      </c>
      <c r="D633" t="s">
        <v>2877</v>
      </c>
      <c r="E633" t="s">
        <v>672</v>
      </c>
      <c r="F633" t="s">
        <v>672</v>
      </c>
      <c r="G633" t="s">
        <v>79</v>
      </c>
      <c r="H633" t="s">
        <v>80</v>
      </c>
      <c r="R633" t="s">
        <v>73</v>
      </c>
      <c r="S633" t="s">
        <v>73</v>
      </c>
      <c r="U633" t="s">
        <v>73</v>
      </c>
      <c r="V633" t="s">
        <v>73</v>
      </c>
      <c r="X633" t="s">
        <v>73</v>
      </c>
      <c r="Y633" t="s">
        <v>73</v>
      </c>
      <c r="AA633" t="s">
        <v>73</v>
      </c>
      <c r="AB633" t="s">
        <v>73</v>
      </c>
      <c r="AF633">
        <v>368.95431728061845</v>
      </c>
      <c r="AG633">
        <v>7.1428571428570997</v>
      </c>
      <c r="AH633">
        <v>6</v>
      </c>
      <c r="AI633">
        <v>745</v>
      </c>
      <c r="AJ633">
        <v>68.012733486403818</v>
      </c>
      <c r="AK633">
        <v>715.48571428571006</v>
      </c>
      <c r="AM633">
        <v>39.21782688096534</v>
      </c>
      <c r="AN633">
        <v>224</v>
      </c>
      <c r="AO633" t="s">
        <v>6085</v>
      </c>
      <c r="AP633" t="s">
        <v>2877</v>
      </c>
    </row>
    <row r="634" spans="1:42" x14ac:dyDescent="0.25">
      <c r="A634">
        <v>633</v>
      </c>
      <c r="B634" t="s">
        <v>1645</v>
      </c>
      <c r="C634" t="s">
        <v>1645</v>
      </c>
      <c r="D634" t="s">
        <v>3773</v>
      </c>
      <c r="E634" t="s">
        <v>282</v>
      </c>
      <c r="F634" t="s">
        <v>283</v>
      </c>
      <c r="G634" t="s">
        <v>3167</v>
      </c>
      <c r="H634" t="s">
        <v>3166</v>
      </c>
      <c r="J634" t="s">
        <v>585</v>
      </c>
      <c r="K634" t="s">
        <v>586</v>
      </c>
      <c r="R634" t="s">
        <v>73</v>
      </c>
      <c r="S634" t="s">
        <v>73</v>
      </c>
      <c r="U634" t="s">
        <v>73</v>
      </c>
      <c r="V634" t="s">
        <v>73</v>
      </c>
      <c r="X634" t="s">
        <v>73</v>
      </c>
      <c r="Y634" t="s">
        <v>73</v>
      </c>
      <c r="AF634">
        <v>368.7061695237233</v>
      </c>
      <c r="AG634">
        <v>6.7619047619048001</v>
      </c>
      <c r="AH634">
        <v>20</v>
      </c>
      <c r="AI634">
        <v>641</v>
      </c>
      <c r="AJ634">
        <v>87.345479364981443</v>
      </c>
      <c r="AK634">
        <v>680.19047619048001</v>
      </c>
      <c r="AM634">
        <v>66.283671110974012</v>
      </c>
      <c r="AN634">
        <v>224</v>
      </c>
      <c r="AO634" t="s">
        <v>6086</v>
      </c>
      <c r="AP634" t="s">
        <v>3773</v>
      </c>
    </row>
    <row r="635" spans="1:42" x14ac:dyDescent="0.25">
      <c r="A635">
        <v>634</v>
      </c>
      <c r="B635" t="s">
        <v>1732</v>
      </c>
      <c r="C635" t="s">
        <v>1732</v>
      </c>
      <c r="D635" t="s">
        <v>1733</v>
      </c>
      <c r="E635" t="s">
        <v>137</v>
      </c>
      <c r="F635" t="s">
        <v>138</v>
      </c>
      <c r="G635" t="s">
        <v>139</v>
      </c>
      <c r="H635" t="s">
        <v>140</v>
      </c>
      <c r="I635" t="s">
        <v>1734</v>
      </c>
      <c r="J635" t="s">
        <v>426</v>
      </c>
      <c r="K635" t="s">
        <v>427</v>
      </c>
      <c r="L635" t="s">
        <v>4746</v>
      </c>
      <c r="M635" t="s">
        <v>4747</v>
      </c>
      <c r="Q635">
        <v>13</v>
      </c>
      <c r="R635" t="s">
        <v>2409</v>
      </c>
      <c r="S635" t="s">
        <v>2410</v>
      </c>
      <c r="T635">
        <v>2</v>
      </c>
      <c r="U635" t="s">
        <v>2432</v>
      </c>
      <c r="V635" t="s">
        <v>2433</v>
      </c>
      <c r="W635">
        <v>7</v>
      </c>
      <c r="X635" t="s">
        <v>2440</v>
      </c>
      <c r="Y635" t="s">
        <v>2441</v>
      </c>
      <c r="Z635">
        <v>2</v>
      </c>
      <c r="AA635" t="s">
        <v>73</v>
      </c>
      <c r="AB635" t="s">
        <v>73</v>
      </c>
      <c r="AF635">
        <v>368.68783348169796</v>
      </c>
      <c r="AG635">
        <v>6.2857142857142998</v>
      </c>
      <c r="AH635">
        <v>13</v>
      </c>
      <c r="AI635">
        <v>533</v>
      </c>
      <c r="AJ635">
        <v>114.55791021775882</v>
      </c>
      <c r="AK635">
        <v>631.17142857143006</v>
      </c>
      <c r="AL635">
        <v>2008</v>
      </c>
      <c r="AM635">
        <v>160.38107430486232</v>
      </c>
      <c r="AN635">
        <v>0</v>
      </c>
      <c r="AO635" t="s">
        <v>6087</v>
      </c>
      <c r="AP635" t="s">
        <v>1733</v>
      </c>
    </row>
    <row r="636" spans="1:42" x14ac:dyDescent="0.25">
      <c r="A636">
        <v>635</v>
      </c>
      <c r="B636" t="s">
        <v>3342</v>
      </c>
      <c r="C636" t="s">
        <v>3342</v>
      </c>
      <c r="D636" t="s">
        <v>4184</v>
      </c>
      <c r="E636" t="s">
        <v>218</v>
      </c>
      <c r="F636" t="s">
        <v>219</v>
      </c>
      <c r="G636" t="s">
        <v>69</v>
      </c>
      <c r="H636" t="s">
        <v>70</v>
      </c>
      <c r="I636" t="s">
        <v>3587</v>
      </c>
      <c r="J636" t="s">
        <v>291</v>
      </c>
      <c r="K636" t="s">
        <v>292</v>
      </c>
      <c r="L636" t="s">
        <v>5010</v>
      </c>
      <c r="M636" t="s">
        <v>5011</v>
      </c>
      <c r="R636" t="s">
        <v>2420</v>
      </c>
      <c r="S636" t="s">
        <v>2421</v>
      </c>
      <c r="T636">
        <v>5</v>
      </c>
      <c r="U636" t="s">
        <v>73</v>
      </c>
      <c r="V636" t="s">
        <v>73</v>
      </c>
      <c r="X636" t="s">
        <v>73</v>
      </c>
      <c r="Y636" t="s">
        <v>73</v>
      </c>
      <c r="AA636" t="s">
        <v>73</v>
      </c>
      <c r="AB636" t="s">
        <v>73</v>
      </c>
      <c r="AF636">
        <v>368.58049800786148</v>
      </c>
      <c r="AG636">
        <v>6.3333333333333002</v>
      </c>
      <c r="AH636">
        <v>8</v>
      </c>
      <c r="AI636">
        <v>547</v>
      </c>
      <c r="AJ636">
        <v>112.34870149021825</v>
      </c>
      <c r="AK636">
        <v>634.9333333333301</v>
      </c>
      <c r="AM636">
        <v>101.28818208630553</v>
      </c>
      <c r="AN636">
        <v>224</v>
      </c>
      <c r="AO636" t="s">
        <v>6088</v>
      </c>
      <c r="AP636" t="s">
        <v>4184</v>
      </c>
    </row>
    <row r="637" spans="1:42" x14ac:dyDescent="0.25">
      <c r="A637">
        <v>636</v>
      </c>
      <c r="B637" t="s">
        <v>878</v>
      </c>
      <c r="C637" t="s">
        <v>878</v>
      </c>
      <c r="D637" t="s">
        <v>879</v>
      </c>
      <c r="E637" t="s">
        <v>199</v>
      </c>
      <c r="F637" t="s">
        <v>200</v>
      </c>
      <c r="I637" t="s">
        <v>446</v>
      </c>
      <c r="J637" t="s">
        <v>447</v>
      </c>
      <c r="K637" t="s">
        <v>448</v>
      </c>
      <c r="L637" t="s">
        <v>5227</v>
      </c>
      <c r="M637" t="s">
        <v>5228</v>
      </c>
      <c r="R637" t="s">
        <v>73</v>
      </c>
      <c r="S637" t="s">
        <v>73</v>
      </c>
      <c r="U637" t="s">
        <v>73</v>
      </c>
      <c r="V637" t="s">
        <v>73</v>
      </c>
      <c r="X637" t="s">
        <v>73</v>
      </c>
      <c r="Y637" t="s">
        <v>73</v>
      </c>
      <c r="AA637" t="s">
        <v>73</v>
      </c>
      <c r="AB637" t="s">
        <v>73</v>
      </c>
      <c r="AF637">
        <v>367.29448789494228</v>
      </c>
      <c r="AG637">
        <v>7.7878787878787996</v>
      </c>
      <c r="AH637">
        <v>32</v>
      </c>
      <c r="AI637">
        <v>933</v>
      </c>
      <c r="AJ637">
        <v>27.445053890002558</v>
      </c>
      <c r="AK637">
        <v>785.18787878787998</v>
      </c>
      <c r="AM637">
        <v>38.42307544600358</v>
      </c>
      <c r="AN637">
        <v>0</v>
      </c>
      <c r="AO637" t="s">
        <v>6089</v>
      </c>
      <c r="AP637" t="s">
        <v>879</v>
      </c>
    </row>
    <row r="638" spans="1:42" x14ac:dyDescent="0.25">
      <c r="A638">
        <v>637</v>
      </c>
      <c r="B638" t="s">
        <v>3373</v>
      </c>
      <c r="C638" t="s">
        <v>4103</v>
      </c>
      <c r="D638" t="s">
        <v>4010</v>
      </c>
      <c r="E638" t="s">
        <v>3643</v>
      </c>
      <c r="F638" t="s">
        <v>786</v>
      </c>
      <c r="G638" t="s">
        <v>60</v>
      </c>
      <c r="H638" t="s">
        <v>61</v>
      </c>
      <c r="Q638">
        <v>13</v>
      </c>
      <c r="R638" t="s">
        <v>73</v>
      </c>
      <c r="S638" t="s">
        <v>73</v>
      </c>
      <c r="U638" t="s">
        <v>73</v>
      </c>
      <c r="V638" t="s">
        <v>73</v>
      </c>
      <c r="X638" t="s">
        <v>73</v>
      </c>
      <c r="Y638" t="s">
        <v>73</v>
      </c>
      <c r="AA638" t="s">
        <v>73</v>
      </c>
      <c r="AB638" t="s">
        <v>73</v>
      </c>
      <c r="AF638">
        <v>366.84792572228343</v>
      </c>
      <c r="AG638">
        <v>6</v>
      </c>
      <c r="AH638">
        <v>2</v>
      </c>
      <c r="AI638">
        <v>457</v>
      </c>
      <c r="AJ638">
        <v>129.60880635809275</v>
      </c>
      <c r="AK638">
        <v>600.4</v>
      </c>
      <c r="AM638">
        <v>69.452328901329864</v>
      </c>
      <c r="AN638">
        <v>448</v>
      </c>
      <c r="AO638" t="s">
        <v>6090</v>
      </c>
      <c r="AP638" t="s">
        <v>4010</v>
      </c>
    </row>
    <row r="639" spans="1:42" x14ac:dyDescent="0.25">
      <c r="A639">
        <v>638</v>
      </c>
      <c r="B639" t="s">
        <v>1422</v>
      </c>
      <c r="C639" t="s">
        <v>2863</v>
      </c>
      <c r="D639" t="s">
        <v>2850</v>
      </c>
      <c r="E639" t="s">
        <v>318</v>
      </c>
      <c r="F639" t="s">
        <v>319</v>
      </c>
      <c r="G639" t="s">
        <v>75</v>
      </c>
      <c r="H639" t="s">
        <v>76</v>
      </c>
      <c r="I639" t="s">
        <v>1423</v>
      </c>
      <c r="R639" t="s">
        <v>73</v>
      </c>
      <c r="S639" t="s">
        <v>73</v>
      </c>
      <c r="U639" t="s">
        <v>73</v>
      </c>
      <c r="V639" t="s">
        <v>73</v>
      </c>
      <c r="X639" t="s">
        <v>73</v>
      </c>
      <c r="Y639" t="s">
        <v>73</v>
      </c>
      <c r="AA639" t="s">
        <v>73</v>
      </c>
      <c r="AB639" t="s">
        <v>73</v>
      </c>
      <c r="AF639">
        <v>366.8</v>
      </c>
      <c r="AG639">
        <v>7.25</v>
      </c>
      <c r="AH639">
        <v>3</v>
      </c>
      <c r="AI639">
        <v>771</v>
      </c>
      <c r="AJ639">
        <v>60.000000000000007</v>
      </c>
      <c r="AK639">
        <v>725.6</v>
      </c>
      <c r="AM639">
        <v>0</v>
      </c>
      <c r="AN639">
        <v>336</v>
      </c>
      <c r="AO639" t="s">
        <v>6091</v>
      </c>
      <c r="AP639" t="s">
        <v>2850</v>
      </c>
    </row>
    <row r="640" spans="1:42" x14ac:dyDescent="0.25">
      <c r="A640">
        <v>639</v>
      </c>
      <c r="B640" t="s">
        <v>1758</v>
      </c>
      <c r="C640" t="s">
        <v>1758</v>
      </c>
      <c r="D640" t="s">
        <v>1759</v>
      </c>
      <c r="E640" t="s">
        <v>282</v>
      </c>
      <c r="F640" t="s">
        <v>283</v>
      </c>
      <c r="G640" t="s">
        <v>3167</v>
      </c>
      <c r="H640" t="s">
        <v>3166</v>
      </c>
      <c r="I640" t="s">
        <v>700</v>
      </c>
      <c r="J640" t="s">
        <v>518</v>
      </c>
      <c r="K640" t="s">
        <v>519</v>
      </c>
      <c r="R640" t="s">
        <v>2414</v>
      </c>
      <c r="S640" t="s">
        <v>2415</v>
      </c>
      <c r="T640">
        <v>3</v>
      </c>
      <c r="U640" t="s">
        <v>3139</v>
      </c>
      <c r="V640" t="s">
        <v>3140</v>
      </c>
      <c r="W640">
        <v>4</v>
      </c>
      <c r="X640" t="s">
        <v>2443</v>
      </c>
      <c r="Y640" t="s">
        <v>2444</v>
      </c>
      <c r="Z640">
        <v>3</v>
      </c>
      <c r="AA640" t="s">
        <v>73</v>
      </c>
      <c r="AB640" t="s">
        <v>73</v>
      </c>
      <c r="AF640">
        <v>366.69179464429453</v>
      </c>
      <c r="AG640">
        <v>5.8333333333333002</v>
      </c>
      <c r="AH640">
        <v>11</v>
      </c>
      <c r="AI640">
        <v>430</v>
      </c>
      <c r="AJ640">
        <v>137.69458664181056</v>
      </c>
      <c r="AK640">
        <v>585.53333333333012</v>
      </c>
      <c r="AM640">
        <v>136.77242129853477</v>
      </c>
      <c r="AN640">
        <v>224</v>
      </c>
      <c r="AO640" t="s">
        <v>6092</v>
      </c>
      <c r="AP640" t="s">
        <v>1759</v>
      </c>
    </row>
    <row r="641" spans="1:42" x14ac:dyDescent="0.25">
      <c r="A641">
        <v>640</v>
      </c>
      <c r="B641" t="s">
        <v>1712</v>
      </c>
      <c r="C641" t="s">
        <v>1712</v>
      </c>
      <c r="D641" t="s">
        <v>1713</v>
      </c>
      <c r="E641" t="s">
        <v>415</v>
      </c>
      <c r="F641" t="s">
        <v>415</v>
      </c>
      <c r="G641" t="s">
        <v>85</v>
      </c>
      <c r="H641" t="s">
        <v>86</v>
      </c>
      <c r="L641" t="s">
        <v>4280</v>
      </c>
      <c r="M641" t="s">
        <v>4281</v>
      </c>
      <c r="Q641">
        <v>17</v>
      </c>
      <c r="R641" t="s">
        <v>2420</v>
      </c>
      <c r="S641" t="s">
        <v>2421</v>
      </c>
      <c r="T641">
        <v>5</v>
      </c>
      <c r="U641" t="s">
        <v>2430</v>
      </c>
      <c r="V641" t="s">
        <v>2431</v>
      </c>
      <c r="W641">
        <v>6</v>
      </c>
      <c r="X641" t="s">
        <v>2440</v>
      </c>
      <c r="Y641" t="s">
        <v>2441</v>
      </c>
      <c r="Z641">
        <v>2</v>
      </c>
      <c r="AA641" t="s">
        <v>73</v>
      </c>
      <c r="AB641" t="s">
        <v>73</v>
      </c>
      <c r="AC641" t="s">
        <v>1714</v>
      </c>
      <c r="AD641" t="s">
        <v>1714</v>
      </c>
      <c r="AF641">
        <v>366.62465500040781</v>
      </c>
      <c r="AG641">
        <v>7</v>
      </c>
      <c r="AH641">
        <v>6</v>
      </c>
      <c r="AI641">
        <v>719</v>
      </c>
      <c r="AJ641">
        <v>73.360727778230853</v>
      </c>
      <c r="AK641">
        <v>701.2</v>
      </c>
      <c r="AM641">
        <v>46.705018889523181</v>
      </c>
      <c r="AN641">
        <v>224</v>
      </c>
      <c r="AO641" t="s">
        <v>6093</v>
      </c>
      <c r="AP641" t="s">
        <v>1713</v>
      </c>
    </row>
    <row r="642" spans="1:42" x14ac:dyDescent="0.25">
      <c r="A642">
        <v>641</v>
      </c>
      <c r="B642" t="s">
        <v>120</v>
      </c>
      <c r="C642" t="s">
        <v>120</v>
      </c>
      <c r="D642" t="s">
        <v>121</v>
      </c>
      <c r="E642" t="s">
        <v>91</v>
      </c>
      <c r="F642" t="s">
        <v>92</v>
      </c>
      <c r="G642" t="s">
        <v>3515</v>
      </c>
      <c r="H642" t="s">
        <v>3516</v>
      </c>
      <c r="I642" t="s">
        <v>2682</v>
      </c>
      <c r="J642" t="s">
        <v>3073</v>
      </c>
      <c r="K642" t="s">
        <v>3074</v>
      </c>
      <c r="L642" t="s">
        <v>4532</v>
      </c>
      <c r="M642" t="s">
        <v>4533</v>
      </c>
      <c r="O642" t="s">
        <v>63</v>
      </c>
      <c r="P642" t="s">
        <v>64</v>
      </c>
      <c r="Q642">
        <v>13</v>
      </c>
      <c r="R642" t="s">
        <v>2420</v>
      </c>
      <c r="S642" t="s">
        <v>2421</v>
      </c>
      <c r="T642">
        <v>5</v>
      </c>
      <c r="U642" t="s">
        <v>2430</v>
      </c>
      <c r="V642" t="s">
        <v>2431</v>
      </c>
      <c r="W642">
        <v>6</v>
      </c>
      <c r="X642" t="s">
        <v>2446</v>
      </c>
      <c r="Y642" t="s">
        <v>2447</v>
      </c>
      <c r="Z642">
        <v>4</v>
      </c>
      <c r="AC642" t="s">
        <v>2837</v>
      </c>
      <c r="AD642" t="s">
        <v>2837</v>
      </c>
      <c r="AF642">
        <v>366.59417888084823</v>
      </c>
      <c r="AG642">
        <v>5</v>
      </c>
      <c r="AH642">
        <v>10</v>
      </c>
      <c r="AI642">
        <v>258</v>
      </c>
      <c r="AJ642">
        <v>183.99353208983138</v>
      </c>
      <c r="AK642">
        <v>502</v>
      </c>
      <c r="AL642">
        <v>2010</v>
      </c>
      <c r="AM642">
        <v>243.59094492576392</v>
      </c>
      <c r="AN642">
        <v>56</v>
      </c>
      <c r="AO642" t="s">
        <v>6094</v>
      </c>
      <c r="AP642" t="s">
        <v>121</v>
      </c>
    </row>
    <row r="643" spans="1:42" x14ac:dyDescent="0.25">
      <c r="A643">
        <v>642</v>
      </c>
      <c r="B643" t="s">
        <v>671</v>
      </c>
      <c r="C643" t="s">
        <v>671</v>
      </c>
      <c r="D643" t="s">
        <v>2876</v>
      </c>
      <c r="E643" t="s">
        <v>672</v>
      </c>
      <c r="F643" t="s">
        <v>672</v>
      </c>
      <c r="G643" t="s">
        <v>79</v>
      </c>
      <c r="H643" t="s">
        <v>80</v>
      </c>
      <c r="R643" t="s">
        <v>73</v>
      </c>
      <c r="S643" t="s">
        <v>73</v>
      </c>
      <c r="U643" t="s">
        <v>73</v>
      </c>
      <c r="V643" t="s">
        <v>73</v>
      </c>
      <c r="X643" t="s">
        <v>73</v>
      </c>
      <c r="Y643" t="s">
        <v>73</v>
      </c>
      <c r="AA643" t="s">
        <v>73</v>
      </c>
      <c r="AB643" t="s">
        <v>73</v>
      </c>
      <c r="AF643">
        <v>366.4</v>
      </c>
      <c r="AG643">
        <v>7.6</v>
      </c>
      <c r="AH643">
        <v>4</v>
      </c>
      <c r="AI643">
        <v>859</v>
      </c>
      <c r="AJ643">
        <v>40</v>
      </c>
      <c r="AK643">
        <v>760.8</v>
      </c>
      <c r="AM643">
        <v>0</v>
      </c>
      <c r="AN643">
        <v>224</v>
      </c>
      <c r="AO643" t="s">
        <v>6095</v>
      </c>
      <c r="AP643" t="s">
        <v>2876</v>
      </c>
    </row>
    <row r="644" spans="1:42" x14ac:dyDescent="0.25">
      <c r="A644">
        <v>643</v>
      </c>
      <c r="B644" t="s">
        <v>1875</v>
      </c>
      <c r="C644" t="s">
        <v>1875</v>
      </c>
      <c r="D644" t="s">
        <v>1876</v>
      </c>
      <c r="E644" t="s">
        <v>137</v>
      </c>
      <c r="F644" t="s">
        <v>138</v>
      </c>
      <c r="G644" t="s">
        <v>139</v>
      </c>
      <c r="H644" t="s">
        <v>140</v>
      </c>
      <c r="I644" t="s">
        <v>1877</v>
      </c>
      <c r="J644" t="s">
        <v>689</v>
      </c>
      <c r="K644" t="s">
        <v>690</v>
      </c>
      <c r="L644" t="s">
        <v>4631</v>
      </c>
      <c r="M644" t="s">
        <v>4630</v>
      </c>
      <c r="R644" t="s">
        <v>73</v>
      </c>
      <c r="S644" t="s">
        <v>73</v>
      </c>
      <c r="U644" t="s">
        <v>73</v>
      </c>
      <c r="V644" t="s">
        <v>73</v>
      </c>
      <c r="X644" t="s">
        <v>73</v>
      </c>
      <c r="Y644" t="s">
        <v>73</v>
      </c>
      <c r="AA644" t="s">
        <v>73</v>
      </c>
      <c r="AB644" t="s">
        <v>73</v>
      </c>
      <c r="AF644">
        <v>366.20097552778157</v>
      </c>
      <c r="AG644">
        <v>7.7692307692308002</v>
      </c>
      <c r="AH644">
        <v>25</v>
      </c>
      <c r="AI644">
        <v>930</v>
      </c>
      <c r="AJ644">
        <v>28.043818962490636</v>
      </c>
      <c r="AK644">
        <v>781.92307692307998</v>
      </c>
      <c r="AM644">
        <v>39.261346547486887</v>
      </c>
      <c r="AN644">
        <v>0</v>
      </c>
      <c r="AO644" t="s">
        <v>6096</v>
      </c>
      <c r="AP644" t="s">
        <v>1876</v>
      </c>
    </row>
    <row r="645" spans="1:42" x14ac:dyDescent="0.25">
      <c r="A645">
        <v>644</v>
      </c>
      <c r="B645" t="s">
        <v>2117</v>
      </c>
      <c r="C645" t="s">
        <v>2117</v>
      </c>
      <c r="D645" t="s">
        <v>3098</v>
      </c>
      <c r="E645" t="s">
        <v>67</v>
      </c>
      <c r="F645" t="s">
        <v>68</v>
      </c>
      <c r="G645" t="s">
        <v>3843</v>
      </c>
      <c r="H645" t="s">
        <v>3844</v>
      </c>
      <c r="J645" t="s">
        <v>580</v>
      </c>
      <c r="K645" t="s">
        <v>581</v>
      </c>
      <c r="L645" t="s">
        <v>5136</v>
      </c>
      <c r="M645" t="s">
        <v>5137</v>
      </c>
      <c r="R645" t="s">
        <v>73</v>
      </c>
      <c r="S645" t="s">
        <v>73</v>
      </c>
      <c r="U645" t="s">
        <v>73</v>
      </c>
      <c r="V645" t="s">
        <v>73</v>
      </c>
      <c r="X645" t="s">
        <v>73</v>
      </c>
      <c r="Y645" t="s">
        <v>73</v>
      </c>
      <c r="AA645" t="s">
        <v>73</v>
      </c>
      <c r="AB645" t="s">
        <v>73</v>
      </c>
      <c r="AF645">
        <v>366.11843791414839</v>
      </c>
      <c r="AG645">
        <v>6.625</v>
      </c>
      <c r="AH645">
        <v>7</v>
      </c>
      <c r="AI645">
        <v>614</v>
      </c>
      <c r="AJ645">
        <v>93.520486571275995</v>
      </c>
      <c r="AK645">
        <v>663.9</v>
      </c>
      <c r="AM645">
        <v>130.92868119978638</v>
      </c>
      <c r="AN645">
        <v>0</v>
      </c>
      <c r="AO645" t="s">
        <v>6097</v>
      </c>
      <c r="AP645" t="s">
        <v>3098</v>
      </c>
    </row>
    <row r="646" spans="1:42" x14ac:dyDescent="0.25">
      <c r="A646">
        <v>645</v>
      </c>
      <c r="B646" t="s">
        <v>1353</v>
      </c>
      <c r="C646" t="s">
        <v>1353</v>
      </c>
      <c r="D646" t="s">
        <v>2474</v>
      </c>
      <c r="E646" t="s">
        <v>255</v>
      </c>
      <c r="F646" t="s">
        <v>256</v>
      </c>
      <c r="G646" t="s">
        <v>257</v>
      </c>
      <c r="H646" t="s">
        <v>258</v>
      </c>
      <c r="I646" t="s">
        <v>1354</v>
      </c>
      <c r="J646" t="s">
        <v>315</v>
      </c>
      <c r="K646" t="s">
        <v>316</v>
      </c>
      <c r="L646">
        <v>51.834695844899997</v>
      </c>
      <c r="M646">
        <v>5.6766518902399996</v>
      </c>
      <c r="O646" t="s">
        <v>2564</v>
      </c>
      <c r="P646" t="s">
        <v>2565</v>
      </c>
      <c r="Q646">
        <v>14</v>
      </c>
      <c r="R646" t="s">
        <v>2414</v>
      </c>
      <c r="S646" t="s">
        <v>2415</v>
      </c>
      <c r="T646">
        <v>3</v>
      </c>
      <c r="U646" t="s">
        <v>2432</v>
      </c>
      <c r="V646" t="s">
        <v>2433</v>
      </c>
      <c r="W646">
        <v>7</v>
      </c>
      <c r="X646" t="s">
        <v>2437</v>
      </c>
      <c r="Y646" t="s">
        <v>2438</v>
      </c>
      <c r="Z646">
        <v>1</v>
      </c>
      <c r="AA646" t="s">
        <v>1355</v>
      </c>
      <c r="AB646" t="s">
        <v>1355</v>
      </c>
      <c r="AC646" t="s">
        <v>1356</v>
      </c>
      <c r="AD646" t="s">
        <v>1356</v>
      </c>
      <c r="AF646">
        <v>366.00213005025427</v>
      </c>
      <c r="AG646">
        <v>7.6097560975610001</v>
      </c>
      <c r="AH646">
        <v>40</v>
      </c>
      <c r="AI646">
        <v>915</v>
      </c>
      <c r="AJ646">
        <v>35.015916858004772</v>
      </c>
      <c r="AK646">
        <v>768.97560975609997</v>
      </c>
      <c r="AL646">
        <v>2004</v>
      </c>
      <c r="AM646">
        <v>49.022283601206681</v>
      </c>
      <c r="AN646">
        <v>0</v>
      </c>
      <c r="AO646" t="s">
        <v>6098</v>
      </c>
      <c r="AP646" t="s">
        <v>2474</v>
      </c>
    </row>
    <row r="647" spans="1:42" x14ac:dyDescent="0.25">
      <c r="A647">
        <v>646</v>
      </c>
      <c r="B647" t="s">
        <v>2726</v>
      </c>
      <c r="C647" t="s">
        <v>2726</v>
      </c>
      <c r="D647" t="s">
        <v>160</v>
      </c>
      <c r="E647" t="s">
        <v>161</v>
      </c>
      <c r="F647" t="s">
        <v>161</v>
      </c>
      <c r="G647" t="s">
        <v>3167</v>
      </c>
      <c r="H647" t="s">
        <v>3166</v>
      </c>
      <c r="J647" t="s">
        <v>164</v>
      </c>
      <c r="K647" t="s">
        <v>165</v>
      </c>
      <c r="O647" t="s">
        <v>166</v>
      </c>
      <c r="P647" t="s">
        <v>167</v>
      </c>
      <c r="Q647">
        <v>13</v>
      </c>
      <c r="R647" t="s">
        <v>73</v>
      </c>
      <c r="S647" t="s">
        <v>73</v>
      </c>
      <c r="U647" t="s">
        <v>73</v>
      </c>
      <c r="V647" t="s">
        <v>73</v>
      </c>
      <c r="X647" t="s">
        <v>73</v>
      </c>
      <c r="Y647" t="s">
        <v>73</v>
      </c>
      <c r="AA647" t="s">
        <v>73</v>
      </c>
      <c r="AB647" t="s">
        <v>73</v>
      </c>
      <c r="AF647">
        <v>365.88947705085928</v>
      </c>
      <c r="AG647">
        <v>6.2352941176470997</v>
      </c>
      <c r="AH647">
        <v>16</v>
      </c>
      <c r="AI647">
        <v>535</v>
      </c>
      <c r="AJ647">
        <v>113.91641240944922</v>
      </c>
      <c r="AK647">
        <v>626.72941176470999</v>
      </c>
      <c r="AM647">
        <v>159.48297737322889</v>
      </c>
      <c r="AN647">
        <v>0</v>
      </c>
      <c r="AO647" t="s">
        <v>6099</v>
      </c>
      <c r="AP647" t="s">
        <v>160</v>
      </c>
    </row>
    <row r="648" spans="1:42" x14ac:dyDescent="0.25">
      <c r="A648">
        <v>647</v>
      </c>
      <c r="B648" t="s">
        <v>3781</v>
      </c>
      <c r="C648" t="s">
        <v>3781</v>
      </c>
      <c r="D648" t="s">
        <v>3856</v>
      </c>
      <c r="E648" t="s">
        <v>58</v>
      </c>
      <c r="F648" t="s">
        <v>59</v>
      </c>
      <c r="R648" t="s">
        <v>73</v>
      </c>
      <c r="S648" t="s">
        <v>73</v>
      </c>
      <c r="U648" t="s">
        <v>73</v>
      </c>
      <c r="V648" t="s">
        <v>73</v>
      </c>
      <c r="X648" t="s">
        <v>73</v>
      </c>
      <c r="Y648" t="s">
        <v>73</v>
      </c>
      <c r="AA648" t="s">
        <v>73</v>
      </c>
      <c r="AB648" t="s">
        <v>73</v>
      </c>
      <c r="AF648">
        <v>364.92946004150917</v>
      </c>
      <c r="AG648">
        <v>5.4</v>
      </c>
      <c r="AH648">
        <v>4</v>
      </c>
      <c r="AI648">
        <v>324</v>
      </c>
      <c r="AJ648">
        <v>160.58828893501018</v>
      </c>
      <c r="AK648">
        <v>540.79999999999995</v>
      </c>
      <c r="AM648">
        <v>112.82360450901425</v>
      </c>
      <c r="AN648">
        <v>448</v>
      </c>
      <c r="AO648" t="s">
        <v>6100</v>
      </c>
      <c r="AP648" t="s">
        <v>3856</v>
      </c>
    </row>
    <row r="649" spans="1:42" x14ac:dyDescent="0.25">
      <c r="A649">
        <v>648</v>
      </c>
      <c r="B649" t="s">
        <v>1473</v>
      </c>
      <c r="C649" t="s">
        <v>1473</v>
      </c>
      <c r="D649" t="s">
        <v>2689</v>
      </c>
      <c r="E649" t="s">
        <v>471</v>
      </c>
      <c r="F649" t="s">
        <v>472</v>
      </c>
      <c r="G649" t="s">
        <v>93</v>
      </c>
      <c r="H649" t="s">
        <v>94</v>
      </c>
      <c r="I649" t="s">
        <v>3228</v>
      </c>
      <c r="J649" t="s">
        <v>3245</v>
      </c>
      <c r="K649" t="s">
        <v>3170</v>
      </c>
      <c r="Q649">
        <v>14</v>
      </c>
      <c r="R649" t="s">
        <v>2409</v>
      </c>
      <c r="S649" t="s">
        <v>2410</v>
      </c>
      <c r="T649">
        <v>2</v>
      </c>
      <c r="U649" t="s">
        <v>2432</v>
      </c>
      <c r="V649" t="s">
        <v>2433</v>
      </c>
      <c r="W649">
        <v>7</v>
      </c>
      <c r="X649" t="s">
        <v>2440</v>
      </c>
      <c r="Y649" t="s">
        <v>2441</v>
      </c>
      <c r="Z649">
        <v>2</v>
      </c>
      <c r="AF649">
        <v>363.98978261375646</v>
      </c>
      <c r="AG649">
        <v>7.4615384615384999</v>
      </c>
      <c r="AH649">
        <v>12</v>
      </c>
      <c r="AI649">
        <v>831</v>
      </c>
      <c r="AJ649">
        <v>44.125399485368334</v>
      </c>
      <c r="AK649">
        <v>748.55384615384992</v>
      </c>
      <c r="AM649">
        <v>33.775559279515662</v>
      </c>
      <c r="AN649">
        <v>112</v>
      </c>
      <c r="AO649" t="s">
        <v>6101</v>
      </c>
      <c r="AP649" t="s">
        <v>2689</v>
      </c>
    </row>
    <row r="650" spans="1:42" x14ac:dyDescent="0.25">
      <c r="A650">
        <v>649</v>
      </c>
      <c r="B650" t="s">
        <v>3558</v>
      </c>
      <c r="C650" t="s">
        <v>4105</v>
      </c>
      <c r="D650" t="s">
        <v>4033</v>
      </c>
      <c r="E650" t="s">
        <v>218</v>
      </c>
      <c r="F650" t="s">
        <v>219</v>
      </c>
      <c r="G650" t="s">
        <v>69</v>
      </c>
      <c r="H650" t="s">
        <v>70</v>
      </c>
      <c r="I650" t="s">
        <v>3594</v>
      </c>
      <c r="J650" t="s">
        <v>251</v>
      </c>
      <c r="K650" t="s">
        <v>252</v>
      </c>
      <c r="L650" t="s">
        <v>4910</v>
      </c>
      <c r="M650" t="s">
        <v>4911</v>
      </c>
      <c r="O650" t="s">
        <v>4034</v>
      </c>
      <c r="P650" t="s">
        <v>4034</v>
      </c>
      <c r="Q650">
        <v>15</v>
      </c>
      <c r="R650" t="s">
        <v>2409</v>
      </c>
      <c r="S650" t="s">
        <v>2410</v>
      </c>
      <c r="T650">
        <v>2</v>
      </c>
      <c r="U650" t="s">
        <v>3137</v>
      </c>
      <c r="V650" t="s">
        <v>3136</v>
      </c>
      <c r="W650">
        <v>5</v>
      </c>
      <c r="X650" t="s">
        <v>2440</v>
      </c>
      <c r="Y650" t="s">
        <v>2441</v>
      </c>
      <c r="Z650">
        <v>2</v>
      </c>
      <c r="AA650" t="s">
        <v>73</v>
      </c>
      <c r="AB650" t="s">
        <v>73</v>
      </c>
      <c r="AF650">
        <v>363.91241514924377</v>
      </c>
      <c r="AG650">
        <v>7</v>
      </c>
      <c r="AH650">
        <v>6</v>
      </c>
      <c r="AI650">
        <v>737</v>
      </c>
      <c r="AJ650">
        <v>70.34712794360415</v>
      </c>
      <c r="AK650">
        <v>701.2</v>
      </c>
      <c r="AM650">
        <v>42.485979121045794</v>
      </c>
      <c r="AN650">
        <v>224</v>
      </c>
      <c r="AO650" t="s">
        <v>6102</v>
      </c>
      <c r="AP650" t="s">
        <v>4033</v>
      </c>
    </row>
    <row r="651" spans="1:42" x14ac:dyDescent="0.25">
      <c r="A651">
        <v>650</v>
      </c>
      <c r="B651" t="s">
        <v>1020</v>
      </c>
      <c r="C651" t="s">
        <v>1020</v>
      </c>
      <c r="D651" t="s">
        <v>1021</v>
      </c>
      <c r="E651" t="s">
        <v>3169</v>
      </c>
      <c r="F651" t="s">
        <v>379</v>
      </c>
      <c r="G651" t="s">
        <v>162</v>
      </c>
      <c r="H651" t="s">
        <v>163</v>
      </c>
      <c r="J651" t="s">
        <v>1022</v>
      </c>
      <c r="K651" t="s">
        <v>1023</v>
      </c>
      <c r="R651" t="s">
        <v>73</v>
      </c>
      <c r="S651" t="s">
        <v>73</v>
      </c>
      <c r="U651" t="s">
        <v>73</v>
      </c>
      <c r="V651" t="s">
        <v>73</v>
      </c>
      <c r="X651" t="s">
        <v>73</v>
      </c>
      <c r="Y651" t="s">
        <v>73</v>
      </c>
      <c r="AF651">
        <v>363.46303762048433</v>
      </c>
      <c r="AG651">
        <v>5.5</v>
      </c>
      <c r="AH651">
        <v>3</v>
      </c>
      <c r="AI651">
        <v>345</v>
      </c>
      <c r="AJ651">
        <v>153.51448624498261</v>
      </c>
      <c r="AK651">
        <v>550.6</v>
      </c>
      <c r="AM651">
        <v>108.92028074297565</v>
      </c>
      <c r="AN651">
        <v>424</v>
      </c>
      <c r="AO651" t="s">
        <v>6103</v>
      </c>
      <c r="AP651" t="s">
        <v>1021</v>
      </c>
    </row>
    <row r="652" spans="1:42" x14ac:dyDescent="0.25">
      <c r="A652">
        <v>651</v>
      </c>
      <c r="B652" t="s">
        <v>3112</v>
      </c>
      <c r="C652" t="s">
        <v>3112</v>
      </c>
      <c r="D652" t="s">
        <v>5441</v>
      </c>
      <c r="E652" t="s">
        <v>67</v>
      </c>
      <c r="F652" t="s">
        <v>68</v>
      </c>
      <c r="G652" t="s">
        <v>3845</v>
      </c>
      <c r="H652" t="s">
        <v>3846</v>
      </c>
      <c r="J652" t="s">
        <v>71</v>
      </c>
      <c r="K652" t="s">
        <v>72</v>
      </c>
      <c r="L652" t="s">
        <v>5360</v>
      </c>
      <c r="M652" t="s">
        <v>5361</v>
      </c>
      <c r="R652" t="s">
        <v>73</v>
      </c>
      <c r="S652" t="s">
        <v>73</v>
      </c>
      <c r="U652" t="s">
        <v>73</v>
      </c>
      <c r="V652" t="s">
        <v>73</v>
      </c>
      <c r="X652" t="s">
        <v>73</v>
      </c>
      <c r="Y652" t="s">
        <v>73</v>
      </c>
      <c r="AA652" t="s">
        <v>73</v>
      </c>
      <c r="AB652" t="s">
        <v>73</v>
      </c>
      <c r="AF652">
        <v>363.10123665774006</v>
      </c>
      <c r="AG652">
        <v>6.7272727272727</v>
      </c>
      <c r="AH652">
        <v>10</v>
      </c>
      <c r="AI652">
        <v>651</v>
      </c>
      <c r="AJ652">
        <v>84.152889215672303</v>
      </c>
      <c r="AK652">
        <v>674.72727272727002</v>
      </c>
      <c r="AM652">
        <v>89.814044901941216</v>
      </c>
      <c r="AN652">
        <v>112</v>
      </c>
      <c r="AO652" t="s">
        <v>6104</v>
      </c>
      <c r="AP652" t="s">
        <v>5441</v>
      </c>
    </row>
    <row r="653" spans="1:42" x14ac:dyDescent="0.25">
      <c r="A653">
        <v>652</v>
      </c>
      <c r="B653" t="s">
        <v>2915</v>
      </c>
      <c r="C653" t="s">
        <v>4121</v>
      </c>
      <c r="D653" t="s">
        <v>4262</v>
      </c>
      <c r="E653" t="s">
        <v>351</v>
      </c>
      <c r="F653" t="s">
        <v>352</v>
      </c>
      <c r="G653" t="s">
        <v>257</v>
      </c>
      <c r="H653" t="s">
        <v>258</v>
      </c>
      <c r="I653" t="s">
        <v>1940</v>
      </c>
      <c r="J653" t="s">
        <v>459</v>
      </c>
      <c r="K653" t="s">
        <v>612</v>
      </c>
      <c r="L653">
        <v>50.181907904900001</v>
      </c>
      <c r="M653">
        <v>5.5763764332300001</v>
      </c>
      <c r="N653" t="s">
        <v>4261</v>
      </c>
      <c r="Q653">
        <v>11</v>
      </c>
      <c r="R653" t="s">
        <v>2406</v>
      </c>
      <c r="S653" t="s">
        <v>2407</v>
      </c>
      <c r="T653">
        <v>1</v>
      </c>
      <c r="U653" t="s">
        <v>3137</v>
      </c>
      <c r="V653" t="s">
        <v>3136</v>
      </c>
      <c r="W653">
        <v>5</v>
      </c>
      <c r="X653" t="s">
        <v>2443</v>
      </c>
      <c r="Y653" t="s">
        <v>2444</v>
      </c>
      <c r="Z653">
        <v>3</v>
      </c>
      <c r="AF653">
        <v>363.07140953776491</v>
      </c>
      <c r="AG653">
        <v>7.5757575757576001</v>
      </c>
      <c r="AH653">
        <v>32</v>
      </c>
      <c r="AI653">
        <v>917</v>
      </c>
      <c r="AJ653">
        <v>34.537256388761001</v>
      </c>
      <c r="AK653">
        <v>763.97575757575999</v>
      </c>
      <c r="AL653">
        <v>2004</v>
      </c>
      <c r="AM653">
        <v>48.352158944265398</v>
      </c>
      <c r="AN653">
        <v>0</v>
      </c>
      <c r="AO653" t="s">
        <v>6105</v>
      </c>
      <c r="AP653" t="s">
        <v>4262</v>
      </c>
    </row>
    <row r="654" spans="1:42" x14ac:dyDescent="0.25">
      <c r="A654">
        <v>653</v>
      </c>
      <c r="B654" t="s">
        <v>2913</v>
      </c>
      <c r="C654" t="s">
        <v>4084</v>
      </c>
      <c r="D654" t="s">
        <v>1941</v>
      </c>
      <c r="E654" t="s">
        <v>199</v>
      </c>
      <c r="F654" t="s">
        <v>200</v>
      </c>
      <c r="I654" t="s">
        <v>1942</v>
      </c>
      <c r="J654" t="s">
        <v>447</v>
      </c>
      <c r="K654" t="s">
        <v>448</v>
      </c>
      <c r="L654" t="s">
        <v>5187</v>
      </c>
      <c r="M654" t="s">
        <v>5188</v>
      </c>
      <c r="O654" t="s">
        <v>2622</v>
      </c>
      <c r="P654" t="s">
        <v>2622</v>
      </c>
      <c r="Q654">
        <v>11</v>
      </c>
      <c r="R654" t="s">
        <v>2406</v>
      </c>
      <c r="S654" t="s">
        <v>2407</v>
      </c>
      <c r="T654">
        <v>1</v>
      </c>
      <c r="U654" t="s">
        <v>2434</v>
      </c>
      <c r="V654" t="s">
        <v>2435</v>
      </c>
      <c r="W654">
        <v>8</v>
      </c>
      <c r="X654" t="s">
        <v>2443</v>
      </c>
      <c r="Y654" t="s">
        <v>2444</v>
      </c>
      <c r="Z654">
        <v>3</v>
      </c>
      <c r="AA654" t="s">
        <v>1943</v>
      </c>
      <c r="AB654" t="s">
        <v>1943</v>
      </c>
      <c r="AC654" t="s">
        <v>1944</v>
      </c>
      <c r="AD654" t="s">
        <v>1944</v>
      </c>
      <c r="AE654" t="s">
        <v>1945</v>
      </c>
      <c r="AF654">
        <v>362.84797295262581</v>
      </c>
      <c r="AG654">
        <v>6.5384615384615001</v>
      </c>
      <c r="AH654">
        <v>25</v>
      </c>
      <c r="AI654">
        <v>618</v>
      </c>
      <c r="AJ654">
        <v>92.69432892172307</v>
      </c>
      <c r="AK654">
        <v>658.84615384615006</v>
      </c>
      <c r="AL654">
        <v>2004</v>
      </c>
      <c r="AM654">
        <v>129.77206049041229</v>
      </c>
      <c r="AN654">
        <v>0</v>
      </c>
      <c r="AO654" t="s">
        <v>6106</v>
      </c>
      <c r="AP654" t="s">
        <v>1941</v>
      </c>
    </row>
    <row r="655" spans="1:42" x14ac:dyDescent="0.25">
      <c r="A655">
        <v>654</v>
      </c>
      <c r="B655" t="s">
        <v>1397</v>
      </c>
      <c r="C655" t="s">
        <v>1397</v>
      </c>
      <c r="D655" t="s">
        <v>3641</v>
      </c>
      <c r="E655" t="s">
        <v>666</v>
      </c>
      <c r="F655" t="s">
        <v>667</v>
      </c>
      <c r="G655" t="s">
        <v>60</v>
      </c>
      <c r="H655" t="s">
        <v>61</v>
      </c>
      <c r="I655" t="s">
        <v>2491</v>
      </c>
      <c r="J655" t="s">
        <v>3619</v>
      </c>
      <c r="K655" t="s">
        <v>3616</v>
      </c>
      <c r="L655" t="s">
        <v>4466</v>
      </c>
      <c r="M655" t="s">
        <v>4467</v>
      </c>
      <c r="R655" t="s">
        <v>73</v>
      </c>
      <c r="S655" t="s">
        <v>73</v>
      </c>
      <c r="U655" t="s">
        <v>73</v>
      </c>
      <c r="V655" t="s">
        <v>73</v>
      </c>
      <c r="X655" t="s">
        <v>73</v>
      </c>
      <c r="Y655" t="s">
        <v>73</v>
      </c>
      <c r="AF655">
        <v>362.60371561422073</v>
      </c>
      <c r="AG655">
        <v>6.3076923076923004</v>
      </c>
      <c r="AH655">
        <v>12</v>
      </c>
      <c r="AI655">
        <v>563</v>
      </c>
      <c r="AJ655">
        <v>106.68788914400636</v>
      </c>
      <c r="AK655">
        <v>633.16923076923001</v>
      </c>
      <c r="AM655">
        <v>65.363044801608908</v>
      </c>
      <c r="AN655">
        <v>336</v>
      </c>
      <c r="AO655" t="s">
        <v>6107</v>
      </c>
      <c r="AP655" t="s">
        <v>3641</v>
      </c>
    </row>
    <row r="656" spans="1:42" x14ac:dyDescent="0.25">
      <c r="A656">
        <v>655</v>
      </c>
      <c r="B656" t="s">
        <v>2872</v>
      </c>
      <c r="C656" t="s">
        <v>2872</v>
      </c>
      <c r="D656" t="s">
        <v>2873</v>
      </c>
      <c r="E656" t="s">
        <v>318</v>
      </c>
      <c r="F656" t="s">
        <v>319</v>
      </c>
      <c r="G656" t="s">
        <v>75</v>
      </c>
      <c r="H656" t="s">
        <v>76</v>
      </c>
      <c r="I656" t="s">
        <v>1470</v>
      </c>
      <c r="J656" t="s">
        <v>1471</v>
      </c>
      <c r="K656" t="s">
        <v>1472</v>
      </c>
      <c r="R656" t="s">
        <v>73</v>
      </c>
      <c r="S656" t="s">
        <v>73</v>
      </c>
      <c r="U656" t="s">
        <v>73</v>
      </c>
      <c r="V656" t="s">
        <v>73</v>
      </c>
      <c r="X656" t="s">
        <v>73</v>
      </c>
      <c r="Y656" t="s">
        <v>73</v>
      </c>
      <c r="AA656" t="s">
        <v>73</v>
      </c>
      <c r="AB656" t="s">
        <v>73</v>
      </c>
      <c r="AF656">
        <v>362.44448362663331</v>
      </c>
      <c r="AG656">
        <v>6.5</v>
      </c>
      <c r="AH656">
        <v>5</v>
      </c>
      <c r="AI656">
        <v>607</v>
      </c>
      <c r="AJ656">
        <v>96.604981807370308</v>
      </c>
      <c r="AK656">
        <v>651</v>
      </c>
      <c r="AM656">
        <v>51.246974530318411</v>
      </c>
      <c r="AN656">
        <v>336</v>
      </c>
      <c r="AO656" t="s">
        <v>6108</v>
      </c>
      <c r="AP656" t="s">
        <v>2873</v>
      </c>
    </row>
    <row r="657" spans="1:42" x14ac:dyDescent="0.25">
      <c r="A657">
        <v>656</v>
      </c>
      <c r="B657" t="s">
        <v>1919</v>
      </c>
      <c r="C657" t="s">
        <v>1919</v>
      </c>
      <c r="D657" t="s">
        <v>1920</v>
      </c>
      <c r="E657" t="s">
        <v>351</v>
      </c>
      <c r="F657" t="s">
        <v>352</v>
      </c>
      <c r="G657" t="s">
        <v>257</v>
      </c>
      <c r="H657" t="s">
        <v>258</v>
      </c>
      <c r="I657" t="s">
        <v>1921</v>
      </c>
      <c r="J657" t="s">
        <v>1133</v>
      </c>
      <c r="K657" t="s">
        <v>1134</v>
      </c>
      <c r="L657">
        <v>50.452525883299998</v>
      </c>
      <c r="M657">
        <v>6.1024866745499997</v>
      </c>
      <c r="O657" t="s">
        <v>2614</v>
      </c>
      <c r="P657" t="s">
        <v>2615</v>
      </c>
      <c r="Q657">
        <v>14</v>
      </c>
      <c r="R657" t="s">
        <v>2406</v>
      </c>
      <c r="S657" t="s">
        <v>2407</v>
      </c>
      <c r="T657">
        <v>1</v>
      </c>
      <c r="U657" t="s">
        <v>2432</v>
      </c>
      <c r="V657" t="s">
        <v>2433</v>
      </c>
      <c r="W657">
        <v>7</v>
      </c>
      <c r="X657" t="s">
        <v>2440</v>
      </c>
      <c r="Y657" t="s">
        <v>2441</v>
      </c>
      <c r="Z657">
        <v>2</v>
      </c>
      <c r="AE657" t="s">
        <v>1922</v>
      </c>
      <c r="AF657">
        <v>362.43333333333499</v>
      </c>
      <c r="AG657">
        <v>8.1666666666666998</v>
      </c>
      <c r="AH657">
        <v>41</v>
      </c>
      <c r="AI657">
        <v>958</v>
      </c>
      <c r="AJ657">
        <v>0</v>
      </c>
      <c r="AK657">
        <v>824.86666666666997</v>
      </c>
      <c r="AL657">
        <v>2004</v>
      </c>
      <c r="AM657">
        <v>0</v>
      </c>
      <c r="AN657">
        <v>0</v>
      </c>
      <c r="AO657" t="s">
        <v>6109</v>
      </c>
      <c r="AP657" t="s">
        <v>1920</v>
      </c>
    </row>
    <row r="658" spans="1:42" x14ac:dyDescent="0.25">
      <c r="A658">
        <v>657</v>
      </c>
      <c r="B658" t="s">
        <v>293</v>
      </c>
      <c r="C658" t="s">
        <v>293</v>
      </c>
      <c r="D658" t="s">
        <v>294</v>
      </c>
      <c r="E658" t="s">
        <v>137</v>
      </c>
      <c r="F658" t="s">
        <v>138</v>
      </c>
      <c r="G658" t="s">
        <v>139</v>
      </c>
      <c r="H658" t="s">
        <v>140</v>
      </c>
      <c r="I658" t="s">
        <v>295</v>
      </c>
      <c r="J658" t="s">
        <v>296</v>
      </c>
      <c r="K658" t="s">
        <v>297</v>
      </c>
      <c r="L658" t="s">
        <v>4587</v>
      </c>
      <c r="M658" t="s">
        <v>4588</v>
      </c>
      <c r="R658" t="s">
        <v>73</v>
      </c>
      <c r="S658" t="s">
        <v>73</v>
      </c>
      <c r="U658" t="s">
        <v>73</v>
      </c>
      <c r="V658" t="s">
        <v>73</v>
      </c>
      <c r="X658" t="s">
        <v>73</v>
      </c>
      <c r="Y658" t="s">
        <v>73</v>
      </c>
      <c r="AA658" t="s">
        <v>73</v>
      </c>
      <c r="AB658" t="s">
        <v>73</v>
      </c>
      <c r="AF658">
        <v>361.51744218480536</v>
      </c>
      <c r="AG658">
        <v>6.4444444444444002</v>
      </c>
      <c r="AH658">
        <v>8</v>
      </c>
      <c r="AI658">
        <v>597</v>
      </c>
      <c r="AJ658">
        <v>98.328022180650393</v>
      </c>
      <c r="AK658">
        <v>646.04444444444005</v>
      </c>
      <c r="AM658">
        <v>137.65923105291054</v>
      </c>
      <c r="AN658">
        <v>0</v>
      </c>
      <c r="AO658" t="s">
        <v>6110</v>
      </c>
      <c r="AP658" t="s">
        <v>294</v>
      </c>
    </row>
    <row r="659" spans="1:42" x14ac:dyDescent="0.25">
      <c r="A659">
        <v>658</v>
      </c>
      <c r="B659" t="s">
        <v>1749</v>
      </c>
      <c r="C659" t="s">
        <v>1749</v>
      </c>
      <c r="D659" t="s">
        <v>1750</v>
      </c>
      <c r="E659" t="s">
        <v>218</v>
      </c>
      <c r="F659" t="s">
        <v>219</v>
      </c>
      <c r="G659" t="s">
        <v>69</v>
      </c>
      <c r="H659" t="s">
        <v>70</v>
      </c>
      <c r="I659" t="s">
        <v>5003</v>
      </c>
      <c r="J659" t="s">
        <v>1752</v>
      </c>
      <c r="K659" t="s">
        <v>1753</v>
      </c>
      <c r="L659" t="s">
        <v>5001</v>
      </c>
      <c r="M659" t="s">
        <v>5002</v>
      </c>
      <c r="R659" t="s">
        <v>73</v>
      </c>
      <c r="S659" t="s">
        <v>73</v>
      </c>
      <c r="U659" t="s">
        <v>73</v>
      </c>
      <c r="V659" t="s">
        <v>73</v>
      </c>
      <c r="X659" t="s">
        <v>73</v>
      </c>
      <c r="Y659" t="s">
        <v>73</v>
      </c>
      <c r="AA659" t="s">
        <v>73</v>
      </c>
      <c r="AB659" t="s">
        <v>73</v>
      </c>
      <c r="AF659">
        <v>361.12941176470503</v>
      </c>
      <c r="AG659">
        <v>7.4705882352941</v>
      </c>
      <c r="AH659">
        <v>16</v>
      </c>
      <c r="AI659">
        <v>860</v>
      </c>
      <c r="AJ659">
        <v>40</v>
      </c>
      <c r="AK659">
        <v>750.25882352941005</v>
      </c>
      <c r="AM659">
        <v>0</v>
      </c>
      <c r="AN659">
        <v>224</v>
      </c>
      <c r="AO659" t="s">
        <v>6111</v>
      </c>
      <c r="AP659" t="s">
        <v>1750</v>
      </c>
    </row>
    <row r="660" spans="1:42" x14ac:dyDescent="0.25">
      <c r="A660">
        <v>659</v>
      </c>
      <c r="B660" t="s">
        <v>2275</v>
      </c>
      <c r="C660" t="s">
        <v>2275</v>
      </c>
      <c r="D660" t="s">
        <v>3828</v>
      </c>
      <c r="E660" t="s">
        <v>67</v>
      </c>
      <c r="F660" t="s">
        <v>68</v>
      </c>
      <c r="G660" t="s">
        <v>3845</v>
      </c>
      <c r="H660" t="s">
        <v>3844</v>
      </c>
      <c r="I660" t="s">
        <v>795</v>
      </c>
      <c r="J660" t="s">
        <v>796</v>
      </c>
      <c r="K660" t="s">
        <v>797</v>
      </c>
      <c r="L660" t="s">
        <v>5157</v>
      </c>
      <c r="M660" t="s">
        <v>5158</v>
      </c>
      <c r="R660" t="s">
        <v>73</v>
      </c>
      <c r="S660" t="s">
        <v>73</v>
      </c>
      <c r="U660" t="s">
        <v>73</v>
      </c>
      <c r="V660" t="s">
        <v>73</v>
      </c>
      <c r="X660" t="s">
        <v>73</v>
      </c>
      <c r="Y660" t="s">
        <v>73</v>
      </c>
      <c r="AA660" t="s">
        <v>73</v>
      </c>
      <c r="AB660" t="s">
        <v>73</v>
      </c>
      <c r="AF660">
        <v>361.01440887787976</v>
      </c>
      <c r="AG660">
        <v>6.8888888888888999</v>
      </c>
      <c r="AH660">
        <v>8</v>
      </c>
      <c r="AI660">
        <v>727</v>
      </c>
      <c r="AJ660">
        <v>73.077738259371898</v>
      </c>
      <c r="AK660">
        <v>690.48888888889007</v>
      </c>
      <c r="AL660">
        <v>2012</v>
      </c>
      <c r="AM660">
        <v>74.308833563120643</v>
      </c>
      <c r="AN660">
        <v>112</v>
      </c>
      <c r="AO660" t="s">
        <v>6112</v>
      </c>
      <c r="AP660" t="s">
        <v>3828</v>
      </c>
    </row>
    <row r="661" spans="1:42" x14ac:dyDescent="0.25">
      <c r="A661">
        <v>660</v>
      </c>
      <c r="B661" t="s">
        <v>2345</v>
      </c>
      <c r="C661" t="s">
        <v>2345</v>
      </c>
      <c r="D661" t="s">
        <v>2346</v>
      </c>
      <c r="E661" t="s">
        <v>351</v>
      </c>
      <c r="F661" t="s">
        <v>352</v>
      </c>
      <c r="G661" t="s">
        <v>257</v>
      </c>
      <c r="H661" t="s">
        <v>258</v>
      </c>
      <c r="I661" t="s">
        <v>4268</v>
      </c>
      <c r="J661" t="s">
        <v>536</v>
      </c>
      <c r="K661" t="s">
        <v>537</v>
      </c>
      <c r="L661">
        <v>50.219580808000003</v>
      </c>
      <c r="M661">
        <v>4.9230807536999999</v>
      </c>
      <c r="R661" t="s">
        <v>73</v>
      </c>
      <c r="S661" t="s">
        <v>73</v>
      </c>
      <c r="U661" t="s">
        <v>73</v>
      </c>
      <c r="V661" t="s">
        <v>73</v>
      </c>
      <c r="X661" t="s">
        <v>73</v>
      </c>
      <c r="Y661" t="s">
        <v>73</v>
      </c>
      <c r="AA661" t="s">
        <v>73</v>
      </c>
      <c r="AB661" t="s">
        <v>73</v>
      </c>
      <c r="AC661" t="s">
        <v>4269</v>
      </c>
      <c r="AF661">
        <v>360.875</v>
      </c>
      <c r="AG661">
        <v>8.1875</v>
      </c>
      <c r="AH661">
        <v>15</v>
      </c>
      <c r="AI661">
        <v>959</v>
      </c>
      <c r="AJ661">
        <v>0</v>
      </c>
      <c r="AK661">
        <v>821.75</v>
      </c>
      <c r="AM661">
        <v>0</v>
      </c>
      <c r="AN661">
        <v>0</v>
      </c>
      <c r="AO661" t="s">
        <v>6113</v>
      </c>
      <c r="AP661" t="s">
        <v>2346</v>
      </c>
    </row>
    <row r="662" spans="1:42" x14ac:dyDescent="0.25">
      <c r="A662">
        <v>661</v>
      </c>
      <c r="B662" t="s">
        <v>2038</v>
      </c>
      <c r="C662" t="s">
        <v>2038</v>
      </c>
      <c r="D662" t="s">
        <v>2984</v>
      </c>
      <c r="E662" t="s">
        <v>183</v>
      </c>
      <c r="F662" t="s">
        <v>184</v>
      </c>
      <c r="G662" t="s">
        <v>3849</v>
      </c>
      <c r="H662" t="s">
        <v>3850</v>
      </c>
      <c r="J662" t="s">
        <v>1184</v>
      </c>
      <c r="K662" t="s">
        <v>1185</v>
      </c>
      <c r="R662" t="s">
        <v>73</v>
      </c>
      <c r="S662" t="s">
        <v>73</v>
      </c>
      <c r="U662" t="s">
        <v>73</v>
      </c>
      <c r="V662" t="s">
        <v>73</v>
      </c>
      <c r="X662" t="s">
        <v>73</v>
      </c>
      <c r="Y662" t="s">
        <v>73</v>
      </c>
      <c r="AF662">
        <v>360.7326205284586</v>
      </c>
      <c r="AG662">
        <v>6.6666666666666998</v>
      </c>
      <c r="AH662">
        <v>5</v>
      </c>
      <c r="AI662">
        <v>645</v>
      </c>
      <c r="AJ662">
        <v>85.443652439026238</v>
      </c>
      <c r="AK662">
        <v>667.66666666666993</v>
      </c>
      <c r="AM662">
        <v>119.62111341463672</v>
      </c>
      <c r="AN662">
        <v>0</v>
      </c>
      <c r="AO662" t="s">
        <v>6114</v>
      </c>
      <c r="AP662" t="s">
        <v>2984</v>
      </c>
    </row>
    <row r="663" spans="1:42" x14ac:dyDescent="0.25">
      <c r="A663">
        <v>662</v>
      </c>
      <c r="B663" t="s">
        <v>3908</v>
      </c>
      <c r="C663" t="s">
        <v>3908</v>
      </c>
      <c r="D663" t="s">
        <v>5123</v>
      </c>
      <c r="E663" t="s">
        <v>5312</v>
      </c>
      <c r="F663" t="s">
        <v>157</v>
      </c>
      <c r="G663" t="s">
        <v>158</v>
      </c>
      <c r="H663" t="s">
        <v>159</v>
      </c>
      <c r="J663" t="s">
        <v>3093</v>
      </c>
      <c r="K663" t="s">
        <v>3092</v>
      </c>
      <c r="L663" t="s">
        <v>5121</v>
      </c>
      <c r="M663" t="s">
        <v>5122</v>
      </c>
      <c r="Q663">
        <v>11</v>
      </c>
      <c r="R663" t="s">
        <v>2420</v>
      </c>
      <c r="S663" t="s">
        <v>2421</v>
      </c>
      <c r="T663">
        <v>5</v>
      </c>
      <c r="U663" t="s">
        <v>3137</v>
      </c>
      <c r="V663" t="s">
        <v>3136</v>
      </c>
      <c r="W663">
        <v>5</v>
      </c>
      <c r="X663" t="s">
        <v>2440</v>
      </c>
      <c r="Y663" t="s">
        <v>2441</v>
      </c>
      <c r="Z663">
        <v>2</v>
      </c>
      <c r="AA663" t="s">
        <v>73</v>
      </c>
      <c r="AB663" t="s">
        <v>73</v>
      </c>
      <c r="AF663">
        <v>360.41460433723211</v>
      </c>
      <c r="AG663">
        <v>7.125</v>
      </c>
      <c r="AH663">
        <v>7</v>
      </c>
      <c r="AI663">
        <v>794</v>
      </c>
      <c r="AJ663">
        <v>59.405115930257899</v>
      </c>
      <c r="AK663">
        <v>713.9</v>
      </c>
      <c r="AM663">
        <v>83.167162302361049</v>
      </c>
      <c r="AN663">
        <v>0</v>
      </c>
      <c r="AO663" t="s">
        <v>6115</v>
      </c>
      <c r="AP663" t="s">
        <v>5123</v>
      </c>
    </row>
    <row r="664" spans="1:42" x14ac:dyDescent="0.25">
      <c r="A664">
        <v>663</v>
      </c>
      <c r="B664" t="s">
        <v>3393</v>
      </c>
      <c r="C664" t="s">
        <v>3393</v>
      </c>
      <c r="D664" t="s">
        <v>3535</v>
      </c>
      <c r="E664" t="s">
        <v>137</v>
      </c>
      <c r="F664" t="s">
        <v>138</v>
      </c>
      <c r="G664" t="s">
        <v>139</v>
      </c>
      <c r="H664" t="s">
        <v>140</v>
      </c>
      <c r="I664" t="s">
        <v>4743</v>
      </c>
      <c r="J664" t="s">
        <v>426</v>
      </c>
      <c r="K664" t="s">
        <v>427</v>
      </c>
      <c r="L664" t="s">
        <v>4744</v>
      </c>
      <c r="M664" t="s">
        <v>4745</v>
      </c>
      <c r="R664" t="s">
        <v>73</v>
      </c>
      <c r="S664" t="s">
        <v>73</v>
      </c>
      <c r="U664" t="s">
        <v>73</v>
      </c>
      <c r="V664" t="s">
        <v>73</v>
      </c>
      <c r="X664" t="s">
        <v>73</v>
      </c>
      <c r="Y664" t="s">
        <v>73</v>
      </c>
      <c r="AA664" t="s">
        <v>73</v>
      </c>
      <c r="AB664" t="s">
        <v>73</v>
      </c>
      <c r="AF664">
        <v>360.41264496700239</v>
      </c>
      <c r="AG664">
        <v>5.5</v>
      </c>
      <c r="AH664">
        <v>7</v>
      </c>
      <c r="AI664">
        <v>362</v>
      </c>
      <c r="AJ664">
        <v>149.68071663000271</v>
      </c>
      <c r="AK664">
        <v>551.4</v>
      </c>
      <c r="AM664">
        <v>209.55300328200377</v>
      </c>
      <c r="AN664">
        <v>0</v>
      </c>
      <c r="AO664" t="s">
        <v>6116</v>
      </c>
      <c r="AP664" t="s">
        <v>3535</v>
      </c>
    </row>
    <row r="665" spans="1:42" x14ac:dyDescent="0.25">
      <c r="A665">
        <v>664</v>
      </c>
      <c r="B665" t="s">
        <v>3485</v>
      </c>
      <c r="C665" t="s">
        <v>3485</v>
      </c>
      <c r="D665" t="s">
        <v>3484</v>
      </c>
      <c r="E665" t="s">
        <v>1478</v>
      </c>
      <c r="F665" t="s">
        <v>1479</v>
      </c>
      <c r="G665" t="s">
        <v>632</v>
      </c>
      <c r="H665" t="s">
        <v>633</v>
      </c>
      <c r="Q665">
        <v>15</v>
      </c>
      <c r="R665" t="s">
        <v>2417</v>
      </c>
      <c r="S665" t="s">
        <v>2418</v>
      </c>
      <c r="T665">
        <v>4</v>
      </c>
      <c r="U665" t="s">
        <v>3137</v>
      </c>
      <c r="V665" t="s">
        <v>3136</v>
      </c>
      <c r="W665">
        <v>5</v>
      </c>
      <c r="X665" t="s">
        <v>2440</v>
      </c>
      <c r="Y665" t="s">
        <v>2441</v>
      </c>
      <c r="Z665">
        <v>2</v>
      </c>
      <c r="AA665" t="s">
        <v>73</v>
      </c>
      <c r="AB665" t="s">
        <v>73</v>
      </c>
      <c r="AF665">
        <v>360.2</v>
      </c>
      <c r="AG665">
        <v>6.75</v>
      </c>
      <c r="AH665">
        <v>7</v>
      </c>
      <c r="AI665">
        <v>675</v>
      </c>
      <c r="AJ665">
        <v>80</v>
      </c>
      <c r="AK665">
        <v>676.4</v>
      </c>
      <c r="AM665">
        <v>0</v>
      </c>
      <c r="AN665">
        <v>448</v>
      </c>
      <c r="AO665" t="s">
        <v>6117</v>
      </c>
      <c r="AP665" t="s">
        <v>3484</v>
      </c>
    </row>
    <row r="666" spans="1:42" x14ac:dyDescent="0.25">
      <c r="A666">
        <v>665</v>
      </c>
      <c r="B666" t="s">
        <v>2916</v>
      </c>
      <c r="C666" t="s">
        <v>4167</v>
      </c>
      <c r="D666" t="s">
        <v>2540</v>
      </c>
      <c r="E666" t="s">
        <v>595</v>
      </c>
      <c r="F666" t="s">
        <v>596</v>
      </c>
      <c r="G666" t="s">
        <v>3167</v>
      </c>
      <c r="H666" t="s">
        <v>3166</v>
      </c>
      <c r="I666" t="s">
        <v>1558</v>
      </c>
      <c r="J666" t="s">
        <v>625</v>
      </c>
      <c r="K666" t="s">
        <v>626</v>
      </c>
      <c r="R666" t="s">
        <v>73</v>
      </c>
      <c r="S666" t="s">
        <v>73</v>
      </c>
      <c r="U666" t="s">
        <v>73</v>
      </c>
      <c r="V666" t="s">
        <v>73</v>
      </c>
      <c r="X666" t="s">
        <v>73</v>
      </c>
      <c r="Y666" t="s">
        <v>73</v>
      </c>
      <c r="AF666">
        <v>359.63011900751309</v>
      </c>
      <c r="AG666">
        <v>7</v>
      </c>
      <c r="AH666">
        <v>7</v>
      </c>
      <c r="AI666">
        <v>751</v>
      </c>
      <c r="AJ666">
        <v>65.477910008347891</v>
      </c>
      <c r="AK666">
        <v>701.4</v>
      </c>
      <c r="AM666">
        <v>35.669074011687044</v>
      </c>
      <c r="AN666">
        <v>224</v>
      </c>
      <c r="AO666" t="s">
        <v>6118</v>
      </c>
      <c r="AP666" t="s">
        <v>2540</v>
      </c>
    </row>
    <row r="667" spans="1:42" x14ac:dyDescent="0.25">
      <c r="A667">
        <v>666</v>
      </c>
      <c r="B667" t="s">
        <v>1032</v>
      </c>
      <c r="C667" t="s">
        <v>1032</v>
      </c>
      <c r="D667" t="s">
        <v>1033</v>
      </c>
      <c r="E667" t="s">
        <v>282</v>
      </c>
      <c r="F667" t="s">
        <v>283</v>
      </c>
      <c r="G667" t="s">
        <v>3167</v>
      </c>
      <c r="H667" t="s">
        <v>3166</v>
      </c>
      <c r="I667" t="s">
        <v>284</v>
      </c>
      <c r="J667" t="s">
        <v>285</v>
      </c>
      <c r="K667" t="s">
        <v>286</v>
      </c>
      <c r="R667" t="s">
        <v>73</v>
      </c>
      <c r="S667" t="s">
        <v>73</v>
      </c>
      <c r="U667" t="s">
        <v>73</v>
      </c>
      <c r="V667" t="s">
        <v>73</v>
      </c>
      <c r="X667" t="s">
        <v>73</v>
      </c>
      <c r="Y667" t="s">
        <v>73</v>
      </c>
      <c r="AF667">
        <v>359.47388761989737</v>
      </c>
      <c r="AG667">
        <v>6</v>
      </c>
      <c r="AH667">
        <v>13</v>
      </c>
      <c r="AI667">
        <v>500</v>
      </c>
      <c r="AJ667">
        <v>120.19320846655265</v>
      </c>
      <c r="AK667">
        <v>602.6</v>
      </c>
      <c r="AM667">
        <v>112.2704918531737</v>
      </c>
      <c r="AN667">
        <v>224</v>
      </c>
      <c r="AO667" t="s">
        <v>6119</v>
      </c>
      <c r="AP667" t="s">
        <v>1033</v>
      </c>
    </row>
    <row r="668" spans="1:42" x14ac:dyDescent="0.25">
      <c r="A668">
        <v>667</v>
      </c>
      <c r="B668" t="s">
        <v>992</v>
      </c>
      <c r="C668" t="s">
        <v>992</v>
      </c>
      <c r="D668" t="s">
        <v>993</v>
      </c>
      <c r="E668" t="s">
        <v>199</v>
      </c>
      <c r="F668" t="s">
        <v>200</v>
      </c>
      <c r="I668" t="s">
        <v>994</v>
      </c>
      <c r="J668" t="s">
        <v>447</v>
      </c>
      <c r="K668" t="s">
        <v>448</v>
      </c>
      <c r="L668" t="s">
        <v>5185</v>
      </c>
      <c r="M668" t="s">
        <v>5186</v>
      </c>
      <c r="R668" t="s">
        <v>2414</v>
      </c>
      <c r="S668" t="s">
        <v>2415</v>
      </c>
      <c r="T668">
        <v>3</v>
      </c>
      <c r="U668" t="s">
        <v>2434</v>
      </c>
      <c r="V668" t="s">
        <v>2435</v>
      </c>
      <c r="W668">
        <v>8</v>
      </c>
      <c r="X668" t="s">
        <v>2437</v>
      </c>
      <c r="Y668" t="s">
        <v>2438</v>
      </c>
      <c r="Z668">
        <v>1</v>
      </c>
      <c r="AA668" t="s">
        <v>73</v>
      </c>
      <c r="AB668" t="s">
        <v>73</v>
      </c>
      <c r="AE668" t="s">
        <v>995</v>
      </c>
      <c r="AF668">
        <v>359.45063093454633</v>
      </c>
      <c r="AG668">
        <v>5.6956521739130004</v>
      </c>
      <c r="AH668">
        <v>22</v>
      </c>
      <c r="AI668">
        <v>436</v>
      </c>
      <c r="AJ668">
        <v>136.07558026544032</v>
      </c>
      <c r="AK668">
        <v>573.96521739130003</v>
      </c>
      <c r="AM668">
        <v>190.50581237161643</v>
      </c>
      <c r="AN668">
        <v>0</v>
      </c>
      <c r="AO668" t="s">
        <v>6120</v>
      </c>
      <c r="AP668" t="s">
        <v>993</v>
      </c>
    </row>
    <row r="669" spans="1:42" x14ac:dyDescent="0.25">
      <c r="A669">
        <v>668</v>
      </c>
      <c r="B669" t="s">
        <v>1052</v>
      </c>
      <c r="C669" t="s">
        <v>1052</v>
      </c>
      <c r="D669" t="s">
        <v>1053</v>
      </c>
      <c r="E669" t="s">
        <v>255</v>
      </c>
      <c r="F669" t="s">
        <v>256</v>
      </c>
      <c r="G669" t="s">
        <v>257</v>
      </c>
      <c r="H669" t="s">
        <v>258</v>
      </c>
      <c r="I669" t="s">
        <v>1054</v>
      </c>
      <c r="J669" t="s">
        <v>315</v>
      </c>
      <c r="K669" t="s">
        <v>316</v>
      </c>
      <c r="L669">
        <v>51.969444444444399</v>
      </c>
      <c r="M669">
        <v>5.3433333333333302</v>
      </c>
      <c r="N669" t="s">
        <v>4235</v>
      </c>
      <c r="Q669">
        <v>13</v>
      </c>
      <c r="R669" t="s">
        <v>2414</v>
      </c>
      <c r="S669" t="s">
        <v>2415</v>
      </c>
      <c r="T669">
        <v>3</v>
      </c>
      <c r="U669" t="s">
        <v>2430</v>
      </c>
      <c r="V669" t="s">
        <v>2431</v>
      </c>
      <c r="W669">
        <v>6</v>
      </c>
      <c r="X669" t="s">
        <v>2446</v>
      </c>
      <c r="Y669" t="s">
        <v>2447</v>
      </c>
      <c r="Z669">
        <v>4</v>
      </c>
      <c r="AA669" t="s">
        <v>73</v>
      </c>
      <c r="AB669" t="s">
        <v>73</v>
      </c>
      <c r="AC669" t="s">
        <v>1055</v>
      </c>
      <c r="AD669" t="s">
        <v>1055</v>
      </c>
      <c r="AE669" t="s">
        <v>4236</v>
      </c>
      <c r="AF669">
        <v>359.19397421762278</v>
      </c>
      <c r="AG669">
        <v>6.8139534883720998</v>
      </c>
      <c r="AH669">
        <v>85</v>
      </c>
      <c r="AI669">
        <v>748</v>
      </c>
      <c r="AJ669">
        <v>66.662555332241979</v>
      </c>
      <c r="AK669">
        <v>698.39534883721001</v>
      </c>
      <c r="AL669">
        <v>2004</v>
      </c>
      <c r="AM669">
        <v>93.327577465138774</v>
      </c>
      <c r="AN669">
        <v>0</v>
      </c>
      <c r="AO669" t="s">
        <v>6121</v>
      </c>
      <c r="AP669" t="s">
        <v>1053</v>
      </c>
    </row>
    <row r="670" spans="1:42" x14ac:dyDescent="0.25">
      <c r="A670">
        <v>669</v>
      </c>
      <c r="B670" t="s">
        <v>339</v>
      </c>
      <c r="C670" t="s">
        <v>339</v>
      </c>
      <c r="D670" t="s">
        <v>340</v>
      </c>
      <c r="E670" t="s">
        <v>199</v>
      </c>
      <c r="F670" t="s">
        <v>200</v>
      </c>
      <c r="I670" t="s">
        <v>341</v>
      </c>
      <c r="J670" t="s">
        <v>342</v>
      </c>
      <c r="K670" t="s">
        <v>343</v>
      </c>
      <c r="L670" t="s">
        <v>5119</v>
      </c>
      <c r="M670" t="s">
        <v>5120</v>
      </c>
      <c r="O670" t="s">
        <v>344</v>
      </c>
      <c r="P670" t="s">
        <v>345</v>
      </c>
      <c r="R670" t="s">
        <v>73</v>
      </c>
      <c r="S670" t="s">
        <v>73</v>
      </c>
      <c r="U670" t="s">
        <v>73</v>
      </c>
      <c r="V670" t="s">
        <v>73</v>
      </c>
      <c r="X670" t="s">
        <v>73</v>
      </c>
      <c r="Y670" t="s">
        <v>73</v>
      </c>
      <c r="AA670" t="s">
        <v>73</v>
      </c>
      <c r="AB670" t="s">
        <v>73</v>
      </c>
      <c r="AF670">
        <v>358.77676802692832</v>
      </c>
      <c r="AG670">
        <v>6.4705882352941</v>
      </c>
      <c r="AH670">
        <v>16</v>
      </c>
      <c r="AI670">
        <v>617</v>
      </c>
      <c r="AJ670">
        <v>92.941506958025897</v>
      </c>
      <c r="AK670">
        <v>650.25882352941005</v>
      </c>
      <c r="AM670">
        <v>130.11810974123625</v>
      </c>
      <c r="AN670">
        <v>0</v>
      </c>
      <c r="AO670" t="s">
        <v>6122</v>
      </c>
      <c r="AP670" t="s">
        <v>340</v>
      </c>
    </row>
    <row r="671" spans="1:42" x14ac:dyDescent="0.25">
      <c r="A671">
        <v>670</v>
      </c>
      <c r="B671" t="s">
        <v>1525</v>
      </c>
      <c r="C671" t="s">
        <v>1525</v>
      </c>
      <c r="D671" t="s">
        <v>2529</v>
      </c>
      <c r="E671" t="s">
        <v>282</v>
      </c>
      <c r="F671" t="s">
        <v>283</v>
      </c>
      <c r="G671" t="s">
        <v>3167</v>
      </c>
      <c r="H671" t="s">
        <v>3166</v>
      </c>
      <c r="I671" t="s">
        <v>1526</v>
      </c>
      <c r="J671" t="s">
        <v>518</v>
      </c>
      <c r="K671" t="s">
        <v>519</v>
      </c>
      <c r="Q671">
        <v>11</v>
      </c>
      <c r="R671" t="s">
        <v>2406</v>
      </c>
      <c r="S671" t="s">
        <v>2407</v>
      </c>
      <c r="T671">
        <v>1</v>
      </c>
      <c r="U671" t="s">
        <v>2424</v>
      </c>
      <c r="V671" t="s">
        <v>2425</v>
      </c>
      <c r="W671">
        <v>1</v>
      </c>
      <c r="X671" t="s">
        <v>2443</v>
      </c>
      <c r="Y671" t="s">
        <v>2444</v>
      </c>
      <c r="Z671">
        <v>3</v>
      </c>
      <c r="AC671" t="s">
        <v>1527</v>
      </c>
      <c r="AD671" t="s">
        <v>1527</v>
      </c>
      <c r="AF671">
        <v>358.76961680642262</v>
      </c>
      <c r="AG671">
        <v>5.85</v>
      </c>
      <c r="AH671">
        <v>19</v>
      </c>
      <c r="AI671">
        <v>470</v>
      </c>
      <c r="AJ671">
        <v>127.07735200713626</v>
      </c>
      <c r="AK671">
        <v>588.79999999999995</v>
      </c>
      <c r="AM671">
        <v>121.90829280999074</v>
      </c>
      <c r="AN671">
        <v>224</v>
      </c>
      <c r="AO671" t="s">
        <v>6123</v>
      </c>
      <c r="AP671" t="s">
        <v>2529</v>
      </c>
    </row>
    <row r="672" spans="1:42" x14ac:dyDescent="0.25">
      <c r="A672">
        <v>671</v>
      </c>
      <c r="B672" t="s">
        <v>355</v>
      </c>
      <c r="C672" t="s">
        <v>355</v>
      </c>
      <c r="D672" t="s">
        <v>2987</v>
      </c>
      <c r="E672" t="s">
        <v>218</v>
      </c>
      <c r="F672" t="s">
        <v>219</v>
      </c>
      <c r="G672" t="s">
        <v>69</v>
      </c>
      <c r="H672" t="s">
        <v>70</v>
      </c>
      <c r="I672" t="s">
        <v>356</v>
      </c>
      <c r="J672" t="s">
        <v>241</v>
      </c>
      <c r="K672" t="s">
        <v>242</v>
      </c>
      <c r="L672" t="s">
        <v>4954</v>
      </c>
      <c r="M672" t="s">
        <v>4955</v>
      </c>
      <c r="R672" t="s">
        <v>73</v>
      </c>
      <c r="S672" t="s">
        <v>73</v>
      </c>
      <c r="U672" t="s">
        <v>73</v>
      </c>
      <c r="V672" t="s">
        <v>73</v>
      </c>
      <c r="X672" t="s">
        <v>73</v>
      </c>
      <c r="Y672" t="s">
        <v>73</v>
      </c>
      <c r="AA672" t="s">
        <v>73</v>
      </c>
      <c r="AB672" t="s">
        <v>73</v>
      </c>
      <c r="AF672">
        <v>358.1611665623912</v>
      </c>
      <c r="AG672">
        <v>6.4</v>
      </c>
      <c r="AH672">
        <v>9</v>
      </c>
      <c r="AI672">
        <v>605</v>
      </c>
      <c r="AJ672">
        <v>96.956851735990242</v>
      </c>
      <c r="AK672">
        <v>641.79999999999995</v>
      </c>
      <c r="AM672">
        <v>79.739592430386324</v>
      </c>
      <c r="AN672">
        <v>224</v>
      </c>
      <c r="AO672" t="s">
        <v>6124</v>
      </c>
      <c r="AP672" t="s">
        <v>2987</v>
      </c>
    </row>
    <row r="673" spans="1:42" x14ac:dyDescent="0.25">
      <c r="A673">
        <v>672</v>
      </c>
      <c r="B673" t="s">
        <v>943</v>
      </c>
      <c r="C673" t="s">
        <v>943</v>
      </c>
      <c r="D673" t="s">
        <v>944</v>
      </c>
      <c r="E673" t="s">
        <v>84</v>
      </c>
      <c r="F673" t="s">
        <v>84</v>
      </c>
      <c r="G673" t="s">
        <v>85</v>
      </c>
      <c r="H673" t="s">
        <v>86</v>
      </c>
      <c r="I673" t="s">
        <v>944</v>
      </c>
      <c r="J673" t="s">
        <v>945</v>
      </c>
      <c r="R673" t="s">
        <v>2409</v>
      </c>
      <c r="S673" t="s">
        <v>2410</v>
      </c>
      <c r="T673">
        <v>2</v>
      </c>
      <c r="U673" t="s">
        <v>2430</v>
      </c>
      <c r="V673" t="s">
        <v>2431</v>
      </c>
      <c r="W673">
        <v>6</v>
      </c>
      <c r="X673" t="s">
        <v>2443</v>
      </c>
      <c r="Y673" t="s">
        <v>2444</v>
      </c>
      <c r="Z673">
        <v>3</v>
      </c>
      <c r="AA673" t="s">
        <v>73</v>
      </c>
      <c r="AB673" t="s">
        <v>73</v>
      </c>
      <c r="AF673">
        <v>358.07413937772048</v>
      </c>
      <c r="AG673">
        <v>6.3333333333333002</v>
      </c>
      <c r="AH673">
        <v>5</v>
      </c>
      <c r="AI673">
        <v>586</v>
      </c>
      <c r="AJ673">
        <v>101.00830301228383</v>
      </c>
      <c r="AK673">
        <v>634.33333333333007</v>
      </c>
      <c r="AM673">
        <v>85.411624217197357</v>
      </c>
      <c r="AN673">
        <v>224</v>
      </c>
      <c r="AO673" t="s">
        <v>6125</v>
      </c>
      <c r="AP673" t="s">
        <v>944</v>
      </c>
    </row>
    <row r="674" spans="1:42" x14ac:dyDescent="0.25">
      <c r="A674">
        <v>673</v>
      </c>
      <c r="B674" t="s">
        <v>3343</v>
      </c>
      <c r="C674" t="s">
        <v>3343</v>
      </c>
      <c r="D674" t="s">
        <v>3584</v>
      </c>
      <c r="E674" t="s">
        <v>218</v>
      </c>
      <c r="F674" t="s">
        <v>219</v>
      </c>
      <c r="G674" t="s">
        <v>69</v>
      </c>
      <c r="H674" t="s">
        <v>70</v>
      </c>
      <c r="I674" t="s">
        <v>3583</v>
      </c>
      <c r="J674" t="s">
        <v>1573</v>
      </c>
      <c r="K674" t="s">
        <v>1574</v>
      </c>
      <c r="L674" t="s">
        <v>4950</v>
      </c>
      <c r="M674" t="s">
        <v>4951</v>
      </c>
      <c r="Q674">
        <v>11</v>
      </c>
      <c r="R674" t="s">
        <v>2409</v>
      </c>
      <c r="S674" t="s">
        <v>2410</v>
      </c>
      <c r="T674">
        <v>2</v>
      </c>
      <c r="U674" t="s">
        <v>2430</v>
      </c>
      <c r="V674" t="s">
        <v>2431</v>
      </c>
      <c r="W674">
        <v>6</v>
      </c>
      <c r="X674" t="s">
        <v>73</v>
      </c>
      <c r="Y674" t="s">
        <v>73</v>
      </c>
      <c r="AA674" t="s">
        <v>73</v>
      </c>
      <c r="AB674" t="s">
        <v>73</v>
      </c>
      <c r="AF674">
        <v>358.04937433478761</v>
      </c>
      <c r="AG674">
        <v>5.6666666666666998</v>
      </c>
      <c r="AH674">
        <v>5</v>
      </c>
      <c r="AI674">
        <v>425</v>
      </c>
      <c r="AJ674">
        <v>138.01782333494739</v>
      </c>
      <c r="AK674">
        <v>567.66666666666993</v>
      </c>
      <c r="AM674">
        <v>137.22495266892633</v>
      </c>
      <c r="AN674">
        <v>224</v>
      </c>
      <c r="AO674" t="s">
        <v>6126</v>
      </c>
      <c r="AP674" t="s">
        <v>3584</v>
      </c>
    </row>
    <row r="675" spans="1:42" x14ac:dyDescent="0.25">
      <c r="A675">
        <v>674</v>
      </c>
      <c r="B675" t="s">
        <v>2931</v>
      </c>
      <c r="C675" t="s">
        <v>4260</v>
      </c>
      <c r="D675" t="s">
        <v>4259</v>
      </c>
      <c r="E675" t="s">
        <v>351</v>
      </c>
      <c r="F675" t="s">
        <v>352</v>
      </c>
      <c r="G675" t="s">
        <v>257</v>
      </c>
      <c r="H675" t="s">
        <v>258</v>
      </c>
      <c r="I675" t="s">
        <v>1283</v>
      </c>
      <c r="J675" t="s">
        <v>480</v>
      </c>
      <c r="K675" t="s">
        <v>481</v>
      </c>
      <c r="L675">
        <v>50.873485317499998</v>
      </c>
      <c r="M675">
        <v>4.2642926547800002</v>
      </c>
      <c r="Q675">
        <v>14</v>
      </c>
      <c r="R675" t="s">
        <v>73</v>
      </c>
      <c r="S675" t="s">
        <v>73</v>
      </c>
      <c r="U675" t="s">
        <v>73</v>
      </c>
      <c r="V675" t="s">
        <v>73</v>
      </c>
      <c r="X675" t="s">
        <v>73</v>
      </c>
      <c r="Y675" t="s">
        <v>73</v>
      </c>
      <c r="AF675">
        <v>358.03053687638715</v>
      </c>
      <c r="AG675">
        <v>7.5652173913042997</v>
      </c>
      <c r="AH675">
        <v>22</v>
      </c>
      <c r="AI675">
        <v>924</v>
      </c>
      <c r="AJ675">
        <v>30.632963679080156</v>
      </c>
      <c r="AK675">
        <v>760.92173913042996</v>
      </c>
      <c r="AM675">
        <v>42.886149150712214</v>
      </c>
      <c r="AN675">
        <v>0</v>
      </c>
      <c r="AO675" t="s">
        <v>6127</v>
      </c>
      <c r="AP675" t="s">
        <v>4259</v>
      </c>
    </row>
    <row r="676" spans="1:42" x14ac:dyDescent="0.25">
      <c r="A676">
        <v>675</v>
      </c>
      <c r="B676" t="s">
        <v>1363</v>
      </c>
      <c r="C676" t="s">
        <v>1363</v>
      </c>
      <c r="D676" t="s">
        <v>2478</v>
      </c>
      <c r="E676" t="s">
        <v>672</v>
      </c>
      <c r="F676" t="s">
        <v>672</v>
      </c>
      <c r="G676" t="s">
        <v>79</v>
      </c>
      <c r="H676" t="s">
        <v>80</v>
      </c>
      <c r="R676" t="s">
        <v>73</v>
      </c>
      <c r="S676" t="s">
        <v>73</v>
      </c>
      <c r="U676" t="s">
        <v>73</v>
      </c>
      <c r="V676" t="s">
        <v>73</v>
      </c>
      <c r="X676" t="s">
        <v>73</v>
      </c>
      <c r="Y676" t="s">
        <v>73</v>
      </c>
      <c r="AA676" t="s">
        <v>73</v>
      </c>
      <c r="AB676" t="s">
        <v>73</v>
      </c>
      <c r="AF676">
        <v>358.02857142857005</v>
      </c>
      <c r="AG676">
        <v>7.4285714285714004</v>
      </c>
      <c r="AH676">
        <v>6</v>
      </c>
      <c r="AI676">
        <v>861</v>
      </c>
      <c r="AJ676">
        <v>40</v>
      </c>
      <c r="AK676">
        <v>744.05714285714009</v>
      </c>
      <c r="AM676">
        <v>0</v>
      </c>
      <c r="AN676">
        <v>224</v>
      </c>
      <c r="AO676" t="s">
        <v>6128</v>
      </c>
      <c r="AP676" t="s">
        <v>2478</v>
      </c>
    </row>
    <row r="677" spans="1:42" x14ac:dyDescent="0.25">
      <c r="A677">
        <v>676</v>
      </c>
      <c r="B677" t="s">
        <v>1989</v>
      </c>
      <c r="C677" t="s">
        <v>1989</v>
      </c>
      <c r="D677" t="s">
        <v>2544</v>
      </c>
      <c r="E677" t="s">
        <v>213</v>
      </c>
      <c r="F677" t="s">
        <v>214</v>
      </c>
      <c r="G677" t="s">
        <v>75</v>
      </c>
      <c r="H677" t="s">
        <v>76</v>
      </c>
      <c r="Q677">
        <v>12</v>
      </c>
      <c r="R677" t="s">
        <v>2409</v>
      </c>
      <c r="S677" t="s">
        <v>2410</v>
      </c>
      <c r="T677">
        <v>2</v>
      </c>
      <c r="U677" t="s">
        <v>2430</v>
      </c>
      <c r="V677" t="s">
        <v>2431</v>
      </c>
      <c r="W677">
        <v>6</v>
      </c>
      <c r="X677" t="s">
        <v>2446</v>
      </c>
      <c r="Y677" t="s">
        <v>2447</v>
      </c>
      <c r="Z677">
        <v>4</v>
      </c>
      <c r="AA677" t="s">
        <v>73</v>
      </c>
      <c r="AB677" t="s">
        <v>73</v>
      </c>
      <c r="AF677">
        <v>357.74675632894855</v>
      </c>
      <c r="AG677">
        <v>5.3870967741935001</v>
      </c>
      <c r="AH677">
        <v>30</v>
      </c>
      <c r="AI677">
        <v>360</v>
      </c>
      <c r="AJ677">
        <v>150.43546402141507</v>
      </c>
      <c r="AK677">
        <v>544.70967741934999</v>
      </c>
      <c r="AM677">
        <v>154.60964962998108</v>
      </c>
      <c r="AN677">
        <v>224</v>
      </c>
      <c r="AO677" t="s">
        <v>6129</v>
      </c>
      <c r="AP677" t="s">
        <v>2544</v>
      </c>
    </row>
    <row r="678" spans="1:42" x14ac:dyDescent="0.25">
      <c r="A678">
        <v>677</v>
      </c>
      <c r="B678" t="s">
        <v>1207</v>
      </c>
      <c r="C678" t="s">
        <v>1207</v>
      </c>
      <c r="D678" t="s">
        <v>5281</v>
      </c>
      <c r="E678" t="s">
        <v>5312</v>
      </c>
      <c r="F678" t="s">
        <v>157</v>
      </c>
      <c r="G678" t="s">
        <v>158</v>
      </c>
      <c r="H678" t="s">
        <v>159</v>
      </c>
      <c r="I678" t="s">
        <v>3900</v>
      </c>
      <c r="J678" t="s">
        <v>3085</v>
      </c>
      <c r="K678" t="s">
        <v>3086</v>
      </c>
      <c r="L678" t="s">
        <v>5282</v>
      </c>
      <c r="M678" t="s">
        <v>5283</v>
      </c>
      <c r="R678" t="s">
        <v>73</v>
      </c>
      <c r="S678" t="s">
        <v>73</v>
      </c>
      <c r="U678" t="s">
        <v>73</v>
      </c>
      <c r="V678" t="s">
        <v>73</v>
      </c>
      <c r="X678" t="s">
        <v>73</v>
      </c>
      <c r="Y678" t="s">
        <v>73</v>
      </c>
      <c r="AA678" t="s">
        <v>73</v>
      </c>
      <c r="AB678" t="s">
        <v>73</v>
      </c>
      <c r="AF678">
        <v>357.71752675391576</v>
      </c>
      <c r="AG678">
        <v>5.8888888888888999</v>
      </c>
      <c r="AH678">
        <v>8</v>
      </c>
      <c r="AI678">
        <v>482</v>
      </c>
      <c r="AJ678">
        <v>124.97009145496745</v>
      </c>
      <c r="AK678">
        <v>590.48888888889007</v>
      </c>
      <c r="AM678">
        <v>174.95812803695441</v>
      </c>
      <c r="AN678">
        <v>0</v>
      </c>
      <c r="AO678" t="s">
        <v>6130</v>
      </c>
      <c r="AP678" t="s">
        <v>5281</v>
      </c>
    </row>
    <row r="679" spans="1:42" x14ac:dyDescent="0.25">
      <c r="A679">
        <v>678</v>
      </c>
      <c r="B679" t="s">
        <v>2735</v>
      </c>
      <c r="C679" t="s">
        <v>2735</v>
      </c>
      <c r="D679" t="s">
        <v>3818</v>
      </c>
      <c r="E679" t="s">
        <v>199</v>
      </c>
      <c r="F679" t="s">
        <v>200</v>
      </c>
      <c r="I679" t="s">
        <v>1146</v>
      </c>
      <c r="J679" t="s">
        <v>452</v>
      </c>
      <c r="K679" t="s">
        <v>453</v>
      </c>
      <c r="L679" t="s">
        <v>5231</v>
      </c>
      <c r="M679" t="s">
        <v>5232</v>
      </c>
      <c r="R679" t="s">
        <v>73</v>
      </c>
      <c r="S679" t="s">
        <v>73</v>
      </c>
      <c r="U679" t="s">
        <v>73</v>
      </c>
      <c r="V679" t="s">
        <v>73</v>
      </c>
      <c r="X679" t="s">
        <v>73</v>
      </c>
      <c r="Y679" t="s">
        <v>73</v>
      </c>
      <c r="AF679">
        <v>357.64144904902992</v>
      </c>
      <c r="AG679">
        <v>7.3809523809524</v>
      </c>
      <c r="AH679">
        <v>20</v>
      </c>
      <c r="AI679">
        <v>841</v>
      </c>
      <c r="AJ679">
        <v>40.659811112677694</v>
      </c>
      <c r="AK679">
        <v>742.09523809524001</v>
      </c>
      <c r="AM679">
        <v>56.92373555774877</v>
      </c>
      <c r="AN679">
        <v>0</v>
      </c>
      <c r="AO679" t="s">
        <v>6131</v>
      </c>
      <c r="AP679" t="s">
        <v>3818</v>
      </c>
    </row>
    <row r="680" spans="1:42" x14ac:dyDescent="0.25">
      <c r="A680">
        <v>679</v>
      </c>
      <c r="B680" t="s">
        <v>553</v>
      </c>
      <c r="C680" t="s">
        <v>553</v>
      </c>
      <c r="D680" t="s">
        <v>554</v>
      </c>
      <c r="E680" t="s">
        <v>199</v>
      </c>
      <c r="F680" t="s">
        <v>200</v>
      </c>
      <c r="J680" t="s">
        <v>452</v>
      </c>
      <c r="K680" t="s">
        <v>453</v>
      </c>
      <c r="L680" t="s">
        <v>5245</v>
      </c>
      <c r="M680" t="s">
        <v>5264</v>
      </c>
      <c r="R680" t="s">
        <v>73</v>
      </c>
      <c r="S680" t="s">
        <v>73</v>
      </c>
      <c r="U680" t="s">
        <v>73</v>
      </c>
      <c r="V680" t="s">
        <v>73</v>
      </c>
      <c r="X680" t="s">
        <v>73</v>
      </c>
      <c r="Y680" t="s">
        <v>73</v>
      </c>
      <c r="AA680" t="s">
        <v>73</v>
      </c>
      <c r="AB680" t="s">
        <v>73</v>
      </c>
      <c r="AF680">
        <v>357.25555555555496</v>
      </c>
      <c r="AG680">
        <v>8.1111111111111001</v>
      </c>
      <c r="AH680">
        <v>17</v>
      </c>
      <c r="AI680">
        <v>960</v>
      </c>
      <c r="AJ680">
        <v>0</v>
      </c>
      <c r="AK680">
        <v>814.51111111110993</v>
      </c>
      <c r="AM680">
        <v>0</v>
      </c>
      <c r="AN680">
        <v>0</v>
      </c>
      <c r="AO680" t="s">
        <v>6132</v>
      </c>
      <c r="AP680" t="s">
        <v>554</v>
      </c>
    </row>
    <row r="681" spans="1:42" x14ac:dyDescent="0.25">
      <c r="A681">
        <v>680</v>
      </c>
      <c r="B681" t="s">
        <v>835</v>
      </c>
      <c r="C681" t="s">
        <v>835</v>
      </c>
      <c r="D681" t="s">
        <v>836</v>
      </c>
      <c r="E681" t="s">
        <v>595</v>
      </c>
      <c r="F681" t="s">
        <v>596</v>
      </c>
      <c r="G681" t="s">
        <v>3167</v>
      </c>
      <c r="H681" t="s">
        <v>3166</v>
      </c>
      <c r="I681" t="s">
        <v>837</v>
      </c>
      <c r="J681" t="s">
        <v>625</v>
      </c>
      <c r="K681" t="s">
        <v>626</v>
      </c>
      <c r="O681" t="s">
        <v>838</v>
      </c>
      <c r="P681" t="s">
        <v>838</v>
      </c>
      <c r="R681" t="s">
        <v>73</v>
      </c>
      <c r="S681" t="s">
        <v>73</v>
      </c>
      <c r="U681" t="s">
        <v>73</v>
      </c>
      <c r="V681" t="s">
        <v>73</v>
      </c>
      <c r="X681" t="s">
        <v>73</v>
      </c>
      <c r="Y681" t="s">
        <v>73</v>
      </c>
      <c r="AA681" t="s">
        <v>73</v>
      </c>
      <c r="AB681" t="s">
        <v>73</v>
      </c>
      <c r="AF681">
        <v>357.14689180836513</v>
      </c>
      <c r="AG681">
        <v>6.2</v>
      </c>
      <c r="AH681">
        <v>4</v>
      </c>
      <c r="AI681">
        <v>560</v>
      </c>
      <c r="AJ681">
        <v>107.49654645373909</v>
      </c>
      <c r="AK681">
        <v>620.79999999999995</v>
      </c>
      <c r="AM681">
        <v>94.495165035234706</v>
      </c>
      <c r="AN681">
        <v>224</v>
      </c>
      <c r="AO681" t="s">
        <v>6133</v>
      </c>
      <c r="AP681" t="s">
        <v>836</v>
      </c>
    </row>
    <row r="682" spans="1:42" x14ac:dyDescent="0.25">
      <c r="A682">
        <v>681</v>
      </c>
      <c r="B682" t="s">
        <v>1085</v>
      </c>
      <c r="C682" t="s">
        <v>1085</v>
      </c>
      <c r="D682" t="s">
        <v>1086</v>
      </c>
      <c r="E682" t="s">
        <v>137</v>
      </c>
      <c r="F682" t="s">
        <v>138</v>
      </c>
      <c r="G682" t="s">
        <v>139</v>
      </c>
      <c r="H682" t="s">
        <v>140</v>
      </c>
      <c r="I682" t="s">
        <v>4727</v>
      </c>
      <c r="J682" t="s">
        <v>689</v>
      </c>
      <c r="K682" t="s">
        <v>690</v>
      </c>
      <c r="L682" t="s">
        <v>4728</v>
      </c>
      <c r="M682" t="s">
        <v>4729</v>
      </c>
      <c r="R682" t="s">
        <v>73</v>
      </c>
      <c r="S682" t="s">
        <v>73</v>
      </c>
      <c r="U682" t="s">
        <v>73</v>
      </c>
      <c r="V682" t="s">
        <v>73</v>
      </c>
      <c r="X682" t="s">
        <v>2446</v>
      </c>
      <c r="Y682" t="s">
        <v>2447</v>
      </c>
      <c r="Z682">
        <v>4</v>
      </c>
      <c r="AF682">
        <v>356.80235197736147</v>
      </c>
      <c r="AG682">
        <v>6</v>
      </c>
      <c r="AH682">
        <v>11</v>
      </c>
      <c r="AI682">
        <v>520</v>
      </c>
      <c r="AJ682">
        <v>117.44705775262379</v>
      </c>
      <c r="AK682">
        <v>602.20000000000005</v>
      </c>
      <c r="AM682">
        <v>164.42588085367331</v>
      </c>
      <c r="AN682">
        <v>0</v>
      </c>
      <c r="AO682" t="s">
        <v>6134</v>
      </c>
      <c r="AP682" t="s">
        <v>1086</v>
      </c>
    </row>
    <row r="683" spans="1:42" x14ac:dyDescent="0.25">
      <c r="A683">
        <v>682</v>
      </c>
      <c r="B683" t="s">
        <v>1371</v>
      </c>
      <c r="C683" t="s">
        <v>1371</v>
      </c>
      <c r="D683" t="s">
        <v>2482</v>
      </c>
      <c r="E683" t="s">
        <v>137</v>
      </c>
      <c r="F683" t="s">
        <v>138</v>
      </c>
      <c r="G683" t="s">
        <v>139</v>
      </c>
      <c r="H683" t="s">
        <v>140</v>
      </c>
      <c r="J683" t="s">
        <v>1234</v>
      </c>
      <c r="K683" t="s">
        <v>1235</v>
      </c>
      <c r="L683" t="s">
        <v>4618</v>
      </c>
      <c r="M683" t="s">
        <v>4619</v>
      </c>
      <c r="R683" t="s">
        <v>73</v>
      </c>
      <c r="S683" t="s">
        <v>73</v>
      </c>
      <c r="U683" t="s">
        <v>73</v>
      </c>
      <c r="V683" t="s">
        <v>73</v>
      </c>
      <c r="X683" t="s">
        <v>73</v>
      </c>
      <c r="Y683" t="s">
        <v>73</v>
      </c>
      <c r="AA683" t="s">
        <v>73</v>
      </c>
      <c r="AB683" t="s">
        <v>73</v>
      </c>
      <c r="AF683">
        <v>356.50231349519436</v>
      </c>
      <c r="AG683">
        <v>7</v>
      </c>
      <c r="AH683">
        <v>16</v>
      </c>
      <c r="AI683">
        <v>763</v>
      </c>
      <c r="AJ683">
        <v>61.00257055021595</v>
      </c>
      <c r="AK683">
        <v>703.2</v>
      </c>
      <c r="AM683">
        <v>85.403598770302324</v>
      </c>
      <c r="AN683">
        <v>0</v>
      </c>
      <c r="AO683" t="s">
        <v>6135</v>
      </c>
      <c r="AP683" t="s">
        <v>2482</v>
      </c>
    </row>
    <row r="684" spans="1:42" x14ac:dyDescent="0.25">
      <c r="A684">
        <v>683</v>
      </c>
      <c r="B684" t="s">
        <v>2731</v>
      </c>
      <c r="C684" t="s">
        <v>2731</v>
      </c>
      <c r="D684" t="s">
        <v>727</v>
      </c>
      <c r="E684" t="s">
        <v>218</v>
      </c>
      <c r="F684" t="s">
        <v>219</v>
      </c>
      <c r="G684" t="s">
        <v>69</v>
      </c>
      <c r="H684" t="s">
        <v>70</v>
      </c>
      <c r="I684" t="s">
        <v>240</v>
      </c>
      <c r="J684" t="s">
        <v>241</v>
      </c>
      <c r="K684" t="s">
        <v>242</v>
      </c>
      <c r="L684" t="s">
        <v>4972</v>
      </c>
      <c r="M684" t="s">
        <v>4973</v>
      </c>
      <c r="R684" t="s">
        <v>2420</v>
      </c>
      <c r="S684" t="s">
        <v>2421</v>
      </c>
      <c r="T684">
        <v>5</v>
      </c>
      <c r="U684" t="s">
        <v>73</v>
      </c>
      <c r="V684" t="s">
        <v>73</v>
      </c>
      <c r="X684" t="s">
        <v>73</v>
      </c>
      <c r="Y684" t="s">
        <v>73</v>
      </c>
      <c r="AF684">
        <v>356.43076923077001</v>
      </c>
      <c r="AG684">
        <v>7.3846153846154001</v>
      </c>
      <c r="AH684">
        <v>12</v>
      </c>
      <c r="AI684">
        <v>862</v>
      </c>
      <c r="AJ684">
        <v>40</v>
      </c>
      <c r="AK684">
        <v>740.86153846154002</v>
      </c>
      <c r="AM684">
        <v>0</v>
      </c>
      <c r="AN684">
        <v>224</v>
      </c>
      <c r="AO684" t="s">
        <v>6136</v>
      </c>
      <c r="AP684" t="s">
        <v>727</v>
      </c>
    </row>
    <row r="685" spans="1:42" x14ac:dyDescent="0.25">
      <c r="A685">
        <v>684</v>
      </c>
      <c r="B685" t="s">
        <v>2855</v>
      </c>
      <c r="C685" t="s">
        <v>2855</v>
      </c>
      <c r="D685" t="s">
        <v>2845</v>
      </c>
      <c r="E685" t="s">
        <v>91</v>
      </c>
      <c r="F685" t="s">
        <v>92</v>
      </c>
      <c r="G685" t="s">
        <v>632</v>
      </c>
      <c r="H685" t="s">
        <v>633</v>
      </c>
      <c r="I685" t="s">
        <v>3081</v>
      </c>
      <c r="J685" t="s">
        <v>3083</v>
      </c>
      <c r="K685" t="s">
        <v>3084</v>
      </c>
      <c r="L685" t="s">
        <v>4508</v>
      </c>
      <c r="M685" t="s">
        <v>4509</v>
      </c>
      <c r="R685" t="s">
        <v>2414</v>
      </c>
      <c r="S685" t="s">
        <v>2415</v>
      </c>
      <c r="T685">
        <v>3</v>
      </c>
      <c r="U685" t="s">
        <v>3137</v>
      </c>
      <c r="V685" t="s">
        <v>3136</v>
      </c>
      <c r="W685">
        <v>5</v>
      </c>
      <c r="X685" t="s">
        <v>2437</v>
      </c>
      <c r="Y685" t="s">
        <v>2438</v>
      </c>
      <c r="Z685">
        <v>1</v>
      </c>
      <c r="AF685">
        <v>356.38143575335238</v>
      </c>
      <c r="AG685">
        <v>6.2857142857142998</v>
      </c>
      <c r="AH685">
        <v>6</v>
      </c>
      <c r="AI685">
        <v>583</v>
      </c>
      <c r="AJ685">
        <v>101.66191274181926</v>
      </c>
      <c r="AK685">
        <v>629.77142857143008</v>
      </c>
      <c r="AM685">
        <v>86.326677838546971</v>
      </c>
      <c r="AN685">
        <v>224</v>
      </c>
      <c r="AO685" t="s">
        <v>6137</v>
      </c>
      <c r="AP685" t="s">
        <v>2845</v>
      </c>
    </row>
    <row r="686" spans="1:42" x14ac:dyDescent="0.25">
      <c r="A686">
        <v>685</v>
      </c>
      <c r="B686" t="s">
        <v>1474</v>
      </c>
      <c r="C686" t="s">
        <v>1474</v>
      </c>
      <c r="D686" t="s">
        <v>2985</v>
      </c>
      <c r="E686" t="s">
        <v>183</v>
      </c>
      <c r="F686" t="s">
        <v>184</v>
      </c>
      <c r="G686" t="s">
        <v>158</v>
      </c>
      <c r="H686" t="s">
        <v>159</v>
      </c>
      <c r="J686" t="s">
        <v>185</v>
      </c>
      <c r="K686" t="s">
        <v>3021</v>
      </c>
      <c r="R686" t="s">
        <v>73</v>
      </c>
      <c r="S686" t="s">
        <v>73</v>
      </c>
      <c r="U686" t="s">
        <v>73</v>
      </c>
      <c r="V686" t="s">
        <v>73</v>
      </c>
      <c r="X686" t="s">
        <v>73</v>
      </c>
      <c r="Y686" t="s">
        <v>73</v>
      </c>
      <c r="AF686">
        <v>356.33671509504092</v>
      </c>
      <c r="AG686">
        <v>6.5</v>
      </c>
      <c r="AH686">
        <v>7</v>
      </c>
      <c r="AI686">
        <v>634</v>
      </c>
      <c r="AJ686">
        <v>89.596350105601047</v>
      </c>
      <c r="AK686">
        <v>651.4</v>
      </c>
      <c r="AM686">
        <v>125.43489014784146</v>
      </c>
      <c r="AN686">
        <v>0</v>
      </c>
      <c r="AO686" t="s">
        <v>6138</v>
      </c>
      <c r="AP686" t="s">
        <v>2985</v>
      </c>
    </row>
    <row r="687" spans="1:42" x14ac:dyDescent="0.25">
      <c r="A687">
        <v>686</v>
      </c>
      <c r="B687" t="s">
        <v>1953</v>
      </c>
      <c r="C687" t="s">
        <v>1953</v>
      </c>
      <c r="D687" t="s">
        <v>1954</v>
      </c>
      <c r="E687" t="s">
        <v>199</v>
      </c>
      <c r="F687" t="s">
        <v>200</v>
      </c>
      <c r="I687" t="s">
        <v>1955</v>
      </c>
      <c r="J687" t="s">
        <v>452</v>
      </c>
      <c r="K687" t="s">
        <v>453</v>
      </c>
      <c r="L687" t="s">
        <v>4560</v>
      </c>
      <c r="M687">
        <v>-0.26949498551700002</v>
      </c>
      <c r="R687" t="s">
        <v>73</v>
      </c>
      <c r="S687" t="s">
        <v>73</v>
      </c>
      <c r="U687" t="s">
        <v>73</v>
      </c>
      <c r="V687" t="s">
        <v>73</v>
      </c>
      <c r="X687" t="s">
        <v>73</v>
      </c>
      <c r="Y687" t="s">
        <v>73</v>
      </c>
      <c r="AA687" t="s">
        <v>73</v>
      </c>
      <c r="AB687" t="s">
        <v>73</v>
      </c>
      <c r="AF687">
        <v>355.85809596260162</v>
      </c>
      <c r="AG687">
        <v>6.5</v>
      </c>
      <c r="AH687">
        <v>7</v>
      </c>
      <c r="AI687">
        <v>636</v>
      </c>
      <c r="AJ687">
        <v>89.064551069557382</v>
      </c>
      <c r="AK687">
        <v>651.4</v>
      </c>
      <c r="AM687">
        <v>124.69037149738033</v>
      </c>
      <c r="AN687">
        <v>0</v>
      </c>
      <c r="AO687" t="s">
        <v>6139</v>
      </c>
      <c r="AP687" t="s">
        <v>1954</v>
      </c>
    </row>
    <row r="688" spans="1:42" x14ac:dyDescent="0.25">
      <c r="A688">
        <v>687</v>
      </c>
      <c r="B688" t="s">
        <v>2934</v>
      </c>
      <c r="C688" t="s">
        <v>4119</v>
      </c>
      <c r="D688" t="s">
        <v>373</v>
      </c>
      <c r="E688" t="s">
        <v>282</v>
      </c>
      <c r="F688" t="s">
        <v>283</v>
      </c>
      <c r="G688" t="s">
        <v>3167</v>
      </c>
      <c r="H688" t="s">
        <v>3166</v>
      </c>
      <c r="I688" t="s">
        <v>374</v>
      </c>
      <c r="J688" t="s">
        <v>375</v>
      </c>
      <c r="K688" t="s">
        <v>376</v>
      </c>
      <c r="R688" t="s">
        <v>73</v>
      </c>
      <c r="S688" t="s">
        <v>73</v>
      </c>
      <c r="U688" t="s">
        <v>73</v>
      </c>
      <c r="V688" t="s">
        <v>73</v>
      </c>
      <c r="X688" t="s">
        <v>73</v>
      </c>
      <c r="Y688" t="s">
        <v>73</v>
      </c>
      <c r="AA688" t="s">
        <v>73</v>
      </c>
      <c r="AB688" t="s">
        <v>73</v>
      </c>
      <c r="AF688">
        <v>355.76158380654806</v>
      </c>
      <c r="AG688">
        <v>6.1052631578946999</v>
      </c>
      <c r="AH688">
        <v>18</v>
      </c>
      <c r="AI688">
        <v>555</v>
      </c>
      <c r="AJ688">
        <v>109.6649176797923</v>
      </c>
      <c r="AK688">
        <v>614.12631578947003</v>
      </c>
      <c r="AM688">
        <v>97.530884751709223</v>
      </c>
      <c r="AN688">
        <v>224</v>
      </c>
      <c r="AO688" t="s">
        <v>6140</v>
      </c>
      <c r="AP688" t="s">
        <v>373</v>
      </c>
    </row>
    <row r="689" spans="1:42" x14ac:dyDescent="0.25">
      <c r="A689">
        <v>688</v>
      </c>
      <c r="B689" t="s">
        <v>1444</v>
      </c>
      <c r="C689" t="s">
        <v>1444</v>
      </c>
      <c r="D689" t="s">
        <v>2503</v>
      </c>
      <c r="E689" t="s">
        <v>5313</v>
      </c>
      <c r="F689" t="s">
        <v>1445</v>
      </c>
      <c r="G689" t="s">
        <v>85</v>
      </c>
      <c r="H689" t="s">
        <v>86</v>
      </c>
      <c r="I689" t="s">
        <v>1446</v>
      </c>
      <c r="R689" t="s">
        <v>73</v>
      </c>
      <c r="S689" t="s">
        <v>73</v>
      </c>
      <c r="U689" t="s">
        <v>73</v>
      </c>
      <c r="V689" t="s">
        <v>73</v>
      </c>
      <c r="X689" t="s">
        <v>73</v>
      </c>
      <c r="Y689" t="s">
        <v>73</v>
      </c>
      <c r="AA689" t="s">
        <v>73</v>
      </c>
      <c r="AB689" t="s">
        <v>73</v>
      </c>
      <c r="AF689">
        <v>355.53333333333495</v>
      </c>
      <c r="AG689">
        <v>6.6666666666666998</v>
      </c>
      <c r="AH689">
        <v>2</v>
      </c>
      <c r="AI689">
        <v>676</v>
      </c>
      <c r="AJ689">
        <v>80</v>
      </c>
      <c r="AK689">
        <v>667.0666666666699</v>
      </c>
      <c r="AM689">
        <v>0</v>
      </c>
      <c r="AN689">
        <v>448</v>
      </c>
      <c r="AO689" t="s">
        <v>6141</v>
      </c>
      <c r="AP689" t="s">
        <v>2503</v>
      </c>
    </row>
    <row r="690" spans="1:42" x14ac:dyDescent="0.25">
      <c r="A690">
        <v>689</v>
      </c>
      <c r="B690" t="s">
        <v>1447</v>
      </c>
      <c r="C690" t="s">
        <v>1447</v>
      </c>
      <c r="D690" t="s">
        <v>3408</v>
      </c>
      <c r="E690" t="s">
        <v>471</v>
      </c>
      <c r="F690" t="s">
        <v>472</v>
      </c>
      <c r="G690" t="s">
        <v>93</v>
      </c>
      <c r="H690" t="s">
        <v>94</v>
      </c>
      <c r="I690" t="s">
        <v>3237</v>
      </c>
      <c r="J690" t="s">
        <v>3244</v>
      </c>
      <c r="K690" t="s">
        <v>3107</v>
      </c>
      <c r="O690" t="s">
        <v>2573</v>
      </c>
      <c r="P690" t="s">
        <v>2574</v>
      </c>
      <c r="Q690">
        <v>14</v>
      </c>
      <c r="R690" t="s">
        <v>2406</v>
      </c>
      <c r="S690" t="s">
        <v>2407</v>
      </c>
      <c r="T690">
        <v>1</v>
      </c>
      <c r="U690" t="s">
        <v>3139</v>
      </c>
      <c r="V690" t="s">
        <v>3140</v>
      </c>
      <c r="W690">
        <v>4</v>
      </c>
      <c r="X690" t="s">
        <v>2443</v>
      </c>
      <c r="Y690" t="s">
        <v>2444</v>
      </c>
      <c r="Z690">
        <v>3</v>
      </c>
      <c r="AF690">
        <v>355.35394708085448</v>
      </c>
      <c r="AG690">
        <v>5.2</v>
      </c>
      <c r="AH690">
        <v>9</v>
      </c>
      <c r="AI690">
        <v>326</v>
      </c>
      <c r="AJ690">
        <v>160.50438564539391</v>
      </c>
      <c r="AK690">
        <v>521.79999999999995</v>
      </c>
      <c r="AM690">
        <v>196.70613990355147</v>
      </c>
      <c r="AN690">
        <v>112</v>
      </c>
      <c r="AO690" t="s">
        <v>6142</v>
      </c>
      <c r="AP690" t="s">
        <v>3408</v>
      </c>
    </row>
    <row r="691" spans="1:42" x14ac:dyDescent="0.25">
      <c r="A691">
        <v>690</v>
      </c>
      <c r="B691" t="s">
        <v>3381</v>
      </c>
      <c r="C691" t="s">
        <v>4092</v>
      </c>
      <c r="D691" t="s">
        <v>3531</v>
      </c>
      <c r="E691" t="s">
        <v>183</v>
      </c>
      <c r="F691" t="s">
        <v>184</v>
      </c>
      <c r="G691" t="s">
        <v>158</v>
      </c>
      <c r="H691" t="s">
        <v>159</v>
      </c>
      <c r="I691" t="s">
        <v>3532</v>
      </c>
      <c r="J691" t="s">
        <v>2033</v>
      </c>
      <c r="K691" t="s">
        <v>2034</v>
      </c>
      <c r="Q691">
        <v>14</v>
      </c>
      <c r="R691" t="s">
        <v>2409</v>
      </c>
      <c r="S691" t="s">
        <v>2410</v>
      </c>
      <c r="T691">
        <v>2</v>
      </c>
      <c r="U691" t="s">
        <v>3139</v>
      </c>
      <c r="V691" t="s">
        <v>3140</v>
      </c>
      <c r="W691">
        <v>4</v>
      </c>
      <c r="X691" t="s">
        <v>2437</v>
      </c>
      <c r="Y691" t="s">
        <v>2438</v>
      </c>
      <c r="Z691">
        <v>1</v>
      </c>
      <c r="AA691" t="s">
        <v>73</v>
      </c>
      <c r="AB691" t="s">
        <v>73</v>
      </c>
      <c r="AF691">
        <v>355.07560891909827</v>
      </c>
      <c r="AG691">
        <v>6.1666666666666998</v>
      </c>
      <c r="AH691">
        <v>5</v>
      </c>
      <c r="AI691">
        <v>562</v>
      </c>
      <c r="AJ691">
        <v>106.9358617619592</v>
      </c>
      <c r="AK691">
        <v>617.66666666666993</v>
      </c>
      <c r="AM691">
        <v>149.71020646674287</v>
      </c>
      <c r="AN691">
        <v>0</v>
      </c>
      <c r="AO691" t="s">
        <v>6143</v>
      </c>
      <c r="AP691" t="s">
        <v>3531</v>
      </c>
    </row>
    <row r="692" spans="1:42" x14ac:dyDescent="0.25">
      <c r="A692">
        <v>691</v>
      </c>
      <c r="B692" t="s">
        <v>2863</v>
      </c>
      <c r="C692" t="s">
        <v>2863</v>
      </c>
      <c r="D692" t="s">
        <v>2850</v>
      </c>
      <c r="E692" t="s">
        <v>91</v>
      </c>
      <c r="F692" t="s">
        <v>92</v>
      </c>
      <c r="G692" t="s">
        <v>108</v>
      </c>
      <c r="H692" t="s">
        <v>109</v>
      </c>
      <c r="I692" t="s">
        <v>3082</v>
      </c>
      <c r="J692" t="s">
        <v>3070</v>
      </c>
      <c r="K692" t="s">
        <v>3071</v>
      </c>
      <c r="L692" t="s">
        <v>4552</v>
      </c>
      <c r="M692" t="s">
        <v>4553</v>
      </c>
      <c r="O692" t="s">
        <v>63</v>
      </c>
      <c r="P692" t="s">
        <v>64</v>
      </c>
      <c r="R692" t="s">
        <v>2409</v>
      </c>
      <c r="S692" t="s">
        <v>2410</v>
      </c>
      <c r="T692">
        <v>2</v>
      </c>
      <c r="U692" t="s">
        <v>3137</v>
      </c>
      <c r="V692" t="s">
        <v>3136</v>
      </c>
      <c r="W692">
        <v>5</v>
      </c>
      <c r="X692" t="s">
        <v>2446</v>
      </c>
      <c r="Y692" t="s">
        <v>2447</v>
      </c>
      <c r="Z692">
        <v>4</v>
      </c>
      <c r="AF692">
        <v>354.66528381485563</v>
      </c>
      <c r="AG692">
        <v>7.3</v>
      </c>
      <c r="AH692">
        <v>9</v>
      </c>
      <c r="AI692">
        <v>834</v>
      </c>
      <c r="AJ692">
        <v>43.07253757206184</v>
      </c>
      <c r="AK692">
        <v>731.8</v>
      </c>
      <c r="AL692">
        <v>2010</v>
      </c>
      <c r="AM692">
        <v>46.301552600886573</v>
      </c>
      <c r="AN692">
        <v>56</v>
      </c>
      <c r="AO692" t="s">
        <v>6144</v>
      </c>
      <c r="AP692" t="s">
        <v>2850</v>
      </c>
    </row>
    <row r="693" spans="1:42" x14ac:dyDescent="0.25">
      <c r="A693">
        <v>692</v>
      </c>
      <c r="B693" t="s">
        <v>839</v>
      </c>
      <c r="C693" t="s">
        <v>839</v>
      </c>
      <c r="D693" t="s">
        <v>840</v>
      </c>
      <c r="E693" t="s">
        <v>459</v>
      </c>
      <c r="F693" t="s">
        <v>459</v>
      </c>
      <c r="G693" t="s">
        <v>257</v>
      </c>
      <c r="H693" t="s">
        <v>258</v>
      </c>
      <c r="R693" t="s">
        <v>73</v>
      </c>
      <c r="S693" t="s">
        <v>73</v>
      </c>
      <c r="U693" t="s">
        <v>73</v>
      </c>
      <c r="V693" t="s">
        <v>73</v>
      </c>
      <c r="X693" t="s">
        <v>73</v>
      </c>
      <c r="Y693" t="s">
        <v>73</v>
      </c>
      <c r="AA693" t="s">
        <v>73</v>
      </c>
      <c r="AB693" t="s">
        <v>73</v>
      </c>
      <c r="AF693">
        <v>354.48784912935218</v>
      </c>
      <c r="AG693">
        <v>7.1363636363636003</v>
      </c>
      <c r="AH693">
        <v>21</v>
      </c>
      <c r="AI693">
        <v>817</v>
      </c>
      <c r="AJ693">
        <v>50.632963679080156</v>
      </c>
      <c r="AK693">
        <v>717.83636363636003</v>
      </c>
      <c r="AM693">
        <v>42.886149150712214</v>
      </c>
      <c r="AN693">
        <v>112</v>
      </c>
      <c r="AO693" t="s">
        <v>6145</v>
      </c>
      <c r="AP693" t="s">
        <v>840</v>
      </c>
    </row>
    <row r="694" spans="1:42" x14ac:dyDescent="0.25">
      <c r="A694">
        <v>693</v>
      </c>
      <c r="B694" t="s">
        <v>4026</v>
      </c>
      <c r="C694" t="s">
        <v>4026</v>
      </c>
      <c r="D694" t="s">
        <v>4027</v>
      </c>
      <c r="E694" t="s">
        <v>3643</v>
      </c>
      <c r="F694" t="s">
        <v>786</v>
      </c>
      <c r="G694" t="s">
        <v>60</v>
      </c>
      <c r="H694" t="s">
        <v>61</v>
      </c>
      <c r="R694" t="s">
        <v>73</v>
      </c>
      <c r="S694" t="s">
        <v>73</v>
      </c>
      <c r="U694" t="s">
        <v>73</v>
      </c>
      <c r="V694" t="s">
        <v>73</v>
      </c>
      <c r="X694" t="s">
        <v>73</v>
      </c>
      <c r="Y694" t="s">
        <v>73</v>
      </c>
      <c r="AA694" t="s">
        <v>73</v>
      </c>
      <c r="AB694" t="s">
        <v>73</v>
      </c>
      <c r="AF694">
        <v>354.44792572228346</v>
      </c>
      <c r="AG694">
        <v>5.75</v>
      </c>
      <c r="AH694">
        <v>3</v>
      </c>
      <c r="AI694">
        <v>458</v>
      </c>
      <c r="AJ694">
        <v>129.60880635809275</v>
      </c>
      <c r="AK694">
        <v>575.6</v>
      </c>
      <c r="AM694">
        <v>69.452328901329864</v>
      </c>
      <c r="AN694">
        <v>448</v>
      </c>
      <c r="AO694" t="s">
        <v>6146</v>
      </c>
      <c r="AP694" t="s">
        <v>4027</v>
      </c>
    </row>
    <row r="695" spans="1:42" x14ac:dyDescent="0.25">
      <c r="A695">
        <v>694</v>
      </c>
      <c r="B695" t="s">
        <v>1521</v>
      </c>
      <c r="C695" t="s">
        <v>1521</v>
      </c>
      <c r="D695" t="s">
        <v>2527</v>
      </c>
      <c r="E695" t="s">
        <v>459</v>
      </c>
      <c r="F695" t="s">
        <v>459</v>
      </c>
      <c r="G695" t="s">
        <v>257</v>
      </c>
      <c r="H695" t="s">
        <v>258</v>
      </c>
      <c r="R695" t="s">
        <v>2409</v>
      </c>
      <c r="S695" t="s">
        <v>2410</v>
      </c>
      <c r="T695">
        <v>2</v>
      </c>
      <c r="U695" t="s">
        <v>2430</v>
      </c>
      <c r="V695" t="s">
        <v>2431</v>
      </c>
      <c r="W695">
        <v>6</v>
      </c>
      <c r="X695" t="s">
        <v>2446</v>
      </c>
      <c r="Y695" t="s">
        <v>2447</v>
      </c>
      <c r="Z695">
        <v>4</v>
      </c>
      <c r="AA695" t="s">
        <v>73</v>
      </c>
      <c r="AB695" t="s">
        <v>73</v>
      </c>
      <c r="AF695">
        <v>353.875</v>
      </c>
      <c r="AG695">
        <v>7.6875</v>
      </c>
      <c r="AH695">
        <v>15</v>
      </c>
      <c r="AI695">
        <v>942</v>
      </c>
      <c r="AJ695">
        <v>20</v>
      </c>
      <c r="AK695">
        <v>771.75</v>
      </c>
      <c r="AL695">
        <v>2004</v>
      </c>
      <c r="AM695">
        <v>0</v>
      </c>
      <c r="AN695">
        <v>112</v>
      </c>
      <c r="AO695" t="s">
        <v>6147</v>
      </c>
      <c r="AP695" t="s">
        <v>2527</v>
      </c>
    </row>
    <row r="696" spans="1:42" x14ac:dyDescent="0.25">
      <c r="A696">
        <v>695</v>
      </c>
      <c r="B696" t="s">
        <v>2865</v>
      </c>
      <c r="C696" t="s">
        <v>2865</v>
      </c>
      <c r="D696" t="s">
        <v>2866</v>
      </c>
      <c r="E696" t="s">
        <v>91</v>
      </c>
      <c r="F696" t="s">
        <v>92</v>
      </c>
      <c r="G696" t="s">
        <v>632</v>
      </c>
      <c r="H696" t="s">
        <v>633</v>
      </c>
      <c r="I696" t="s">
        <v>3080</v>
      </c>
      <c r="J696" t="s">
        <v>3070</v>
      </c>
      <c r="K696" t="s">
        <v>3071</v>
      </c>
      <c r="L696" t="s">
        <v>4548</v>
      </c>
      <c r="M696" t="s">
        <v>4549</v>
      </c>
      <c r="R696" t="s">
        <v>2409</v>
      </c>
      <c r="S696" t="s">
        <v>2410</v>
      </c>
      <c r="T696">
        <v>2</v>
      </c>
      <c r="U696" t="s">
        <v>2432</v>
      </c>
      <c r="V696" t="s">
        <v>2433</v>
      </c>
      <c r="W696">
        <v>7</v>
      </c>
      <c r="X696" t="s">
        <v>2446</v>
      </c>
      <c r="Y696" t="s">
        <v>2447</v>
      </c>
      <c r="Z696">
        <v>4</v>
      </c>
      <c r="AF696">
        <v>353.76666666666506</v>
      </c>
      <c r="AG696">
        <v>7.3333333333333002</v>
      </c>
      <c r="AH696">
        <v>11</v>
      </c>
      <c r="AI696">
        <v>863</v>
      </c>
      <c r="AJ696">
        <v>40</v>
      </c>
      <c r="AK696">
        <v>735.53333333333012</v>
      </c>
      <c r="AM696">
        <v>0</v>
      </c>
      <c r="AN696">
        <v>224</v>
      </c>
      <c r="AO696" t="s">
        <v>6148</v>
      </c>
      <c r="AP696" t="s">
        <v>2866</v>
      </c>
    </row>
    <row r="697" spans="1:42" x14ac:dyDescent="0.25">
      <c r="A697">
        <v>696</v>
      </c>
      <c r="B697" t="s">
        <v>2363</v>
      </c>
      <c r="C697" t="s">
        <v>2363</v>
      </c>
      <c r="D697" t="s">
        <v>2364</v>
      </c>
      <c r="E697" t="s">
        <v>199</v>
      </c>
      <c r="F697" t="s">
        <v>200</v>
      </c>
      <c r="G697" t="s">
        <v>139</v>
      </c>
      <c r="H697" t="s">
        <v>140</v>
      </c>
      <c r="J697" t="s">
        <v>326</v>
      </c>
      <c r="K697" t="s">
        <v>327</v>
      </c>
      <c r="L697" t="s">
        <v>4761</v>
      </c>
      <c r="M697" t="s">
        <v>4762</v>
      </c>
      <c r="R697" t="s">
        <v>73</v>
      </c>
      <c r="S697" t="s">
        <v>73</v>
      </c>
      <c r="U697" t="s">
        <v>73</v>
      </c>
      <c r="V697" t="s">
        <v>73</v>
      </c>
      <c r="X697" t="s">
        <v>73</v>
      </c>
      <c r="Y697" t="s">
        <v>73</v>
      </c>
      <c r="AA697" t="s">
        <v>73</v>
      </c>
      <c r="AB697" t="s">
        <v>73</v>
      </c>
      <c r="AF697">
        <v>352.4297803622739</v>
      </c>
      <c r="AG697">
        <v>6.2222222222222001</v>
      </c>
      <c r="AH697">
        <v>8</v>
      </c>
      <c r="AI697">
        <v>588</v>
      </c>
      <c r="AJ697">
        <v>100.57629916795989</v>
      </c>
      <c r="AK697">
        <v>623.82222222222003</v>
      </c>
      <c r="AM697">
        <v>140.80681883514384</v>
      </c>
      <c r="AN697">
        <v>0</v>
      </c>
      <c r="AO697" t="s">
        <v>6149</v>
      </c>
      <c r="AP697" t="s">
        <v>2364</v>
      </c>
    </row>
    <row r="698" spans="1:42" x14ac:dyDescent="0.25">
      <c r="A698">
        <v>697</v>
      </c>
      <c r="B698" t="s">
        <v>3684</v>
      </c>
      <c r="C698" t="s">
        <v>3684</v>
      </c>
      <c r="D698" t="s">
        <v>3989</v>
      </c>
      <c r="E698" t="s">
        <v>595</v>
      </c>
      <c r="F698" t="s">
        <v>596</v>
      </c>
      <c r="G698" t="s">
        <v>3167</v>
      </c>
      <c r="H698" t="s">
        <v>3166</v>
      </c>
      <c r="I698" t="s">
        <v>3685</v>
      </c>
      <c r="J698" t="s">
        <v>625</v>
      </c>
      <c r="K698" t="s">
        <v>626</v>
      </c>
      <c r="O698" t="s">
        <v>3991</v>
      </c>
      <c r="P698" t="s">
        <v>3990</v>
      </c>
      <c r="Q698">
        <v>12</v>
      </c>
      <c r="R698" t="s">
        <v>2409</v>
      </c>
      <c r="S698" t="s">
        <v>2410</v>
      </c>
      <c r="T698">
        <v>2</v>
      </c>
      <c r="U698" t="s">
        <v>3139</v>
      </c>
      <c r="V698" t="s">
        <v>3140</v>
      </c>
      <c r="W698">
        <v>4</v>
      </c>
      <c r="X698" t="s">
        <v>2446</v>
      </c>
      <c r="Y698" t="s">
        <v>2447</v>
      </c>
      <c r="Z698">
        <v>4</v>
      </c>
      <c r="AC698" t="s">
        <v>3993</v>
      </c>
      <c r="AD698" t="s">
        <v>3992</v>
      </c>
      <c r="AF698">
        <v>352.07956952914066</v>
      </c>
      <c r="AG698">
        <v>6.7142857142857002</v>
      </c>
      <c r="AH698">
        <v>6</v>
      </c>
      <c r="AI698">
        <v>729</v>
      </c>
      <c r="AJ698">
        <v>73.072537572061833</v>
      </c>
      <c r="AK698">
        <v>672.62857142857001</v>
      </c>
      <c r="AM698">
        <v>46.301552600886573</v>
      </c>
      <c r="AN698">
        <v>224</v>
      </c>
      <c r="AO698" t="s">
        <v>6150</v>
      </c>
      <c r="AP698" t="s">
        <v>3989</v>
      </c>
    </row>
    <row r="699" spans="1:42" x14ac:dyDescent="0.25">
      <c r="A699">
        <v>698</v>
      </c>
      <c r="B699" t="s">
        <v>854</v>
      </c>
      <c r="C699" t="s">
        <v>854</v>
      </c>
      <c r="D699" t="s">
        <v>855</v>
      </c>
      <c r="E699" t="s">
        <v>199</v>
      </c>
      <c r="F699" t="s">
        <v>200</v>
      </c>
      <c r="J699" t="s">
        <v>3164</v>
      </c>
      <c r="K699" t="s">
        <v>309</v>
      </c>
      <c r="L699" t="s">
        <v>5213</v>
      </c>
      <c r="M699" t="s">
        <v>5214</v>
      </c>
      <c r="Q699">
        <v>13</v>
      </c>
      <c r="R699" t="s">
        <v>2409</v>
      </c>
      <c r="S699" t="s">
        <v>2410</v>
      </c>
      <c r="T699">
        <v>2</v>
      </c>
      <c r="U699" t="s">
        <v>3137</v>
      </c>
      <c r="V699" t="s">
        <v>3136</v>
      </c>
      <c r="W699">
        <v>5</v>
      </c>
      <c r="X699" t="s">
        <v>2446</v>
      </c>
      <c r="Y699" t="s">
        <v>2447</v>
      </c>
      <c r="Z699">
        <v>4</v>
      </c>
      <c r="AA699" t="s">
        <v>73</v>
      </c>
      <c r="AB699" t="s">
        <v>73</v>
      </c>
      <c r="AF699">
        <v>352.07663935168478</v>
      </c>
      <c r="AG699">
        <v>7.2666666666667004</v>
      </c>
      <c r="AH699">
        <v>14</v>
      </c>
      <c r="AI699">
        <v>840</v>
      </c>
      <c r="AJ699">
        <v>41.492562242610852</v>
      </c>
      <c r="AK699">
        <v>729.46666666666999</v>
      </c>
      <c r="AM699">
        <v>58.089587139655187</v>
      </c>
      <c r="AN699">
        <v>0</v>
      </c>
      <c r="AO699" t="s">
        <v>6151</v>
      </c>
      <c r="AP699" t="s">
        <v>855</v>
      </c>
    </row>
    <row r="700" spans="1:42" x14ac:dyDescent="0.25">
      <c r="A700">
        <v>699</v>
      </c>
      <c r="B700" t="s">
        <v>600</v>
      </c>
      <c r="C700" t="s">
        <v>600</v>
      </c>
      <c r="D700" t="s">
        <v>601</v>
      </c>
      <c r="E700" t="s">
        <v>351</v>
      </c>
      <c r="F700" t="s">
        <v>352</v>
      </c>
      <c r="G700" t="s">
        <v>257</v>
      </c>
      <c r="H700" t="s">
        <v>258</v>
      </c>
      <c r="I700" t="s">
        <v>4264</v>
      </c>
      <c r="J700" t="s">
        <v>602</v>
      </c>
      <c r="K700" t="s">
        <v>603</v>
      </c>
      <c r="L700">
        <v>51.1928182204</v>
      </c>
      <c r="M700">
        <v>4.5955780451199999</v>
      </c>
      <c r="Q700">
        <v>13</v>
      </c>
      <c r="R700" t="s">
        <v>2414</v>
      </c>
      <c r="S700" t="s">
        <v>2415</v>
      </c>
      <c r="T700">
        <v>3</v>
      </c>
      <c r="U700" t="s">
        <v>73</v>
      </c>
      <c r="V700" t="s">
        <v>73</v>
      </c>
      <c r="X700" t="s">
        <v>73</v>
      </c>
      <c r="Y700" t="s">
        <v>73</v>
      </c>
      <c r="AE700" t="s">
        <v>4265</v>
      </c>
      <c r="AF700">
        <v>351.562711864405</v>
      </c>
      <c r="AG700">
        <v>7.9152542372881003</v>
      </c>
      <c r="AH700">
        <v>58</v>
      </c>
      <c r="AI700">
        <v>961</v>
      </c>
      <c r="AJ700">
        <v>0</v>
      </c>
      <c r="AK700">
        <v>803.12542372881001</v>
      </c>
      <c r="AM700">
        <v>0</v>
      </c>
      <c r="AN700">
        <v>0</v>
      </c>
      <c r="AO700" t="s">
        <v>6152</v>
      </c>
      <c r="AP700" t="s">
        <v>601</v>
      </c>
    </row>
    <row r="701" spans="1:42" x14ac:dyDescent="0.25">
      <c r="A701">
        <v>700</v>
      </c>
      <c r="B701" t="s">
        <v>3802</v>
      </c>
      <c r="C701" t="s">
        <v>3802</v>
      </c>
      <c r="D701" t="s">
        <v>3803</v>
      </c>
      <c r="E701" t="s">
        <v>137</v>
      </c>
      <c r="F701" t="s">
        <v>138</v>
      </c>
      <c r="G701" t="s">
        <v>139</v>
      </c>
      <c r="H701" t="s">
        <v>140</v>
      </c>
      <c r="J701" t="s">
        <v>426</v>
      </c>
      <c r="K701" t="s">
        <v>427</v>
      </c>
      <c r="L701" t="s">
        <v>4674</v>
      </c>
      <c r="M701" t="s">
        <v>4675</v>
      </c>
      <c r="R701" t="s">
        <v>2409</v>
      </c>
      <c r="S701" t="s">
        <v>2410</v>
      </c>
      <c r="T701">
        <v>2</v>
      </c>
      <c r="U701" t="s">
        <v>2430</v>
      </c>
      <c r="V701" t="s">
        <v>2431</v>
      </c>
      <c r="W701">
        <v>6</v>
      </c>
      <c r="X701" t="s">
        <v>2443</v>
      </c>
      <c r="Y701" t="s">
        <v>2444</v>
      </c>
      <c r="Z701">
        <v>3</v>
      </c>
      <c r="AA701" t="s">
        <v>3934</v>
      </c>
      <c r="AB701" t="s">
        <v>3935</v>
      </c>
      <c r="AF701">
        <v>351.505981038144</v>
      </c>
      <c r="AG701">
        <v>6</v>
      </c>
      <c r="AH701">
        <v>6</v>
      </c>
      <c r="AI701">
        <v>549</v>
      </c>
      <c r="AJ701">
        <v>112.11775670904888</v>
      </c>
      <c r="AK701">
        <v>601.20000000000005</v>
      </c>
      <c r="AM701">
        <v>156.96485939266842</v>
      </c>
      <c r="AN701">
        <v>0</v>
      </c>
      <c r="AO701" t="s">
        <v>6153</v>
      </c>
      <c r="AP701" t="s">
        <v>3803</v>
      </c>
    </row>
    <row r="702" spans="1:42" x14ac:dyDescent="0.25">
      <c r="A702">
        <v>701</v>
      </c>
      <c r="B702" t="s">
        <v>3962</v>
      </c>
      <c r="C702" t="s">
        <v>3962</v>
      </c>
      <c r="D702" t="s">
        <v>4868</v>
      </c>
      <c r="E702" t="s">
        <v>3955</v>
      </c>
      <c r="F702" t="s">
        <v>3956</v>
      </c>
      <c r="G702" t="s">
        <v>60</v>
      </c>
      <c r="H702" t="s">
        <v>61</v>
      </c>
      <c r="L702" t="s">
        <v>4860</v>
      </c>
      <c r="M702" t="s">
        <v>4861</v>
      </c>
      <c r="R702" t="s">
        <v>73</v>
      </c>
      <c r="S702" t="s">
        <v>73</v>
      </c>
      <c r="U702" t="s">
        <v>73</v>
      </c>
      <c r="V702" t="s">
        <v>73</v>
      </c>
      <c r="X702" t="s">
        <v>73</v>
      </c>
      <c r="Y702" t="s">
        <v>73</v>
      </c>
      <c r="AA702" t="s">
        <v>73</v>
      </c>
      <c r="AB702" t="s">
        <v>73</v>
      </c>
      <c r="AF702">
        <v>351</v>
      </c>
      <c r="AG702">
        <v>8</v>
      </c>
      <c r="AH702">
        <v>10</v>
      </c>
      <c r="AI702">
        <v>962</v>
      </c>
      <c r="AJ702">
        <v>0</v>
      </c>
      <c r="AK702">
        <v>802</v>
      </c>
      <c r="AM702">
        <v>0</v>
      </c>
      <c r="AN702">
        <v>0</v>
      </c>
      <c r="AO702" t="s">
        <v>6154</v>
      </c>
      <c r="AP702" t="s">
        <v>4868</v>
      </c>
    </row>
    <row r="703" spans="1:42" x14ac:dyDescent="0.25">
      <c r="A703">
        <v>702</v>
      </c>
      <c r="B703" t="s">
        <v>3678</v>
      </c>
      <c r="C703" t="s">
        <v>3678</v>
      </c>
      <c r="D703" t="s">
        <v>3679</v>
      </c>
      <c r="E703" t="s">
        <v>595</v>
      </c>
      <c r="F703" t="s">
        <v>596</v>
      </c>
      <c r="G703" t="s">
        <v>3167</v>
      </c>
      <c r="H703" t="s">
        <v>3166</v>
      </c>
      <c r="J703" t="s">
        <v>1037</v>
      </c>
      <c r="K703" t="s">
        <v>1038</v>
      </c>
      <c r="Q703">
        <v>15</v>
      </c>
      <c r="R703" t="s">
        <v>2409</v>
      </c>
      <c r="S703" t="s">
        <v>2410</v>
      </c>
      <c r="T703">
        <v>2</v>
      </c>
      <c r="U703" t="s">
        <v>2430</v>
      </c>
      <c r="V703" t="s">
        <v>2431</v>
      </c>
      <c r="W703">
        <v>6</v>
      </c>
      <c r="X703" t="s">
        <v>2440</v>
      </c>
      <c r="Y703" t="s">
        <v>2441</v>
      </c>
      <c r="Z703">
        <v>2</v>
      </c>
      <c r="AA703" t="s">
        <v>3995</v>
      </c>
      <c r="AB703" t="s">
        <v>3994</v>
      </c>
      <c r="AE703" t="s">
        <v>3996</v>
      </c>
      <c r="AF703">
        <v>350.88571428571504</v>
      </c>
      <c r="AG703">
        <v>7.2857142857142998</v>
      </c>
      <c r="AH703">
        <v>6</v>
      </c>
      <c r="AI703">
        <v>864</v>
      </c>
      <c r="AJ703">
        <v>40</v>
      </c>
      <c r="AK703">
        <v>729.77142857143008</v>
      </c>
      <c r="AM703">
        <v>0</v>
      </c>
      <c r="AN703">
        <v>224</v>
      </c>
      <c r="AO703" t="s">
        <v>6155</v>
      </c>
      <c r="AP703" t="s">
        <v>3679</v>
      </c>
    </row>
    <row r="704" spans="1:42" x14ac:dyDescent="0.25">
      <c r="A704">
        <v>703</v>
      </c>
      <c r="B704" t="s">
        <v>2296</v>
      </c>
      <c r="C704" t="s">
        <v>4168</v>
      </c>
      <c r="D704" t="s">
        <v>6156</v>
      </c>
      <c r="E704" t="s">
        <v>351</v>
      </c>
      <c r="F704" t="s">
        <v>352</v>
      </c>
      <c r="G704" t="s">
        <v>257</v>
      </c>
      <c r="H704" t="s">
        <v>258</v>
      </c>
      <c r="I704" t="s">
        <v>2297</v>
      </c>
      <c r="J704" t="s">
        <v>536</v>
      </c>
      <c r="K704" t="s">
        <v>537</v>
      </c>
      <c r="L704">
        <v>50.220719368200001</v>
      </c>
      <c r="M704">
        <v>4.9825239322400003</v>
      </c>
      <c r="Q704">
        <v>13</v>
      </c>
      <c r="R704" t="s">
        <v>2406</v>
      </c>
      <c r="S704" t="s">
        <v>2407</v>
      </c>
      <c r="T704">
        <v>1</v>
      </c>
      <c r="U704" t="s">
        <v>3137</v>
      </c>
      <c r="V704" t="s">
        <v>3136</v>
      </c>
      <c r="W704">
        <v>5</v>
      </c>
      <c r="X704" t="s">
        <v>2437</v>
      </c>
      <c r="Y704" t="s">
        <v>2438</v>
      </c>
      <c r="Z704">
        <v>1</v>
      </c>
      <c r="AE704" t="s">
        <v>2298</v>
      </c>
      <c r="AF704">
        <v>350.71836734694</v>
      </c>
      <c r="AG704">
        <v>7.9183673469388003</v>
      </c>
      <c r="AH704">
        <v>48</v>
      </c>
      <c r="AI704">
        <v>963</v>
      </c>
      <c r="AJ704">
        <v>0</v>
      </c>
      <c r="AK704">
        <v>801.43673469388</v>
      </c>
      <c r="AL704">
        <v>2004</v>
      </c>
      <c r="AM704">
        <v>0</v>
      </c>
      <c r="AN704">
        <v>0</v>
      </c>
      <c r="AO704" t="s">
        <v>6157</v>
      </c>
      <c r="AP704" t="s">
        <v>6156</v>
      </c>
    </row>
    <row r="705" spans="1:42" x14ac:dyDescent="0.25">
      <c r="A705">
        <v>704</v>
      </c>
      <c r="B705" t="s">
        <v>4013</v>
      </c>
      <c r="C705" t="s">
        <v>4013</v>
      </c>
      <c r="D705" t="s">
        <v>4037</v>
      </c>
      <c r="E705" t="s">
        <v>3643</v>
      </c>
      <c r="F705" t="s">
        <v>786</v>
      </c>
      <c r="G705" t="s">
        <v>60</v>
      </c>
      <c r="H705" t="s">
        <v>61</v>
      </c>
      <c r="J705" t="s">
        <v>4014</v>
      </c>
      <c r="K705" t="s">
        <v>3391</v>
      </c>
      <c r="R705" t="s">
        <v>73</v>
      </c>
      <c r="S705" t="s">
        <v>73</v>
      </c>
      <c r="U705" t="s">
        <v>73</v>
      </c>
      <c r="V705" t="s">
        <v>73</v>
      </c>
      <c r="X705" t="s">
        <v>73</v>
      </c>
      <c r="Y705" t="s">
        <v>73</v>
      </c>
      <c r="AA705" t="s">
        <v>73</v>
      </c>
      <c r="AB705" t="s">
        <v>73</v>
      </c>
      <c r="AF705">
        <v>350.50067703625803</v>
      </c>
      <c r="AG705">
        <v>5.3333333333333002</v>
      </c>
      <c r="AH705">
        <v>5</v>
      </c>
      <c r="AI705">
        <v>366</v>
      </c>
      <c r="AJ705">
        <v>148.14890041065891</v>
      </c>
      <c r="AK705">
        <v>534.33333333333007</v>
      </c>
      <c r="AM705">
        <v>95.408460574922458</v>
      </c>
      <c r="AN705">
        <v>448</v>
      </c>
      <c r="AO705" t="s">
        <v>6158</v>
      </c>
      <c r="AP705" t="s">
        <v>4037</v>
      </c>
    </row>
    <row r="706" spans="1:42" x14ac:dyDescent="0.25">
      <c r="A706">
        <v>705</v>
      </c>
      <c r="B706" t="s">
        <v>974</v>
      </c>
      <c r="C706" t="s">
        <v>974</v>
      </c>
      <c r="D706" t="s">
        <v>975</v>
      </c>
      <c r="E706" t="s">
        <v>161</v>
      </c>
      <c r="F706" t="s">
        <v>161</v>
      </c>
      <c r="G706" t="s">
        <v>3167</v>
      </c>
      <c r="H706" t="s">
        <v>3166</v>
      </c>
      <c r="J706" t="s">
        <v>463</v>
      </c>
      <c r="K706" t="s">
        <v>464</v>
      </c>
      <c r="R706" t="s">
        <v>73</v>
      </c>
      <c r="S706" t="s">
        <v>73</v>
      </c>
      <c r="U706" t="s">
        <v>73</v>
      </c>
      <c r="V706" t="s">
        <v>73</v>
      </c>
      <c r="X706" t="s">
        <v>73</v>
      </c>
      <c r="Y706" t="s">
        <v>73</v>
      </c>
      <c r="AF706">
        <v>350.18009263279009</v>
      </c>
      <c r="AG706">
        <v>6.8571428571429003</v>
      </c>
      <c r="AH706">
        <v>6</v>
      </c>
      <c r="AI706">
        <v>758</v>
      </c>
      <c r="AJ706">
        <v>63.025499750716783</v>
      </c>
      <c r="AK706">
        <v>686.91428571429003</v>
      </c>
      <c r="AM706">
        <v>88.235699651003486</v>
      </c>
      <c r="AN706">
        <v>0</v>
      </c>
      <c r="AO706" t="s">
        <v>6159</v>
      </c>
      <c r="AP706" t="s">
        <v>975</v>
      </c>
    </row>
    <row r="707" spans="1:42" x14ac:dyDescent="0.25">
      <c r="A707">
        <v>706</v>
      </c>
      <c r="B707" t="s">
        <v>1360</v>
      </c>
      <c r="C707" t="s">
        <v>1360</v>
      </c>
      <c r="D707" t="s">
        <v>2477</v>
      </c>
      <c r="E707" t="s">
        <v>415</v>
      </c>
      <c r="F707" t="s">
        <v>415</v>
      </c>
      <c r="G707" t="s">
        <v>85</v>
      </c>
      <c r="H707" t="s">
        <v>86</v>
      </c>
      <c r="I707" t="s">
        <v>1361</v>
      </c>
      <c r="L707" t="s">
        <v>4278</v>
      </c>
      <c r="M707" t="s">
        <v>4279</v>
      </c>
      <c r="N707" t="s">
        <v>4290</v>
      </c>
      <c r="Q707">
        <v>16</v>
      </c>
      <c r="R707" t="s">
        <v>2420</v>
      </c>
      <c r="S707" t="s">
        <v>2421</v>
      </c>
      <c r="T707">
        <v>5</v>
      </c>
      <c r="U707" t="s">
        <v>73</v>
      </c>
      <c r="V707" t="s">
        <v>73</v>
      </c>
      <c r="X707" t="s">
        <v>2437</v>
      </c>
      <c r="Y707" t="s">
        <v>2438</v>
      </c>
      <c r="Z707">
        <v>1</v>
      </c>
      <c r="AA707" t="s">
        <v>1362</v>
      </c>
      <c r="AB707" t="s">
        <v>1362</v>
      </c>
      <c r="AF707">
        <v>350.15798833374276</v>
      </c>
      <c r="AG707">
        <v>6.6666666666666998</v>
      </c>
      <c r="AH707">
        <v>8</v>
      </c>
      <c r="AI707">
        <v>720</v>
      </c>
      <c r="AJ707">
        <v>73.360727778230853</v>
      </c>
      <c r="AK707">
        <v>668.26666666666995</v>
      </c>
      <c r="AM707">
        <v>46.705018889523181</v>
      </c>
      <c r="AN707">
        <v>224</v>
      </c>
      <c r="AO707" t="s">
        <v>6160</v>
      </c>
      <c r="AP707" t="s">
        <v>2477</v>
      </c>
    </row>
    <row r="708" spans="1:42" x14ac:dyDescent="0.25">
      <c r="A708">
        <v>707</v>
      </c>
      <c r="B708" t="s">
        <v>3971</v>
      </c>
      <c r="C708" t="s">
        <v>4098</v>
      </c>
      <c r="D708" t="s">
        <v>5444</v>
      </c>
      <c r="E708" t="s">
        <v>67</v>
      </c>
      <c r="F708" t="s">
        <v>68</v>
      </c>
      <c r="G708" t="s">
        <v>3843</v>
      </c>
      <c r="H708" t="s">
        <v>3844</v>
      </c>
      <c r="I708" t="s">
        <v>3972</v>
      </c>
      <c r="J708" t="s">
        <v>580</v>
      </c>
      <c r="K708" t="s">
        <v>581</v>
      </c>
      <c r="L708" t="s">
        <v>5132</v>
      </c>
      <c r="M708" t="s">
        <v>5133</v>
      </c>
      <c r="Q708">
        <v>12</v>
      </c>
      <c r="R708" t="s">
        <v>2409</v>
      </c>
      <c r="S708" t="s">
        <v>2410</v>
      </c>
      <c r="T708">
        <v>2</v>
      </c>
      <c r="U708" t="s">
        <v>73</v>
      </c>
      <c r="V708" t="s">
        <v>73</v>
      </c>
      <c r="X708" t="s">
        <v>2443</v>
      </c>
      <c r="Y708" t="s">
        <v>2444</v>
      </c>
      <c r="Z708">
        <v>3</v>
      </c>
      <c r="AA708" t="s">
        <v>73</v>
      </c>
      <c r="AB708" t="s">
        <v>73</v>
      </c>
      <c r="AF708">
        <v>349.99839781438857</v>
      </c>
      <c r="AG708">
        <v>5.5</v>
      </c>
      <c r="AH708">
        <v>5</v>
      </c>
      <c r="AI708">
        <v>424</v>
      </c>
      <c r="AJ708">
        <v>138.3315531270984</v>
      </c>
      <c r="AK708">
        <v>551</v>
      </c>
      <c r="AM708">
        <v>193.66417437793774</v>
      </c>
      <c r="AN708">
        <v>0</v>
      </c>
      <c r="AO708" t="s">
        <v>6161</v>
      </c>
      <c r="AP708" t="s">
        <v>5444</v>
      </c>
    </row>
    <row r="709" spans="1:42" x14ac:dyDescent="0.25">
      <c r="A709">
        <v>708</v>
      </c>
      <c r="B709" t="s">
        <v>3518</v>
      </c>
      <c r="C709" t="s">
        <v>4181</v>
      </c>
      <c r="D709" t="s">
        <v>3519</v>
      </c>
      <c r="E709" t="s">
        <v>255</v>
      </c>
      <c r="F709" t="s">
        <v>256</v>
      </c>
      <c r="G709" t="s">
        <v>257</v>
      </c>
      <c r="H709" t="s">
        <v>258</v>
      </c>
      <c r="I709" t="s">
        <v>3522</v>
      </c>
      <c r="J709" t="s">
        <v>315</v>
      </c>
      <c r="K709" t="s">
        <v>316</v>
      </c>
      <c r="L709">
        <v>52.235408373399999</v>
      </c>
      <c r="M709">
        <v>5.9429528071400002</v>
      </c>
      <c r="R709" t="s">
        <v>73</v>
      </c>
      <c r="S709" t="s">
        <v>73</v>
      </c>
      <c r="U709" t="s">
        <v>73</v>
      </c>
      <c r="V709" t="s">
        <v>73</v>
      </c>
      <c r="X709" t="s">
        <v>73</v>
      </c>
      <c r="Y709" t="s">
        <v>73</v>
      </c>
      <c r="AA709" t="s">
        <v>73</v>
      </c>
      <c r="AB709" t="s">
        <v>73</v>
      </c>
      <c r="AF709">
        <v>349.98089279698468</v>
      </c>
      <c r="AG709">
        <v>7.2857142857142998</v>
      </c>
      <c r="AH709">
        <v>13</v>
      </c>
      <c r="AI709">
        <v>913</v>
      </c>
      <c r="AJ709">
        <v>38.216865012521836</v>
      </c>
      <c r="AK709">
        <v>731.17142857143006</v>
      </c>
      <c r="AM709">
        <v>53.503611017530567</v>
      </c>
      <c r="AN709">
        <v>0</v>
      </c>
      <c r="AO709" t="s">
        <v>6162</v>
      </c>
      <c r="AP709" t="s">
        <v>3519</v>
      </c>
    </row>
    <row r="710" spans="1:42" x14ac:dyDescent="0.25">
      <c r="A710">
        <v>709</v>
      </c>
      <c r="B710" t="s">
        <v>1528</v>
      </c>
      <c r="C710" t="s">
        <v>1528</v>
      </c>
      <c r="D710" t="s">
        <v>5115</v>
      </c>
      <c r="E710" t="s">
        <v>5312</v>
      </c>
      <c r="F710" t="s">
        <v>157</v>
      </c>
      <c r="G710" t="s">
        <v>158</v>
      </c>
      <c r="H710" t="s">
        <v>159</v>
      </c>
      <c r="I710" t="s">
        <v>5316</v>
      </c>
      <c r="J710" t="s">
        <v>3087</v>
      </c>
      <c r="K710" t="s">
        <v>3088</v>
      </c>
      <c r="L710" t="s">
        <v>5100</v>
      </c>
      <c r="M710" t="s">
        <v>5116</v>
      </c>
      <c r="R710" t="s">
        <v>73</v>
      </c>
      <c r="S710" t="s">
        <v>73</v>
      </c>
      <c r="U710" t="s">
        <v>73</v>
      </c>
      <c r="V710" t="s">
        <v>73</v>
      </c>
      <c r="X710" t="s">
        <v>73</v>
      </c>
      <c r="Y710" t="s">
        <v>73</v>
      </c>
      <c r="AA710" t="s">
        <v>73</v>
      </c>
      <c r="AB710" t="s">
        <v>73</v>
      </c>
      <c r="AF710">
        <v>349.75242388594654</v>
      </c>
      <c r="AG710">
        <v>6.625</v>
      </c>
      <c r="AH710">
        <v>7</v>
      </c>
      <c r="AI710">
        <v>711</v>
      </c>
      <c r="AJ710">
        <v>75.336026539940647</v>
      </c>
      <c r="AK710">
        <v>663.9</v>
      </c>
      <c r="AL710">
        <v>2012</v>
      </c>
      <c r="AM710">
        <v>105.4704371559169</v>
      </c>
      <c r="AN710">
        <v>0</v>
      </c>
      <c r="AO710" t="s">
        <v>6163</v>
      </c>
      <c r="AP710" t="s">
        <v>5115</v>
      </c>
    </row>
    <row r="711" spans="1:42" x14ac:dyDescent="0.25">
      <c r="A711">
        <v>710</v>
      </c>
      <c r="B711" t="s">
        <v>3476</v>
      </c>
      <c r="C711" t="s">
        <v>3476</v>
      </c>
      <c r="D711" t="s">
        <v>3477</v>
      </c>
      <c r="E711" t="s">
        <v>137</v>
      </c>
      <c r="F711" t="s">
        <v>138</v>
      </c>
      <c r="G711" t="s">
        <v>139</v>
      </c>
      <c r="H711" t="s">
        <v>140</v>
      </c>
      <c r="J711" t="s">
        <v>142</v>
      </c>
      <c r="K711" t="s">
        <v>143</v>
      </c>
      <c r="L711" t="s">
        <v>4759</v>
      </c>
      <c r="M711" t="s">
        <v>4760</v>
      </c>
      <c r="O711" t="s">
        <v>3479</v>
      </c>
      <c r="P711" t="s">
        <v>3478</v>
      </c>
      <c r="Q711">
        <v>13</v>
      </c>
      <c r="R711" t="s">
        <v>2414</v>
      </c>
      <c r="S711" t="s">
        <v>2415</v>
      </c>
      <c r="T711">
        <v>3</v>
      </c>
      <c r="U711" t="s">
        <v>3137</v>
      </c>
      <c r="V711" t="s">
        <v>3136</v>
      </c>
      <c r="W711">
        <v>5</v>
      </c>
      <c r="X711" t="s">
        <v>2437</v>
      </c>
      <c r="Y711" t="s">
        <v>2438</v>
      </c>
      <c r="Z711">
        <v>1</v>
      </c>
      <c r="AA711" t="s">
        <v>73</v>
      </c>
      <c r="AB711" t="s">
        <v>73</v>
      </c>
      <c r="AE711" t="s">
        <v>3480</v>
      </c>
      <c r="AF711">
        <v>349.64153947557691</v>
      </c>
      <c r="AG711">
        <v>6.8888888888888999</v>
      </c>
      <c r="AH711">
        <v>8</v>
      </c>
      <c r="AI711">
        <v>764</v>
      </c>
      <c r="AJ711">
        <v>60.441216701257638</v>
      </c>
      <c r="AK711">
        <v>690.48888888889007</v>
      </c>
      <c r="AM711">
        <v>84.617703381760691</v>
      </c>
      <c r="AN711">
        <v>0</v>
      </c>
      <c r="AO711" t="s">
        <v>6164</v>
      </c>
      <c r="AP711" t="s">
        <v>3477</v>
      </c>
    </row>
    <row r="712" spans="1:42" x14ac:dyDescent="0.25">
      <c r="A712">
        <v>711</v>
      </c>
      <c r="B712" t="s">
        <v>2318</v>
      </c>
      <c r="C712" t="s">
        <v>2318</v>
      </c>
      <c r="D712" t="s">
        <v>2319</v>
      </c>
      <c r="E712" t="s">
        <v>67</v>
      </c>
      <c r="F712" t="s">
        <v>68</v>
      </c>
      <c r="G712" t="s">
        <v>3845</v>
      </c>
      <c r="H712" t="s">
        <v>3846</v>
      </c>
      <c r="I712" t="s">
        <v>2320</v>
      </c>
      <c r="J712" t="s">
        <v>328</v>
      </c>
      <c r="K712" t="s">
        <v>329</v>
      </c>
      <c r="L712" t="s">
        <v>5389</v>
      </c>
      <c r="M712" t="s">
        <v>5390</v>
      </c>
      <c r="R712" t="s">
        <v>73</v>
      </c>
      <c r="S712" t="s">
        <v>73</v>
      </c>
      <c r="U712" t="s">
        <v>73</v>
      </c>
      <c r="V712" t="s">
        <v>73</v>
      </c>
      <c r="X712" t="s">
        <v>73</v>
      </c>
      <c r="Y712" t="s">
        <v>73</v>
      </c>
      <c r="AA712" t="s">
        <v>73</v>
      </c>
      <c r="AB712" t="s">
        <v>73</v>
      </c>
      <c r="AE712" t="s">
        <v>5391</v>
      </c>
      <c r="AF712">
        <v>349.55378257089882</v>
      </c>
      <c r="AG712">
        <v>6.5333333333333004</v>
      </c>
      <c r="AH712">
        <v>14</v>
      </c>
      <c r="AI712">
        <v>689</v>
      </c>
      <c r="AJ712">
        <v>79.430128782482001</v>
      </c>
      <c r="AK712">
        <v>656.13333333333003</v>
      </c>
      <c r="AM712">
        <v>83.20218029547479</v>
      </c>
      <c r="AN712">
        <v>112</v>
      </c>
      <c r="AO712" t="s">
        <v>6165</v>
      </c>
      <c r="AP712" t="s">
        <v>2319</v>
      </c>
    </row>
    <row r="713" spans="1:42" x14ac:dyDescent="0.25">
      <c r="A713">
        <v>712</v>
      </c>
      <c r="B713" t="s">
        <v>3335</v>
      </c>
      <c r="C713" t="s">
        <v>3335</v>
      </c>
      <c r="D713" t="s">
        <v>4844</v>
      </c>
      <c r="E713" t="s">
        <v>229</v>
      </c>
      <c r="F713" t="s">
        <v>229</v>
      </c>
      <c r="G713" t="s">
        <v>69</v>
      </c>
      <c r="H713" t="s">
        <v>70</v>
      </c>
      <c r="I713" t="s">
        <v>4841</v>
      </c>
      <c r="L713" t="s">
        <v>4842</v>
      </c>
      <c r="M713" t="s">
        <v>4843</v>
      </c>
      <c r="R713" t="s">
        <v>73</v>
      </c>
      <c r="S713" t="s">
        <v>73</v>
      </c>
      <c r="U713" t="s">
        <v>73</v>
      </c>
      <c r="V713" t="s">
        <v>73</v>
      </c>
      <c r="X713" t="s">
        <v>73</v>
      </c>
      <c r="Y713" t="s">
        <v>73</v>
      </c>
      <c r="AA713" t="s">
        <v>73</v>
      </c>
      <c r="AB713" t="s">
        <v>73</v>
      </c>
      <c r="AF713">
        <v>349.49258425883852</v>
      </c>
      <c r="AG713">
        <v>5.5</v>
      </c>
      <c r="AH713">
        <v>5</v>
      </c>
      <c r="AI713">
        <v>427</v>
      </c>
      <c r="AJ713">
        <v>137.76953806537611</v>
      </c>
      <c r="AK713">
        <v>551</v>
      </c>
      <c r="AM713">
        <v>80.87735329152656</v>
      </c>
      <c r="AN713">
        <v>448</v>
      </c>
      <c r="AO713" t="s">
        <v>6166</v>
      </c>
      <c r="AP713" t="s">
        <v>4844</v>
      </c>
    </row>
    <row r="714" spans="1:42" x14ac:dyDescent="0.25">
      <c r="A714">
        <v>713</v>
      </c>
      <c r="B714" t="s">
        <v>3749</v>
      </c>
      <c r="C714" t="s">
        <v>3749</v>
      </c>
      <c r="D714" t="s">
        <v>4791</v>
      </c>
      <c r="E714" t="s">
        <v>556</v>
      </c>
      <c r="F714" t="s">
        <v>557</v>
      </c>
      <c r="G714" t="s">
        <v>60</v>
      </c>
      <c r="H714" t="s">
        <v>61</v>
      </c>
      <c r="J714" t="s">
        <v>3756</v>
      </c>
      <c r="K714" t="s">
        <v>3757</v>
      </c>
      <c r="L714" t="s">
        <v>4792</v>
      </c>
      <c r="M714" t="s">
        <v>4793</v>
      </c>
      <c r="Q714">
        <v>13</v>
      </c>
      <c r="R714" t="s">
        <v>2414</v>
      </c>
      <c r="S714" t="s">
        <v>2415</v>
      </c>
      <c r="T714">
        <v>3</v>
      </c>
      <c r="U714" t="s">
        <v>73</v>
      </c>
      <c r="V714" t="s">
        <v>73</v>
      </c>
      <c r="X714" t="s">
        <v>2440</v>
      </c>
      <c r="Y714" t="s">
        <v>2441</v>
      </c>
      <c r="Z714">
        <v>2</v>
      </c>
      <c r="AA714" t="s">
        <v>73</v>
      </c>
      <c r="AB714" t="s">
        <v>73</v>
      </c>
      <c r="AF714">
        <v>348.8</v>
      </c>
      <c r="AG714">
        <v>7.25</v>
      </c>
      <c r="AH714">
        <v>3</v>
      </c>
      <c r="AI714">
        <v>865</v>
      </c>
      <c r="AJ714">
        <v>40</v>
      </c>
      <c r="AK714">
        <v>725.6</v>
      </c>
      <c r="AM714">
        <v>0</v>
      </c>
      <c r="AN714">
        <v>224</v>
      </c>
      <c r="AO714" t="s">
        <v>6167</v>
      </c>
      <c r="AP714" t="s">
        <v>4791</v>
      </c>
    </row>
    <row r="715" spans="1:42" x14ac:dyDescent="0.25">
      <c r="A715">
        <v>714</v>
      </c>
      <c r="B715" t="s">
        <v>357</v>
      </c>
      <c r="C715" t="s">
        <v>357</v>
      </c>
      <c r="D715" t="s">
        <v>358</v>
      </c>
      <c r="E715" t="s">
        <v>199</v>
      </c>
      <c r="F715" t="s">
        <v>200</v>
      </c>
      <c r="I715" t="s">
        <v>359</v>
      </c>
      <c r="J715" t="s">
        <v>360</v>
      </c>
      <c r="K715" t="s">
        <v>361</v>
      </c>
      <c r="L715" t="s">
        <v>5195</v>
      </c>
      <c r="M715" t="s">
        <v>5196</v>
      </c>
      <c r="O715" t="s">
        <v>362</v>
      </c>
      <c r="P715" t="s">
        <v>363</v>
      </c>
      <c r="Q715">
        <v>12</v>
      </c>
      <c r="R715" t="s">
        <v>2406</v>
      </c>
      <c r="S715" t="s">
        <v>2407</v>
      </c>
      <c r="T715">
        <v>1</v>
      </c>
      <c r="U715" t="s">
        <v>2432</v>
      </c>
      <c r="V715" t="s">
        <v>2433</v>
      </c>
      <c r="W715">
        <v>7</v>
      </c>
      <c r="X715" t="s">
        <v>2446</v>
      </c>
      <c r="Y715" t="s">
        <v>2447</v>
      </c>
      <c r="Z715">
        <v>4</v>
      </c>
      <c r="AA715" t="s">
        <v>73</v>
      </c>
      <c r="AB715" t="s">
        <v>73</v>
      </c>
      <c r="AE715" t="s">
        <v>364</v>
      </c>
      <c r="AF715">
        <v>348.18952898596046</v>
      </c>
      <c r="AG715">
        <v>6</v>
      </c>
      <c r="AH715">
        <v>14</v>
      </c>
      <c r="AI715">
        <v>559</v>
      </c>
      <c r="AJ715">
        <v>107.54392109551166</v>
      </c>
      <c r="AK715">
        <v>602.79999999999995</v>
      </c>
      <c r="AL715">
        <v>2005</v>
      </c>
      <c r="AM715">
        <v>150.56148953371633</v>
      </c>
      <c r="AN715">
        <v>0</v>
      </c>
      <c r="AO715" t="s">
        <v>6168</v>
      </c>
      <c r="AP715" t="s">
        <v>358</v>
      </c>
    </row>
    <row r="716" spans="1:42" x14ac:dyDescent="0.25">
      <c r="A716">
        <v>715</v>
      </c>
      <c r="B716" t="s">
        <v>3553</v>
      </c>
      <c r="C716" t="s">
        <v>3553</v>
      </c>
      <c r="D716" t="s">
        <v>3552</v>
      </c>
      <c r="E716" t="s">
        <v>137</v>
      </c>
      <c r="F716" t="s">
        <v>138</v>
      </c>
      <c r="G716" t="s">
        <v>139</v>
      </c>
      <c r="H716" t="s">
        <v>140</v>
      </c>
      <c r="I716" t="s">
        <v>696</v>
      </c>
      <c r="J716" t="s">
        <v>426</v>
      </c>
      <c r="K716" t="s">
        <v>427</v>
      </c>
      <c r="L716" t="s">
        <v>4696</v>
      </c>
      <c r="M716" t="s">
        <v>4697</v>
      </c>
      <c r="Q716">
        <v>13</v>
      </c>
      <c r="R716" t="s">
        <v>2409</v>
      </c>
      <c r="S716" t="s">
        <v>2410</v>
      </c>
      <c r="T716">
        <v>2</v>
      </c>
      <c r="U716" t="s">
        <v>2432</v>
      </c>
      <c r="V716" t="s">
        <v>2433</v>
      </c>
      <c r="W716">
        <v>7</v>
      </c>
      <c r="X716" t="s">
        <v>2440</v>
      </c>
      <c r="Y716" t="s">
        <v>2441</v>
      </c>
      <c r="Z716">
        <v>2</v>
      </c>
      <c r="AA716" t="s">
        <v>73</v>
      </c>
      <c r="AB716" t="s">
        <v>73</v>
      </c>
      <c r="AF716">
        <v>348.04057956094732</v>
      </c>
      <c r="AG716">
        <v>6.3333333333333002</v>
      </c>
      <c r="AH716">
        <v>5</v>
      </c>
      <c r="AI716">
        <v>632</v>
      </c>
      <c r="AJ716">
        <v>89.859903215869238</v>
      </c>
      <c r="AK716">
        <v>634.33333333333007</v>
      </c>
      <c r="AM716">
        <v>125.80386450221692</v>
      </c>
      <c r="AN716">
        <v>0</v>
      </c>
      <c r="AO716" t="s">
        <v>6169</v>
      </c>
      <c r="AP716" t="s">
        <v>3552</v>
      </c>
    </row>
    <row r="717" spans="1:42" x14ac:dyDescent="0.25">
      <c r="A717">
        <v>716</v>
      </c>
      <c r="B717" t="s">
        <v>3680</v>
      </c>
      <c r="C717" t="s">
        <v>3680</v>
      </c>
      <c r="D717" t="s">
        <v>3681</v>
      </c>
      <c r="E717" t="s">
        <v>595</v>
      </c>
      <c r="F717" t="s">
        <v>596</v>
      </c>
      <c r="G717" t="s">
        <v>3167</v>
      </c>
      <c r="H717" t="s">
        <v>3166</v>
      </c>
      <c r="I717" t="s">
        <v>3682</v>
      </c>
      <c r="J717" t="s">
        <v>1037</v>
      </c>
      <c r="K717" t="s">
        <v>1038</v>
      </c>
      <c r="O717" t="s">
        <v>3998</v>
      </c>
      <c r="P717" t="s">
        <v>3998</v>
      </c>
      <c r="Q717">
        <v>13</v>
      </c>
      <c r="R717" t="s">
        <v>2417</v>
      </c>
      <c r="S717" t="s">
        <v>2418</v>
      </c>
      <c r="T717">
        <v>4</v>
      </c>
      <c r="U717" t="s">
        <v>3139</v>
      </c>
      <c r="V717" t="s">
        <v>3140</v>
      </c>
      <c r="W717">
        <v>4</v>
      </c>
      <c r="X717" t="s">
        <v>2437</v>
      </c>
      <c r="Y717" t="s">
        <v>2438</v>
      </c>
      <c r="Z717">
        <v>1</v>
      </c>
      <c r="AA717" t="s">
        <v>73</v>
      </c>
      <c r="AB717" t="s">
        <v>73</v>
      </c>
      <c r="AE717" t="s">
        <v>3999</v>
      </c>
      <c r="AF717">
        <v>347.91111111111002</v>
      </c>
      <c r="AG717">
        <v>7.2222222222222001</v>
      </c>
      <c r="AH717">
        <v>8</v>
      </c>
      <c r="AI717">
        <v>866</v>
      </c>
      <c r="AJ717">
        <v>40</v>
      </c>
      <c r="AK717">
        <v>723.82222222222003</v>
      </c>
      <c r="AM717">
        <v>0</v>
      </c>
      <c r="AN717">
        <v>224</v>
      </c>
      <c r="AO717" t="s">
        <v>6170</v>
      </c>
      <c r="AP717" t="s">
        <v>3681</v>
      </c>
    </row>
    <row r="718" spans="1:42" x14ac:dyDescent="0.25">
      <c r="A718">
        <v>717</v>
      </c>
      <c r="B718" t="s">
        <v>1542</v>
      </c>
      <c r="C718" t="s">
        <v>1542</v>
      </c>
      <c r="D718" t="s">
        <v>2535</v>
      </c>
      <c r="E718" t="s">
        <v>137</v>
      </c>
      <c r="F718" t="s">
        <v>138</v>
      </c>
      <c r="G718" t="s">
        <v>139</v>
      </c>
      <c r="H718" t="s">
        <v>140</v>
      </c>
      <c r="I718" t="s">
        <v>1543</v>
      </c>
      <c r="J718" t="s">
        <v>1234</v>
      </c>
      <c r="K718" t="s">
        <v>1235</v>
      </c>
      <c r="L718" t="s">
        <v>4595</v>
      </c>
      <c r="M718" t="s">
        <v>4596</v>
      </c>
      <c r="Q718">
        <v>13</v>
      </c>
      <c r="R718" t="s">
        <v>2406</v>
      </c>
      <c r="S718" t="s">
        <v>2407</v>
      </c>
      <c r="T718">
        <v>1</v>
      </c>
      <c r="U718" t="s">
        <v>2430</v>
      </c>
      <c r="V718" t="s">
        <v>2431</v>
      </c>
      <c r="W718">
        <v>6</v>
      </c>
      <c r="X718" t="s">
        <v>2446</v>
      </c>
      <c r="Y718" t="s">
        <v>2447</v>
      </c>
      <c r="Z718">
        <v>4</v>
      </c>
      <c r="AF718">
        <v>347.51127243637768</v>
      </c>
      <c r="AG718">
        <v>6.3333333333333002</v>
      </c>
      <c r="AH718">
        <v>11</v>
      </c>
      <c r="AI718">
        <v>638</v>
      </c>
      <c r="AJ718">
        <v>88.60511752190294</v>
      </c>
      <c r="AK718">
        <v>635.53333333333012</v>
      </c>
      <c r="AM718">
        <v>124.04716453066411</v>
      </c>
      <c r="AN718">
        <v>0</v>
      </c>
      <c r="AO718" t="s">
        <v>6171</v>
      </c>
      <c r="AP718" t="s">
        <v>2535</v>
      </c>
    </row>
    <row r="719" spans="1:42" x14ac:dyDescent="0.25">
      <c r="A719">
        <v>718</v>
      </c>
      <c r="B719" t="s">
        <v>1477</v>
      </c>
      <c r="C719" t="s">
        <v>1477</v>
      </c>
      <c r="D719" t="s">
        <v>3123</v>
      </c>
      <c r="E719" t="s">
        <v>1478</v>
      </c>
      <c r="F719" t="s">
        <v>1479</v>
      </c>
      <c r="G719" t="s">
        <v>632</v>
      </c>
      <c r="H719" t="s">
        <v>633</v>
      </c>
      <c r="R719" t="s">
        <v>2406</v>
      </c>
      <c r="S719" t="s">
        <v>2407</v>
      </c>
      <c r="T719">
        <v>1</v>
      </c>
      <c r="U719" t="s">
        <v>2430</v>
      </c>
      <c r="V719" t="s">
        <v>2431</v>
      </c>
      <c r="W719">
        <v>6</v>
      </c>
      <c r="X719" t="s">
        <v>2446</v>
      </c>
      <c r="Y719" t="s">
        <v>2447</v>
      </c>
      <c r="Z719">
        <v>4</v>
      </c>
      <c r="AA719" t="s">
        <v>73</v>
      </c>
      <c r="AB719" t="s">
        <v>73</v>
      </c>
      <c r="AF719">
        <v>347.47959992205398</v>
      </c>
      <c r="AG719">
        <v>5.6</v>
      </c>
      <c r="AH719">
        <v>4</v>
      </c>
      <c r="AI719">
        <v>453</v>
      </c>
      <c r="AJ719">
        <v>130.08844435783777</v>
      </c>
      <c r="AK719">
        <v>560.79999999999995</v>
      </c>
      <c r="AM719">
        <v>70.123822100972859</v>
      </c>
      <c r="AN719">
        <v>448</v>
      </c>
      <c r="AO719" t="s">
        <v>6172</v>
      </c>
      <c r="AP719" t="s">
        <v>3123</v>
      </c>
    </row>
    <row r="720" spans="1:42" x14ac:dyDescent="0.25">
      <c r="A720">
        <v>719</v>
      </c>
      <c r="B720" t="s">
        <v>3333</v>
      </c>
      <c r="C720" t="s">
        <v>4176</v>
      </c>
      <c r="D720" t="s">
        <v>3537</v>
      </c>
      <c r="E720" t="s">
        <v>137</v>
      </c>
      <c r="F720" t="s">
        <v>138</v>
      </c>
      <c r="G720" t="s">
        <v>139</v>
      </c>
      <c r="H720" t="s">
        <v>140</v>
      </c>
      <c r="J720" t="s">
        <v>1234</v>
      </c>
      <c r="K720" t="s">
        <v>1235</v>
      </c>
      <c r="L720" t="s">
        <v>4609</v>
      </c>
      <c r="M720" t="s">
        <v>4610</v>
      </c>
      <c r="R720" t="s">
        <v>73</v>
      </c>
      <c r="S720" t="s">
        <v>73</v>
      </c>
      <c r="U720" t="s">
        <v>73</v>
      </c>
      <c r="V720" t="s">
        <v>73</v>
      </c>
      <c r="X720" t="s">
        <v>73</v>
      </c>
      <c r="Y720" t="s">
        <v>73</v>
      </c>
      <c r="AA720" t="s">
        <v>73</v>
      </c>
      <c r="AB720" t="s">
        <v>73</v>
      </c>
      <c r="AF720">
        <v>347.36780290541844</v>
      </c>
      <c r="AG720">
        <v>6.8333333333333002</v>
      </c>
      <c r="AH720">
        <v>5</v>
      </c>
      <c r="AI720">
        <v>762</v>
      </c>
      <c r="AJ720">
        <v>61.334595820837137</v>
      </c>
      <c r="AK720">
        <v>684.33333333333007</v>
      </c>
      <c r="AM720">
        <v>85.868434149171989</v>
      </c>
      <c r="AN720">
        <v>0</v>
      </c>
      <c r="AO720" t="s">
        <v>6173</v>
      </c>
      <c r="AP720" t="s">
        <v>3537</v>
      </c>
    </row>
    <row r="721" spans="1:42" x14ac:dyDescent="0.25">
      <c r="A721">
        <v>720</v>
      </c>
      <c r="B721" t="s">
        <v>3692</v>
      </c>
      <c r="C721" t="s">
        <v>3692</v>
      </c>
      <c r="D721" t="s">
        <v>3693</v>
      </c>
      <c r="E721" t="s">
        <v>282</v>
      </c>
      <c r="F721" t="s">
        <v>283</v>
      </c>
      <c r="G721" t="s">
        <v>3167</v>
      </c>
      <c r="H721" t="s">
        <v>3166</v>
      </c>
      <c r="I721" t="s">
        <v>3694</v>
      </c>
      <c r="J721" t="s">
        <v>585</v>
      </c>
      <c r="K721" t="s">
        <v>586</v>
      </c>
      <c r="L721">
        <v>53.963611</v>
      </c>
      <c r="M721">
        <v>-2.0155560000000001</v>
      </c>
      <c r="N721" t="s">
        <v>4228</v>
      </c>
      <c r="O721" t="s">
        <v>3854</v>
      </c>
      <c r="P721" t="s">
        <v>3854</v>
      </c>
      <c r="Q721">
        <v>11</v>
      </c>
      <c r="R721" t="s">
        <v>2406</v>
      </c>
      <c r="S721" t="s">
        <v>2407</v>
      </c>
      <c r="T721">
        <v>1</v>
      </c>
      <c r="U721" t="s">
        <v>2426</v>
      </c>
      <c r="V721" t="s">
        <v>2427</v>
      </c>
      <c r="W721">
        <v>2</v>
      </c>
      <c r="X721" t="s">
        <v>2437</v>
      </c>
      <c r="Y721" t="s">
        <v>2438</v>
      </c>
      <c r="Z721">
        <v>1</v>
      </c>
      <c r="AA721" t="s">
        <v>73</v>
      </c>
      <c r="AB721" t="s">
        <v>73</v>
      </c>
      <c r="AE721" t="s">
        <v>3855</v>
      </c>
      <c r="AF721">
        <v>346.9</v>
      </c>
      <c r="AG721">
        <v>7.2</v>
      </c>
      <c r="AH721">
        <v>9</v>
      </c>
      <c r="AI721">
        <v>867</v>
      </c>
      <c r="AJ721">
        <v>40</v>
      </c>
      <c r="AK721">
        <v>721.8</v>
      </c>
      <c r="AM721">
        <v>0</v>
      </c>
      <c r="AN721">
        <v>224</v>
      </c>
      <c r="AO721" t="s">
        <v>6174</v>
      </c>
      <c r="AP721" t="s">
        <v>3693</v>
      </c>
    </row>
    <row r="722" spans="1:42" x14ac:dyDescent="0.25">
      <c r="A722">
        <v>721</v>
      </c>
      <c r="B722" t="s">
        <v>1690</v>
      </c>
      <c r="C722" t="s">
        <v>1690</v>
      </c>
      <c r="D722" t="s">
        <v>1691</v>
      </c>
      <c r="E722" t="s">
        <v>218</v>
      </c>
      <c r="F722" t="s">
        <v>219</v>
      </c>
      <c r="G722" t="s">
        <v>69</v>
      </c>
      <c r="H722" t="s">
        <v>70</v>
      </c>
      <c r="I722" t="s">
        <v>1692</v>
      </c>
      <c r="J722" t="s">
        <v>220</v>
      </c>
      <c r="K722" t="s">
        <v>221</v>
      </c>
      <c r="L722" t="s">
        <v>4994</v>
      </c>
      <c r="M722" t="s">
        <v>4995</v>
      </c>
      <c r="Q722">
        <v>13</v>
      </c>
      <c r="R722" t="s">
        <v>2409</v>
      </c>
      <c r="S722" t="s">
        <v>2410</v>
      </c>
      <c r="T722">
        <v>2</v>
      </c>
      <c r="U722" t="s">
        <v>73</v>
      </c>
      <c r="V722" t="s">
        <v>73</v>
      </c>
      <c r="X722" t="s">
        <v>73</v>
      </c>
      <c r="Y722" t="s">
        <v>73</v>
      </c>
      <c r="AA722" t="s">
        <v>73</v>
      </c>
      <c r="AB722" t="s">
        <v>73</v>
      </c>
      <c r="AF722">
        <v>346.9</v>
      </c>
      <c r="AG722">
        <v>7.2</v>
      </c>
      <c r="AH722">
        <v>9</v>
      </c>
      <c r="AI722">
        <v>868</v>
      </c>
      <c r="AJ722">
        <v>40</v>
      </c>
      <c r="AK722">
        <v>721.8</v>
      </c>
      <c r="AM722">
        <v>0</v>
      </c>
      <c r="AN722">
        <v>224</v>
      </c>
      <c r="AO722" t="s">
        <v>6175</v>
      </c>
      <c r="AP722" t="s">
        <v>1691</v>
      </c>
    </row>
    <row r="723" spans="1:42" x14ac:dyDescent="0.25">
      <c r="A723">
        <v>722</v>
      </c>
      <c r="B723" t="s">
        <v>731</v>
      </c>
      <c r="C723" t="s">
        <v>731</v>
      </c>
      <c r="D723" t="s">
        <v>732</v>
      </c>
      <c r="E723" t="s">
        <v>67</v>
      </c>
      <c r="F723" t="s">
        <v>68</v>
      </c>
      <c r="G723" t="s">
        <v>3845</v>
      </c>
      <c r="H723" t="s">
        <v>3846</v>
      </c>
      <c r="I723" t="s">
        <v>733</v>
      </c>
      <c r="J723" t="s">
        <v>71</v>
      </c>
      <c r="K723" t="s">
        <v>72</v>
      </c>
      <c r="L723" t="s">
        <v>5362</v>
      </c>
      <c r="M723" t="s">
        <v>5363</v>
      </c>
      <c r="Q723">
        <v>10</v>
      </c>
      <c r="R723" t="s">
        <v>2409</v>
      </c>
      <c r="S723" t="s">
        <v>2410</v>
      </c>
      <c r="T723">
        <v>2</v>
      </c>
      <c r="U723" t="s">
        <v>73</v>
      </c>
      <c r="V723" t="s">
        <v>73</v>
      </c>
      <c r="X723" t="s">
        <v>2446</v>
      </c>
      <c r="Y723" t="s">
        <v>2447</v>
      </c>
      <c r="Z723">
        <v>4</v>
      </c>
      <c r="AA723" t="s">
        <v>73</v>
      </c>
      <c r="AB723" t="s">
        <v>73</v>
      </c>
      <c r="AF723">
        <v>346.79095611359344</v>
      </c>
      <c r="AG723">
        <v>5.3636363636363997</v>
      </c>
      <c r="AH723">
        <v>10</v>
      </c>
      <c r="AI723">
        <v>402</v>
      </c>
      <c r="AJ723">
        <v>141.78793103530381</v>
      </c>
      <c r="AK723">
        <v>538.36363636364001</v>
      </c>
      <c r="AM723">
        <v>170.50310344942531</v>
      </c>
      <c r="AN723">
        <v>112</v>
      </c>
      <c r="AO723" t="s">
        <v>6176</v>
      </c>
      <c r="AP723" t="s">
        <v>732</v>
      </c>
    </row>
    <row r="724" spans="1:42" x14ac:dyDescent="0.25">
      <c r="A724">
        <v>723</v>
      </c>
      <c r="B724" t="s">
        <v>2140</v>
      </c>
      <c r="C724" t="s">
        <v>2140</v>
      </c>
      <c r="D724" t="s">
        <v>2688</v>
      </c>
      <c r="E724" t="s">
        <v>471</v>
      </c>
      <c r="F724" t="s">
        <v>472</v>
      </c>
      <c r="G724" t="s">
        <v>93</v>
      </c>
      <c r="H724" t="s">
        <v>94</v>
      </c>
      <c r="I724" t="s">
        <v>3227</v>
      </c>
      <c r="J724" t="s">
        <v>3246</v>
      </c>
      <c r="K724" t="s">
        <v>3203</v>
      </c>
      <c r="O724" t="s">
        <v>3225</v>
      </c>
      <c r="P724" t="s">
        <v>3225</v>
      </c>
      <c r="Q724">
        <v>14</v>
      </c>
      <c r="R724" t="s">
        <v>2409</v>
      </c>
      <c r="S724" t="s">
        <v>2410</v>
      </c>
      <c r="T724">
        <v>2</v>
      </c>
      <c r="U724" t="s">
        <v>2432</v>
      </c>
      <c r="V724" t="s">
        <v>2433</v>
      </c>
      <c r="W724">
        <v>7</v>
      </c>
      <c r="X724" t="s">
        <v>2446</v>
      </c>
      <c r="Y724" t="s">
        <v>2447</v>
      </c>
      <c r="Z724">
        <v>4</v>
      </c>
      <c r="AE724" t="s">
        <v>3226</v>
      </c>
      <c r="AF724">
        <v>346.74381896249065</v>
      </c>
      <c r="AG724">
        <v>7</v>
      </c>
      <c r="AH724">
        <v>7</v>
      </c>
      <c r="AI724">
        <v>815</v>
      </c>
      <c r="AJ724">
        <v>51.159798847211817</v>
      </c>
      <c r="AK724">
        <v>701.4</v>
      </c>
      <c r="AM724">
        <v>43.623718386096542</v>
      </c>
      <c r="AN724">
        <v>112</v>
      </c>
      <c r="AO724" t="s">
        <v>6177</v>
      </c>
      <c r="AP724" t="s">
        <v>2688</v>
      </c>
    </row>
    <row r="725" spans="1:42" x14ac:dyDescent="0.25">
      <c r="A725">
        <v>724</v>
      </c>
      <c r="B725" t="s">
        <v>2276</v>
      </c>
      <c r="C725" t="s">
        <v>4171</v>
      </c>
      <c r="D725" t="s">
        <v>5058</v>
      </c>
      <c r="E725" t="s">
        <v>199</v>
      </c>
      <c r="F725" t="s">
        <v>200</v>
      </c>
      <c r="I725" t="s">
        <v>3029</v>
      </c>
      <c r="J725" t="s">
        <v>202</v>
      </c>
      <c r="K725" t="s">
        <v>203</v>
      </c>
      <c r="L725" t="s">
        <v>5059</v>
      </c>
      <c r="M725" t="s">
        <v>5060</v>
      </c>
      <c r="R725" t="s">
        <v>2409</v>
      </c>
      <c r="S725" t="s">
        <v>2410</v>
      </c>
      <c r="T725">
        <v>2</v>
      </c>
      <c r="U725" t="s">
        <v>2432</v>
      </c>
      <c r="V725" t="s">
        <v>2433</v>
      </c>
      <c r="W725">
        <v>7</v>
      </c>
      <c r="X725" t="s">
        <v>2446</v>
      </c>
      <c r="Y725" t="s">
        <v>2447</v>
      </c>
      <c r="Z725">
        <v>4</v>
      </c>
      <c r="AA725" t="s">
        <v>73</v>
      </c>
      <c r="AB725" t="s">
        <v>73</v>
      </c>
      <c r="AE725" t="s">
        <v>5064</v>
      </c>
      <c r="AF725">
        <v>346.31174861056945</v>
      </c>
      <c r="AG725">
        <v>7.3571428571429003</v>
      </c>
      <c r="AH725">
        <v>13</v>
      </c>
      <c r="AI725">
        <v>927</v>
      </c>
      <c r="AJ725">
        <v>30.171784170471607</v>
      </c>
      <c r="AK725">
        <v>738.31428571429001</v>
      </c>
      <c r="AM725">
        <v>42.240497838660247</v>
      </c>
      <c r="AN725">
        <v>0</v>
      </c>
      <c r="AO725" t="s">
        <v>6178</v>
      </c>
      <c r="AP725" t="s">
        <v>5058</v>
      </c>
    </row>
    <row r="726" spans="1:42" x14ac:dyDescent="0.25">
      <c r="A726">
        <v>725</v>
      </c>
      <c r="B726" t="s">
        <v>3473</v>
      </c>
      <c r="C726" t="s">
        <v>3473</v>
      </c>
      <c r="D726" t="s">
        <v>3482</v>
      </c>
      <c r="E726" t="s">
        <v>67</v>
      </c>
      <c r="F726" t="s">
        <v>68</v>
      </c>
      <c r="G726" t="s">
        <v>3845</v>
      </c>
      <c r="H726" t="s">
        <v>3846</v>
      </c>
      <c r="I726" t="s">
        <v>3474</v>
      </c>
      <c r="J726" t="s">
        <v>71</v>
      </c>
      <c r="K726" t="s">
        <v>72</v>
      </c>
      <c r="L726" t="s">
        <v>5364</v>
      </c>
      <c r="M726" t="s">
        <v>5365</v>
      </c>
      <c r="Q726">
        <v>15</v>
      </c>
      <c r="R726" t="s">
        <v>2420</v>
      </c>
      <c r="S726" t="s">
        <v>2421</v>
      </c>
      <c r="T726">
        <v>5</v>
      </c>
      <c r="U726" t="s">
        <v>3137</v>
      </c>
      <c r="V726" t="s">
        <v>3136</v>
      </c>
      <c r="W726">
        <v>5</v>
      </c>
      <c r="X726" t="s">
        <v>2443</v>
      </c>
      <c r="Y726" t="s">
        <v>2444</v>
      </c>
      <c r="Z726">
        <v>3</v>
      </c>
      <c r="AA726" t="s">
        <v>73</v>
      </c>
      <c r="AB726" t="s">
        <v>73</v>
      </c>
      <c r="AF726">
        <v>346.15205456027797</v>
      </c>
      <c r="AG726">
        <v>4.8</v>
      </c>
      <c r="AH726">
        <v>4</v>
      </c>
      <c r="AI726">
        <v>290</v>
      </c>
      <c r="AJ726">
        <v>173.05783840030884</v>
      </c>
      <c r="AK726">
        <v>480.8</v>
      </c>
      <c r="AM726">
        <v>214.28097376043237</v>
      </c>
      <c r="AN726">
        <v>112</v>
      </c>
      <c r="AO726" t="s">
        <v>6179</v>
      </c>
      <c r="AP726" t="s">
        <v>3482</v>
      </c>
    </row>
    <row r="727" spans="1:42" x14ac:dyDescent="0.25">
      <c r="A727">
        <v>726</v>
      </c>
      <c r="B727" t="s">
        <v>1793</v>
      </c>
      <c r="C727" t="s">
        <v>1793</v>
      </c>
      <c r="D727" t="s">
        <v>5414</v>
      </c>
      <c r="E727" t="s">
        <v>67</v>
      </c>
      <c r="F727" t="s">
        <v>68</v>
      </c>
      <c r="G727" t="s">
        <v>69</v>
      </c>
      <c r="H727" t="s">
        <v>70</v>
      </c>
      <c r="I727" t="s">
        <v>1794</v>
      </c>
      <c r="J727" t="s">
        <v>1795</v>
      </c>
      <c r="K727" t="s">
        <v>1796</v>
      </c>
      <c r="L727" t="s">
        <v>5381</v>
      </c>
      <c r="M727" t="s">
        <v>5382</v>
      </c>
      <c r="Q727">
        <v>15</v>
      </c>
      <c r="R727" t="s">
        <v>2409</v>
      </c>
      <c r="S727" t="s">
        <v>2410</v>
      </c>
      <c r="T727">
        <v>2</v>
      </c>
      <c r="U727" t="s">
        <v>3137</v>
      </c>
      <c r="V727" t="s">
        <v>3136</v>
      </c>
      <c r="W727">
        <v>5</v>
      </c>
      <c r="X727" t="s">
        <v>2437</v>
      </c>
      <c r="Y727" t="s">
        <v>2438</v>
      </c>
      <c r="Z727">
        <v>1</v>
      </c>
      <c r="AA727" t="s">
        <v>73</v>
      </c>
      <c r="AB727" t="s">
        <v>73</v>
      </c>
      <c r="AE727" t="s">
        <v>1797</v>
      </c>
      <c r="AF727">
        <v>346.07058823529502</v>
      </c>
      <c r="AG727">
        <v>7.5294117647059</v>
      </c>
      <c r="AH727">
        <v>16</v>
      </c>
      <c r="AI727">
        <v>943</v>
      </c>
      <c r="AJ727">
        <v>20</v>
      </c>
      <c r="AK727">
        <v>756.14117647059004</v>
      </c>
      <c r="AM727">
        <v>0</v>
      </c>
      <c r="AN727">
        <v>112</v>
      </c>
      <c r="AO727" t="s">
        <v>6180</v>
      </c>
      <c r="AP727" t="s">
        <v>5414</v>
      </c>
    </row>
    <row r="728" spans="1:42" x14ac:dyDescent="0.25">
      <c r="A728">
        <v>727</v>
      </c>
      <c r="B728" t="s">
        <v>1639</v>
      </c>
      <c r="C728" t="s">
        <v>1639</v>
      </c>
      <c r="D728" t="s">
        <v>1640</v>
      </c>
      <c r="E728" t="s">
        <v>218</v>
      </c>
      <c r="F728" t="s">
        <v>219</v>
      </c>
      <c r="G728" t="s">
        <v>69</v>
      </c>
      <c r="H728" t="s">
        <v>70</v>
      </c>
      <c r="I728" t="s">
        <v>4985</v>
      </c>
      <c r="J728" t="s">
        <v>1641</v>
      </c>
      <c r="K728" t="s">
        <v>1642</v>
      </c>
      <c r="L728" t="s">
        <v>4986</v>
      </c>
      <c r="M728" t="s">
        <v>4987</v>
      </c>
      <c r="R728" t="s">
        <v>73</v>
      </c>
      <c r="S728" t="s">
        <v>73</v>
      </c>
      <c r="U728" t="s">
        <v>73</v>
      </c>
      <c r="V728" t="s">
        <v>73</v>
      </c>
      <c r="X728" t="s">
        <v>73</v>
      </c>
      <c r="Y728" t="s">
        <v>73</v>
      </c>
      <c r="AF728">
        <v>346.03333333333495</v>
      </c>
      <c r="AG728">
        <v>7.1666666666666998</v>
      </c>
      <c r="AH728">
        <v>17</v>
      </c>
      <c r="AI728">
        <v>869</v>
      </c>
      <c r="AJ728">
        <v>40</v>
      </c>
      <c r="AK728">
        <v>720.0666666666699</v>
      </c>
      <c r="AM728">
        <v>0</v>
      </c>
      <c r="AN728">
        <v>224</v>
      </c>
      <c r="AO728" t="s">
        <v>6181</v>
      </c>
      <c r="AP728" t="s">
        <v>1640</v>
      </c>
    </row>
    <row r="729" spans="1:42" x14ac:dyDescent="0.25">
      <c r="A729">
        <v>728</v>
      </c>
      <c r="B729" t="s">
        <v>1557</v>
      </c>
      <c r="C729" t="s">
        <v>1557</v>
      </c>
      <c r="D729" t="s">
        <v>3097</v>
      </c>
      <c r="E729" t="s">
        <v>5312</v>
      </c>
      <c r="F729" t="s">
        <v>157</v>
      </c>
      <c r="G729" t="s">
        <v>158</v>
      </c>
      <c r="H729" t="s">
        <v>159</v>
      </c>
      <c r="I729" t="s">
        <v>3898</v>
      </c>
      <c r="J729" t="s">
        <v>3085</v>
      </c>
      <c r="K729" t="s">
        <v>3086</v>
      </c>
      <c r="L729" t="s">
        <v>5292</v>
      </c>
      <c r="M729" t="s">
        <v>5293</v>
      </c>
      <c r="R729" t="s">
        <v>73</v>
      </c>
      <c r="S729" t="s">
        <v>73</v>
      </c>
      <c r="U729" t="s">
        <v>73</v>
      </c>
      <c r="V729" t="s">
        <v>73</v>
      </c>
      <c r="X729" t="s">
        <v>73</v>
      </c>
      <c r="Y729" t="s">
        <v>73</v>
      </c>
      <c r="AF729">
        <v>345.20294039998709</v>
      </c>
      <c r="AG729">
        <v>7.1428571428570997</v>
      </c>
      <c r="AH729">
        <v>6</v>
      </c>
      <c r="AI729">
        <v>838</v>
      </c>
      <c r="AJ729">
        <v>41.622314730146705</v>
      </c>
      <c r="AK729">
        <v>715.48571428571006</v>
      </c>
      <c r="AM729">
        <v>58.271240622205383</v>
      </c>
      <c r="AN729">
        <v>0</v>
      </c>
      <c r="AO729" t="s">
        <v>6182</v>
      </c>
      <c r="AP729" t="s">
        <v>3097</v>
      </c>
    </row>
    <row r="730" spans="1:42" x14ac:dyDescent="0.25">
      <c r="A730">
        <v>729</v>
      </c>
      <c r="B730" t="s">
        <v>377</v>
      </c>
      <c r="C730" t="s">
        <v>377</v>
      </c>
      <c r="D730" t="s">
        <v>378</v>
      </c>
      <c r="E730" t="s">
        <v>3169</v>
      </c>
      <c r="F730" t="s">
        <v>379</v>
      </c>
      <c r="G730" t="s">
        <v>162</v>
      </c>
      <c r="H730" t="s">
        <v>163</v>
      </c>
      <c r="J730" t="s">
        <v>380</v>
      </c>
      <c r="K730" t="s">
        <v>381</v>
      </c>
      <c r="R730" t="s">
        <v>73</v>
      </c>
      <c r="S730" t="s">
        <v>73</v>
      </c>
      <c r="U730" t="s">
        <v>73</v>
      </c>
      <c r="V730" t="s">
        <v>73</v>
      </c>
      <c r="X730" t="s">
        <v>73</v>
      </c>
      <c r="Y730" t="s">
        <v>73</v>
      </c>
      <c r="AA730" t="s">
        <v>73</v>
      </c>
      <c r="AB730" t="s">
        <v>73</v>
      </c>
      <c r="AF730">
        <v>345.19716424092132</v>
      </c>
      <c r="AG730">
        <v>4.8</v>
      </c>
      <c r="AH730">
        <v>4</v>
      </c>
      <c r="AI730">
        <v>292</v>
      </c>
      <c r="AJ730">
        <v>171.99684915657926</v>
      </c>
      <c r="AK730">
        <v>480.8</v>
      </c>
      <c r="AM730">
        <v>134.79558881921093</v>
      </c>
      <c r="AN730">
        <v>424</v>
      </c>
      <c r="AO730" t="s">
        <v>6183</v>
      </c>
      <c r="AP730" t="s">
        <v>378</v>
      </c>
    </row>
    <row r="731" spans="1:42" x14ac:dyDescent="0.25">
      <c r="A731">
        <v>730</v>
      </c>
      <c r="B731" t="s">
        <v>2383</v>
      </c>
      <c r="C731" t="s">
        <v>2383</v>
      </c>
      <c r="D731" t="s">
        <v>2384</v>
      </c>
      <c r="E731" t="s">
        <v>282</v>
      </c>
      <c r="F731" t="s">
        <v>283</v>
      </c>
      <c r="G731" t="s">
        <v>3167</v>
      </c>
      <c r="H731" t="s">
        <v>3166</v>
      </c>
      <c r="I731" t="s">
        <v>1771</v>
      </c>
      <c r="J731" t="s">
        <v>368</v>
      </c>
      <c r="K731" t="s">
        <v>369</v>
      </c>
      <c r="R731" t="s">
        <v>73</v>
      </c>
      <c r="S731" t="s">
        <v>73</v>
      </c>
      <c r="U731" t="s">
        <v>73</v>
      </c>
      <c r="V731" t="s">
        <v>73</v>
      </c>
      <c r="X731" t="s">
        <v>73</v>
      </c>
      <c r="Y731" t="s">
        <v>73</v>
      </c>
      <c r="AA731" t="s">
        <v>73</v>
      </c>
      <c r="AB731" t="s">
        <v>73</v>
      </c>
      <c r="AF731">
        <v>345.05250914322176</v>
      </c>
      <c r="AG731">
        <v>5.8571428571429003</v>
      </c>
      <c r="AH731">
        <v>6</v>
      </c>
      <c r="AI731">
        <v>541</v>
      </c>
      <c r="AJ731">
        <v>112.88374031786303</v>
      </c>
      <c r="AK731">
        <v>586.91428571429003</v>
      </c>
      <c r="AM731">
        <v>102.03723644500823</v>
      </c>
      <c r="AN731">
        <v>224</v>
      </c>
      <c r="AO731" t="s">
        <v>6184</v>
      </c>
      <c r="AP731" t="s">
        <v>2384</v>
      </c>
    </row>
    <row r="732" spans="1:42" x14ac:dyDescent="0.25">
      <c r="A732">
        <v>731</v>
      </c>
      <c r="B732" t="s">
        <v>2747</v>
      </c>
      <c r="C732" t="s">
        <v>2747</v>
      </c>
      <c r="D732" t="s">
        <v>4570</v>
      </c>
      <c r="E732" t="s">
        <v>199</v>
      </c>
      <c r="F732" t="s">
        <v>200</v>
      </c>
      <c r="I732" t="s">
        <v>1716</v>
      </c>
      <c r="J732" t="s">
        <v>3164</v>
      </c>
      <c r="K732" t="s">
        <v>309</v>
      </c>
      <c r="L732" t="s">
        <v>4568</v>
      </c>
      <c r="M732" t="s">
        <v>4569</v>
      </c>
      <c r="R732" t="s">
        <v>2420</v>
      </c>
      <c r="S732" t="s">
        <v>2421</v>
      </c>
      <c r="T732">
        <v>5</v>
      </c>
      <c r="U732" t="s">
        <v>73</v>
      </c>
      <c r="V732" t="s">
        <v>73</v>
      </c>
      <c r="X732" t="s">
        <v>73</v>
      </c>
      <c r="Y732" t="s">
        <v>73</v>
      </c>
      <c r="AA732" t="s">
        <v>73</v>
      </c>
      <c r="AB732" t="s">
        <v>73</v>
      </c>
      <c r="AF732">
        <v>344.98024325913127</v>
      </c>
      <c r="AG732">
        <v>7.4</v>
      </c>
      <c r="AH732">
        <v>19</v>
      </c>
      <c r="AI732">
        <v>935</v>
      </c>
      <c r="AJ732">
        <v>25.644714732368083</v>
      </c>
      <c r="AK732">
        <v>743.8</v>
      </c>
      <c r="AM732">
        <v>35.902600625315316</v>
      </c>
      <c r="AN732">
        <v>0</v>
      </c>
      <c r="AO732" t="s">
        <v>6185</v>
      </c>
      <c r="AP732" t="s">
        <v>4570</v>
      </c>
    </row>
    <row r="733" spans="1:42" x14ac:dyDescent="0.25">
      <c r="A733">
        <v>732</v>
      </c>
      <c r="B733" t="s">
        <v>3576</v>
      </c>
      <c r="C733" t="s">
        <v>3576</v>
      </c>
      <c r="D733" t="s">
        <v>3577</v>
      </c>
      <c r="E733" t="s">
        <v>218</v>
      </c>
      <c r="F733" t="s">
        <v>219</v>
      </c>
      <c r="G733" t="s">
        <v>69</v>
      </c>
      <c r="H733" t="s">
        <v>70</v>
      </c>
      <c r="I733" t="s">
        <v>3581</v>
      </c>
      <c r="J733" t="s">
        <v>408</v>
      </c>
      <c r="K733" t="s">
        <v>409</v>
      </c>
      <c r="L733" t="s">
        <v>4952</v>
      </c>
      <c r="M733" t="s">
        <v>4953</v>
      </c>
      <c r="R733" t="s">
        <v>73</v>
      </c>
      <c r="S733" t="s">
        <v>73</v>
      </c>
      <c r="U733" t="s">
        <v>73</v>
      </c>
      <c r="V733" t="s">
        <v>73</v>
      </c>
      <c r="X733" t="s">
        <v>73</v>
      </c>
      <c r="Y733" t="s">
        <v>73</v>
      </c>
      <c r="AA733" t="s">
        <v>73</v>
      </c>
      <c r="AB733" t="s">
        <v>73</v>
      </c>
      <c r="AF733">
        <v>344.83333333333496</v>
      </c>
      <c r="AG733">
        <v>7.1666666666666998</v>
      </c>
      <c r="AH733">
        <v>5</v>
      </c>
      <c r="AI733">
        <v>870</v>
      </c>
      <c r="AJ733">
        <v>40</v>
      </c>
      <c r="AK733">
        <v>717.66666666666993</v>
      </c>
      <c r="AM733">
        <v>0</v>
      </c>
      <c r="AN733">
        <v>224</v>
      </c>
      <c r="AO733" t="s">
        <v>6186</v>
      </c>
      <c r="AP733" t="s">
        <v>3577</v>
      </c>
    </row>
    <row r="734" spans="1:42" x14ac:dyDescent="0.25">
      <c r="A734">
        <v>733</v>
      </c>
      <c r="B734" t="s">
        <v>1910</v>
      </c>
      <c r="C734" t="s">
        <v>1910</v>
      </c>
      <c r="D734" t="s">
        <v>1911</v>
      </c>
      <c r="E734" t="s">
        <v>255</v>
      </c>
      <c r="F734" t="s">
        <v>256</v>
      </c>
      <c r="G734" t="s">
        <v>257</v>
      </c>
      <c r="H734" t="s">
        <v>258</v>
      </c>
      <c r="I734" t="s">
        <v>1912</v>
      </c>
      <c r="J734" t="s">
        <v>1913</v>
      </c>
      <c r="K734" t="s">
        <v>1914</v>
      </c>
      <c r="L734">
        <v>52.497880840100002</v>
      </c>
      <c r="M734">
        <v>6.2888336485999998</v>
      </c>
      <c r="N734" t="s">
        <v>4239</v>
      </c>
      <c r="O734" t="s">
        <v>2612</v>
      </c>
      <c r="P734" t="s">
        <v>2613</v>
      </c>
      <c r="Q734">
        <v>13</v>
      </c>
      <c r="R734" t="s">
        <v>2414</v>
      </c>
      <c r="S734" t="s">
        <v>2415</v>
      </c>
      <c r="T734">
        <v>3</v>
      </c>
      <c r="U734" t="s">
        <v>2432</v>
      </c>
      <c r="V734" t="s">
        <v>2433</v>
      </c>
      <c r="W734">
        <v>7</v>
      </c>
      <c r="X734" t="s">
        <v>2446</v>
      </c>
      <c r="Y734" t="s">
        <v>2447</v>
      </c>
      <c r="Z734">
        <v>4</v>
      </c>
      <c r="AA734" t="s">
        <v>1915</v>
      </c>
      <c r="AB734" t="s">
        <v>1915</v>
      </c>
      <c r="AC734" t="s">
        <v>1916</v>
      </c>
      <c r="AD734" t="s">
        <v>1916</v>
      </c>
      <c r="AF734">
        <v>344.42354657317543</v>
      </c>
      <c r="AG734">
        <v>6.6261682242991</v>
      </c>
      <c r="AH734">
        <v>106</v>
      </c>
      <c r="AI734">
        <v>801</v>
      </c>
      <c r="AJ734">
        <v>58.35015039802267</v>
      </c>
      <c r="AK734">
        <v>683.81682242991008</v>
      </c>
      <c r="AM734">
        <v>81.690210557231737</v>
      </c>
      <c r="AN734">
        <v>0</v>
      </c>
      <c r="AO734" t="s">
        <v>6187</v>
      </c>
      <c r="AP734" t="s">
        <v>1911</v>
      </c>
    </row>
    <row r="735" spans="1:42" x14ac:dyDescent="0.25">
      <c r="A735">
        <v>734</v>
      </c>
      <c r="B735" t="s">
        <v>827</v>
      </c>
      <c r="C735" t="s">
        <v>827</v>
      </c>
      <c r="D735" t="s">
        <v>828</v>
      </c>
      <c r="E735" t="s">
        <v>282</v>
      </c>
      <c r="F735" t="s">
        <v>283</v>
      </c>
      <c r="G735" t="s">
        <v>3167</v>
      </c>
      <c r="H735" t="s">
        <v>3166</v>
      </c>
      <c r="I735" t="s">
        <v>284</v>
      </c>
      <c r="J735" t="s">
        <v>285</v>
      </c>
      <c r="K735" t="s">
        <v>286</v>
      </c>
      <c r="L735">
        <v>53.963611</v>
      </c>
      <c r="M735">
        <v>-2.0155560000000001</v>
      </c>
      <c r="N735" t="s">
        <v>4228</v>
      </c>
      <c r="R735" t="s">
        <v>73</v>
      </c>
      <c r="S735" t="s">
        <v>73</v>
      </c>
      <c r="U735" t="s">
        <v>73</v>
      </c>
      <c r="V735" t="s">
        <v>73</v>
      </c>
      <c r="X735" t="s">
        <v>73</v>
      </c>
      <c r="Y735" t="s">
        <v>73</v>
      </c>
      <c r="AA735" t="s">
        <v>73</v>
      </c>
      <c r="AB735" t="s">
        <v>73</v>
      </c>
      <c r="AF735">
        <v>344.42083242260816</v>
      </c>
      <c r="AG735">
        <v>6.3846153846154001</v>
      </c>
      <c r="AH735">
        <v>12</v>
      </c>
      <c r="AI735">
        <v>661</v>
      </c>
      <c r="AJ735">
        <v>82.211181324264587</v>
      </c>
      <c r="AK735">
        <v>640.86153846154002</v>
      </c>
      <c r="AM735">
        <v>59.095653853970404</v>
      </c>
      <c r="AN735">
        <v>224</v>
      </c>
      <c r="AO735" t="s">
        <v>6188</v>
      </c>
      <c r="AP735" t="s">
        <v>828</v>
      </c>
    </row>
    <row r="736" spans="1:42" x14ac:dyDescent="0.25">
      <c r="A736">
        <v>735</v>
      </c>
      <c r="B736" t="s">
        <v>673</v>
      </c>
      <c r="C736" t="s">
        <v>673</v>
      </c>
      <c r="D736" t="s">
        <v>674</v>
      </c>
      <c r="E736" t="s">
        <v>161</v>
      </c>
      <c r="F736" t="s">
        <v>161</v>
      </c>
      <c r="G736" t="s">
        <v>3167</v>
      </c>
      <c r="H736" t="s">
        <v>3166</v>
      </c>
      <c r="J736" t="s">
        <v>675</v>
      </c>
      <c r="K736" t="s">
        <v>676</v>
      </c>
      <c r="R736" t="s">
        <v>73</v>
      </c>
      <c r="S736" t="s">
        <v>73</v>
      </c>
      <c r="U736" t="s">
        <v>73</v>
      </c>
      <c r="V736" t="s">
        <v>73</v>
      </c>
      <c r="X736" t="s">
        <v>73</v>
      </c>
      <c r="Y736" t="s">
        <v>73</v>
      </c>
      <c r="AF736">
        <v>344.22739763340155</v>
      </c>
      <c r="AG736">
        <v>6.5</v>
      </c>
      <c r="AH736">
        <v>3</v>
      </c>
      <c r="AI736">
        <v>706</v>
      </c>
      <c r="AJ736">
        <v>76.585997370446151</v>
      </c>
      <c r="AK736">
        <v>650.6</v>
      </c>
      <c r="AM736">
        <v>107.22039631862461</v>
      </c>
      <c r="AN736">
        <v>0</v>
      </c>
      <c r="AO736" t="s">
        <v>6189</v>
      </c>
      <c r="AP736" t="s">
        <v>674</v>
      </c>
    </row>
    <row r="737" spans="1:42" x14ac:dyDescent="0.25">
      <c r="A737">
        <v>736</v>
      </c>
      <c r="B737" t="s">
        <v>1756</v>
      </c>
      <c r="C737" t="s">
        <v>1756</v>
      </c>
      <c r="D737" t="s">
        <v>1757</v>
      </c>
      <c r="E737" t="s">
        <v>282</v>
      </c>
      <c r="F737" t="s">
        <v>283</v>
      </c>
      <c r="G737" t="s">
        <v>3167</v>
      </c>
      <c r="H737" t="s">
        <v>3166</v>
      </c>
      <c r="I737" t="s">
        <v>726</v>
      </c>
      <c r="J737" t="s">
        <v>473</v>
      </c>
      <c r="K737" t="s">
        <v>474</v>
      </c>
      <c r="R737" t="s">
        <v>73</v>
      </c>
      <c r="S737" t="s">
        <v>73</v>
      </c>
      <c r="U737" t="s">
        <v>73</v>
      </c>
      <c r="V737" t="s">
        <v>73</v>
      </c>
      <c r="X737" t="s">
        <v>73</v>
      </c>
      <c r="Y737" t="s">
        <v>73</v>
      </c>
      <c r="AF737">
        <v>344.19982031737328</v>
      </c>
      <c r="AG737">
        <v>6.2777777777777999</v>
      </c>
      <c r="AH737">
        <v>17</v>
      </c>
      <c r="AI737">
        <v>642</v>
      </c>
      <c r="AJ737">
        <v>87.345479364981443</v>
      </c>
      <c r="AK737">
        <v>631.17777777777997</v>
      </c>
      <c r="AM737">
        <v>66.283671110974012</v>
      </c>
      <c r="AN737">
        <v>224</v>
      </c>
      <c r="AO737" t="s">
        <v>6190</v>
      </c>
      <c r="AP737" t="s">
        <v>1757</v>
      </c>
    </row>
    <row r="738" spans="1:42" x14ac:dyDescent="0.25">
      <c r="A738">
        <v>737</v>
      </c>
      <c r="B738" t="s">
        <v>3436</v>
      </c>
      <c r="C738" t="s">
        <v>3436</v>
      </c>
      <c r="D738" t="s">
        <v>3437</v>
      </c>
      <c r="E738" t="s">
        <v>183</v>
      </c>
      <c r="F738" t="s">
        <v>184</v>
      </c>
      <c r="G738" t="s">
        <v>158</v>
      </c>
      <c r="H738" t="s">
        <v>159</v>
      </c>
      <c r="I738" t="s">
        <v>3438</v>
      </c>
      <c r="J738" t="s">
        <v>185</v>
      </c>
      <c r="K738" t="s">
        <v>3021</v>
      </c>
      <c r="R738" t="s">
        <v>2406</v>
      </c>
      <c r="S738" t="s">
        <v>2407</v>
      </c>
      <c r="T738">
        <v>1</v>
      </c>
      <c r="U738" t="s">
        <v>2430</v>
      </c>
      <c r="V738" t="s">
        <v>2431</v>
      </c>
      <c r="W738">
        <v>6</v>
      </c>
      <c r="X738" t="s">
        <v>2443</v>
      </c>
      <c r="Y738" t="s">
        <v>2444</v>
      </c>
      <c r="Z738">
        <v>3</v>
      </c>
      <c r="AA738" t="s">
        <v>73</v>
      </c>
      <c r="AB738" t="s">
        <v>73</v>
      </c>
      <c r="AF738">
        <v>344.19267667696676</v>
      </c>
      <c r="AG738">
        <v>4.4000000000000004</v>
      </c>
      <c r="AH738">
        <v>4</v>
      </c>
      <c r="AI738">
        <v>230</v>
      </c>
      <c r="AJ738">
        <v>193.10297408551858</v>
      </c>
      <c r="AK738">
        <v>440.80000000000007</v>
      </c>
      <c r="AM738">
        <v>270.344163719726</v>
      </c>
      <c r="AN738">
        <v>0</v>
      </c>
      <c r="AO738" t="s">
        <v>6191</v>
      </c>
      <c r="AP738" t="s">
        <v>3437</v>
      </c>
    </row>
    <row r="739" spans="1:42" x14ac:dyDescent="0.25">
      <c r="A739">
        <v>738</v>
      </c>
      <c r="B739" t="s">
        <v>1337</v>
      </c>
      <c r="C739" t="s">
        <v>1337</v>
      </c>
      <c r="D739" t="s">
        <v>1338</v>
      </c>
      <c r="E739" t="s">
        <v>255</v>
      </c>
      <c r="F739" t="s">
        <v>256</v>
      </c>
      <c r="G739" t="s">
        <v>257</v>
      </c>
      <c r="H739" t="s">
        <v>258</v>
      </c>
      <c r="I739" t="s">
        <v>1339</v>
      </c>
      <c r="J739" t="s">
        <v>931</v>
      </c>
      <c r="K739" t="s">
        <v>932</v>
      </c>
      <c r="L739">
        <v>51.655833299999998</v>
      </c>
      <c r="M739">
        <v>5.4411110999999996</v>
      </c>
      <c r="O739" t="s">
        <v>2559</v>
      </c>
      <c r="P739" t="s">
        <v>2559</v>
      </c>
      <c r="Q739">
        <v>15</v>
      </c>
      <c r="R739" t="s">
        <v>2414</v>
      </c>
      <c r="S739" t="s">
        <v>2415</v>
      </c>
      <c r="T739">
        <v>3</v>
      </c>
      <c r="U739" t="s">
        <v>3137</v>
      </c>
      <c r="V739" t="s">
        <v>3136</v>
      </c>
      <c r="W739">
        <v>5</v>
      </c>
      <c r="X739" t="s">
        <v>2437</v>
      </c>
      <c r="Y739" t="s">
        <v>2438</v>
      </c>
      <c r="Z739">
        <v>1</v>
      </c>
      <c r="AA739" t="s">
        <v>73</v>
      </c>
      <c r="AB739" t="s">
        <v>73</v>
      </c>
      <c r="AC739" t="s">
        <v>1340</v>
      </c>
      <c r="AD739" t="s">
        <v>1340</v>
      </c>
      <c r="AF739">
        <v>343.87594936709002</v>
      </c>
      <c r="AG739">
        <v>7.7215189873418</v>
      </c>
      <c r="AH739">
        <v>78</v>
      </c>
      <c r="AI739">
        <v>964</v>
      </c>
      <c r="AJ739">
        <v>0</v>
      </c>
      <c r="AK739">
        <v>787.75189873418003</v>
      </c>
      <c r="AL739">
        <v>2004</v>
      </c>
      <c r="AM739">
        <v>0</v>
      </c>
      <c r="AN739">
        <v>0</v>
      </c>
      <c r="AO739" t="s">
        <v>6192</v>
      </c>
      <c r="AP739" t="s">
        <v>1338</v>
      </c>
    </row>
    <row r="740" spans="1:42" x14ac:dyDescent="0.25">
      <c r="A740">
        <v>739</v>
      </c>
      <c r="B740" t="s">
        <v>3573</v>
      </c>
      <c r="C740" t="s">
        <v>3573</v>
      </c>
      <c r="D740" t="s">
        <v>3574</v>
      </c>
      <c r="E740" t="s">
        <v>218</v>
      </c>
      <c r="F740" t="s">
        <v>219</v>
      </c>
      <c r="G740" t="s">
        <v>69</v>
      </c>
      <c r="H740" t="s">
        <v>70</v>
      </c>
      <c r="I740" t="s">
        <v>3595</v>
      </c>
      <c r="J740" t="s">
        <v>251</v>
      </c>
      <c r="K740" t="s">
        <v>252</v>
      </c>
      <c r="L740" t="s">
        <v>4958</v>
      </c>
      <c r="M740" t="s">
        <v>4959</v>
      </c>
      <c r="R740" t="s">
        <v>73</v>
      </c>
      <c r="S740" t="s">
        <v>73</v>
      </c>
      <c r="U740" t="s">
        <v>73</v>
      </c>
      <c r="V740" t="s">
        <v>73</v>
      </c>
      <c r="X740" t="s">
        <v>73</v>
      </c>
      <c r="Y740" t="s">
        <v>73</v>
      </c>
      <c r="AA740" t="s">
        <v>73</v>
      </c>
      <c r="AB740" t="s">
        <v>73</v>
      </c>
      <c r="AF740">
        <v>343.74285714285503</v>
      </c>
      <c r="AG740">
        <v>7.1428571428570997</v>
      </c>
      <c r="AH740">
        <v>6</v>
      </c>
      <c r="AI740">
        <v>871</v>
      </c>
      <c r="AJ740">
        <v>40</v>
      </c>
      <c r="AK740">
        <v>715.48571428571006</v>
      </c>
      <c r="AM740">
        <v>0</v>
      </c>
      <c r="AN740">
        <v>224</v>
      </c>
      <c r="AO740" t="s">
        <v>6193</v>
      </c>
      <c r="AP740" t="s">
        <v>3574</v>
      </c>
    </row>
    <row r="741" spans="1:42" x14ac:dyDescent="0.25">
      <c r="A741">
        <v>740</v>
      </c>
      <c r="B741" t="s">
        <v>1646</v>
      </c>
      <c r="C741" t="s">
        <v>1646</v>
      </c>
      <c r="D741" t="s">
        <v>4736</v>
      </c>
      <c r="E741" t="s">
        <v>137</v>
      </c>
      <c r="F741" t="s">
        <v>138</v>
      </c>
      <c r="G741" t="s">
        <v>139</v>
      </c>
      <c r="H741" t="s">
        <v>140</v>
      </c>
      <c r="I741" t="s">
        <v>1647</v>
      </c>
      <c r="J741" t="s">
        <v>689</v>
      </c>
      <c r="K741" t="s">
        <v>690</v>
      </c>
      <c r="L741" t="s">
        <v>4737</v>
      </c>
      <c r="M741" t="s">
        <v>4738</v>
      </c>
      <c r="Q741">
        <v>13</v>
      </c>
      <c r="R741" t="s">
        <v>73</v>
      </c>
      <c r="S741" t="s">
        <v>73</v>
      </c>
      <c r="U741" t="s">
        <v>73</v>
      </c>
      <c r="V741" t="s">
        <v>73</v>
      </c>
      <c r="X741" t="s">
        <v>73</v>
      </c>
      <c r="Y741" t="s">
        <v>73</v>
      </c>
      <c r="AF741">
        <v>343.0804841148439</v>
      </c>
      <c r="AG741">
        <v>5.6153846153845999</v>
      </c>
      <c r="AH741">
        <v>12</v>
      </c>
      <c r="AI741">
        <v>486</v>
      </c>
      <c r="AJ741">
        <v>123.45694816179322</v>
      </c>
      <c r="AK741">
        <v>563.93846153845993</v>
      </c>
      <c r="AM741">
        <v>172.83972742651051</v>
      </c>
      <c r="AN741">
        <v>0</v>
      </c>
      <c r="AO741" t="s">
        <v>6194</v>
      </c>
      <c r="AP741" t="s">
        <v>4736</v>
      </c>
    </row>
    <row r="742" spans="1:42" x14ac:dyDescent="0.25">
      <c r="A742">
        <v>741</v>
      </c>
      <c r="B742" t="s">
        <v>1962</v>
      </c>
      <c r="C742" t="s">
        <v>1962</v>
      </c>
      <c r="D742" t="s">
        <v>1963</v>
      </c>
      <c r="E742" t="s">
        <v>255</v>
      </c>
      <c r="F742" t="s">
        <v>256</v>
      </c>
      <c r="G742" t="s">
        <v>257</v>
      </c>
      <c r="H742" t="s">
        <v>258</v>
      </c>
      <c r="I742" t="s">
        <v>1964</v>
      </c>
      <c r="J742" t="s">
        <v>315</v>
      </c>
      <c r="K742" t="s">
        <v>316</v>
      </c>
      <c r="L742">
        <v>52.009465112000001</v>
      </c>
      <c r="M742">
        <v>5.9639471089900002</v>
      </c>
      <c r="O742" t="s">
        <v>2626</v>
      </c>
      <c r="P742" t="s">
        <v>2627</v>
      </c>
      <c r="Q742">
        <v>14</v>
      </c>
      <c r="R742" t="s">
        <v>2414</v>
      </c>
      <c r="S742" t="s">
        <v>2415</v>
      </c>
      <c r="T742">
        <v>3</v>
      </c>
      <c r="U742" t="s">
        <v>2432</v>
      </c>
      <c r="V742" t="s">
        <v>2433</v>
      </c>
      <c r="W742">
        <v>7</v>
      </c>
      <c r="X742" t="s">
        <v>2443</v>
      </c>
      <c r="Y742" t="s">
        <v>2444</v>
      </c>
      <c r="Z742">
        <v>3</v>
      </c>
      <c r="AA742" t="s">
        <v>1965</v>
      </c>
      <c r="AB742" t="s">
        <v>1965</v>
      </c>
      <c r="AC742" t="s">
        <v>1966</v>
      </c>
      <c r="AD742" t="s">
        <v>1966</v>
      </c>
      <c r="AF742">
        <v>342.92538072013366</v>
      </c>
      <c r="AG742">
        <v>6.4523809523809996</v>
      </c>
      <c r="AH742">
        <v>41</v>
      </c>
      <c r="AI742">
        <v>717</v>
      </c>
      <c r="AJ742">
        <v>73.562592334537399</v>
      </c>
      <c r="AK742">
        <v>653.4380952381</v>
      </c>
      <c r="AM742">
        <v>102.98762926835235</v>
      </c>
      <c r="AN742">
        <v>0</v>
      </c>
      <c r="AO742" t="s">
        <v>6195</v>
      </c>
      <c r="AP742" t="s">
        <v>1963</v>
      </c>
    </row>
    <row r="743" spans="1:42" x14ac:dyDescent="0.25">
      <c r="A743">
        <v>742</v>
      </c>
      <c r="B743" t="s">
        <v>2977</v>
      </c>
      <c r="C743" t="s">
        <v>4102</v>
      </c>
      <c r="D743" t="s">
        <v>2979</v>
      </c>
      <c r="E743" t="s">
        <v>318</v>
      </c>
      <c r="F743" t="s">
        <v>319</v>
      </c>
      <c r="G743" t="s">
        <v>75</v>
      </c>
      <c r="H743" t="s">
        <v>76</v>
      </c>
      <c r="I743" t="s">
        <v>1978</v>
      </c>
      <c r="Q743">
        <v>12</v>
      </c>
      <c r="R743" t="s">
        <v>2406</v>
      </c>
      <c r="S743" t="s">
        <v>2407</v>
      </c>
      <c r="T743">
        <v>1</v>
      </c>
      <c r="U743" t="s">
        <v>73</v>
      </c>
      <c r="V743" t="s">
        <v>73</v>
      </c>
      <c r="X743" t="s">
        <v>2446</v>
      </c>
      <c r="Y743" t="s">
        <v>2447</v>
      </c>
      <c r="Z743">
        <v>4</v>
      </c>
      <c r="AA743" t="s">
        <v>73</v>
      </c>
      <c r="AB743" t="s">
        <v>73</v>
      </c>
      <c r="AF743">
        <v>342.8379170560865</v>
      </c>
      <c r="AG743">
        <v>5.3333333333333002</v>
      </c>
      <c r="AH743">
        <v>2</v>
      </c>
      <c r="AI743">
        <v>412</v>
      </c>
      <c r="AJ743">
        <v>139.96805598824608</v>
      </c>
      <c r="AK743">
        <v>533.73333333333005</v>
      </c>
      <c r="AM743">
        <v>111.9552783835445</v>
      </c>
      <c r="AN743">
        <v>336</v>
      </c>
      <c r="AO743" t="s">
        <v>6196</v>
      </c>
      <c r="AP743" t="s">
        <v>2979</v>
      </c>
    </row>
    <row r="744" spans="1:42" x14ac:dyDescent="0.25">
      <c r="A744">
        <v>743</v>
      </c>
      <c r="B744" t="s">
        <v>3468</v>
      </c>
      <c r="C744" t="s">
        <v>4159</v>
      </c>
      <c r="D744" t="s">
        <v>3466</v>
      </c>
      <c r="E744" t="s">
        <v>471</v>
      </c>
      <c r="F744" t="s">
        <v>472</v>
      </c>
      <c r="G744" t="s">
        <v>93</v>
      </c>
      <c r="H744" t="s">
        <v>94</v>
      </c>
      <c r="I744" t="s">
        <v>3465</v>
      </c>
      <c r="J744" t="s">
        <v>3513</v>
      </c>
      <c r="K744" t="s">
        <v>3467</v>
      </c>
      <c r="Q744">
        <v>12</v>
      </c>
      <c r="R744" t="s">
        <v>2409</v>
      </c>
      <c r="S744" t="s">
        <v>2410</v>
      </c>
      <c r="T744">
        <v>2</v>
      </c>
      <c r="U744" t="s">
        <v>2432</v>
      </c>
      <c r="V744" t="s">
        <v>2433</v>
      </c>
      <c r="W744">
        <v>7</v>
      </c>
      <c r="X744" t="s">
        <v>2443</v>
      </c>
      <c r="Y744" t="s">
        <v>2444</v>
      </c>
      <c r="Z744">
        <v>3</v>
      </c>
      <c r="AE744" t="s">
        <v>3463</v>
      </c>
      <c r="AF744">
        <v>342.68350734537887</v>
      </c>
      <c r="AG744">
        <v>5.875</v>
      </c>
      <c r="AH744">
        <v>7</v>
      </c>
      <c r="AI744">
        <v>557</v>
      </c>
      <c r="AJ744">
        <v>109.14834149486545</v>
      </c>
      <c r="AK744">
        <v>588.9</v>
      </c>
      <c r="AM744">
        <v>124.8076780928116</v>
      </c>
      <c r="AN744">
        <v>112</v>
      </c>
      <c r="AO744" t="s">
        <v>6197</v>
      </c>
      <c r="AP744" t="s">
        <v>3466</v>
      </c>
    </row>
    <row r="745" spans="1:42" x14ac:dyDescent="0.25">
      <c r="A745">
        <v>744</v>
      </c>
      <c r="B745" t="s">
        <v>3930</v>
      </c>
      <c r="C745" t="s">
        <v>3930</v>
      </c>
      <c r="D745" t="s">
        <v>3931</v>
      </c>
      <c r="E745" t="s">
        <v>556</v>
      </c>
      <c r="F745" t="s">
        <v>557</v>
      </c>
      <c r="G745" t="s">
        <v>60</v>
      </c>
      <c r="H745" t="s">
        <v>61</v>
      </c>
      <c r="J745" t="s">
        <v>3764</v>
      </c>
      <c r="K745" t="s">
        <v>3765</v>
      </c>
      <c r="Q745">
        <v>14</v>
      </c>
      <c r="R745" t="s">
        <v>73</v>
      </c>
      <c r="S745" t="s">
        <v>73</v>
      </c>
      <c r="U745" t="s">
        <v>73</v>
      </c>
      <c r="V745" t="s">
        <v>73</v>
      </c>
      <c r="X745" t="s">
        <v>2440</v>
      </c>
      <c r="Y745" t="s">
        <v>2441</v>
      </c>
      <c r="Z745">
        <v>2</v>
      </c>
      <c r="AA745" t="s">
        <v>73</v>
      </c>
      <c r="AB745" t="s">
        <v>73</v>
      </c>
      <c r="AF745">
        <v>342.42374993983969</v>
      </c>
      <c r="AG745">
        <v>6.4285714285714004</v>
      </c>
      <c r="AH745">
        <v>6</v>
      </c>
      <c r="AI745">
        <v>699</v>
      </c>
      <c r="AJ745">
        <v>78.216865012521836</v>
      </c>
      <c r="AK745">
        <v>644.05714285714009</v>
      </c>
      <c r="AM745">
        <v>53.503611017530567</v>
      </c>
      <c r="AN745">
        <v>224</v>
      </c>
      <c r="AO745" t="s">
        <v>6198</v>
      </c>
      <c r="AP745" t="s">
        <v>3931</v>
      </c>
    </row>
    <row r="746" spans="1:42" x14ac:dyDescent="0.25">
      <c r="A746">
        <v>745</v>
      </c>
      <c r="B746" t="s">
        <v>3315</v>
      </c>
      <c r="C746" t="s">
        <v>3315</v>
      </c>
      <c r="D746" t="s">
        <v>3493</v>
      </c>
      <c r="E746" t="s">
        <v>67</v>
      </c>
      <c r="F746" t="s">
        <v>68</v>
      </c>
      <c r="G746" t="s">
        <v>3843</v>
      </c>
      <c r="H746" t="s">
        <v>3844</v>
      </c>
      <c r="J746" t="s">
        <v>580</v>
      </c>
      <c r="K746" t="s">
        <v>581</v>
      </c>
      <c r="L746" t="s">
        <v>5138</v>
      </c>
      <c r="M746" t="s">
        <v>5139</v>
      </c>
      <c r="R746" t="s">
        <v>73</v>
      </c>
      <c r="S746" t="s">
        <v>73</v>
      </c>
      <c r="U746" t="s">
        <v>73</v>
      </c>
      <c r="V746" t="s">
        <v>73</v>
      </c>
      <c r="X746" t="s">
        <v>73</v>
      </c>
      <c r="Y746" t="s">
        <v>73</v>
      </c>
      <c r="AA746" t="s">
        <v>73</v>
      </c>
      <c r="AB746" t="s">
        <v>73</v>
      </c>
      <c r="AF746">
        <v>342.00423195789074</v>
      </c>
      <c r="AG746">
        <v>5.8</v>
      </c>
      <c r="AH746">
        <v>4</v>
      </c>
      <c r="AI746">
        <v>540</v>
      </c>
      <c r="AJ746">
        <v>112.89359106432305</v>
      </c>
      <c r="AK746">
        <v>580.79999999999995</v>
      </c>
      <c r="AM746">
        <v>158.05102749005226</v>
      </c>
      <c r="AN746">
        <v>0</v>
      </c>
      <c r="AO746" t="s">
        <v>6199</v>
      </c>
      <c r="AP746" t="s">
        <v>3493</v>
      </c>
    </row>
    <row r="747" spans="1:42" x14ac:dyDescent="0.25">
      <c r="A747">
        <v>746</v>
      </c>
      <c r="B747" t="s">
        <v>1839</v>
      </c>
      <c r="C747" t="s">
        <v>1839</v>
      </c>
      <c r="D747" t="s">
        <v>1840</v>
      </c>
      <c r="E747" t="s">
        <v>282</v>
      </c>
      <c r="F747" t="s">
        <v>283</v>
      </c>
      <c r="G747" t="s">
        <v>3167</v>
      </c>
      <c r="H747" t="s">
        <v>3166</v>
      </c>
      <c r="I747" t="s">
        <v>1841</v>
      </c>
      <c r="J747" t="s">
        <v>375</v>
      </c>
      <c r="K747" t="s">
        <v>376</v>
      </c>
      <c r="R747" t="s">
        <v>73</v>
      </c>
      <c r="S747" t="s">
        <v>73</v>
      </c>
      <c r="U747" t="s">
        <v>73</v>
      </c>
      <c r="V747" t="s">
        <v>73</v>
      </c>
      <c r="X747" t="s">
        <v>73</v>
      </c>
      <c r="Y747" t="s">
        <v>73</v>
      </c>
      <c r="AF747">
        <v>341.9</v>
      </c>
      <c r="AG747">
        <v>7.1</v>
      </c>
      <c r="AH747">
        <v>9</v>
      </c>
      <c r="AI747">
        <v>872</v>
      </c>
      <c r="AJ747">
        <v>40</v>
      </c>
      <c r="AK747">
        <v>711.8</v>
      </c>
      <c r="AM747">
        <v>0</v>
      </c>
      <c r="AN747">
        <v>224</v>
      </c>
      <c r="AO747" t="s">
        <v>6200</v>
      </c>
      <c r="AP747" t="s">
        <v>1840</v>
      </c>
    </row>
    <row r="748" spans="1:42" x14ac:dyDescent="0.25">
      <c r="A748">
        <v>747</v>
      </c>
      <c r="B748" t="s">
        <v>2742</v>
      </c>
      <c r="C748" t="s">
        <v>2742</v>
      </c>
      <c r="D748" t="s">
        <v>1655</v>
      </c>
      <c r="E748" t="s">
        <v>218</v>
      </c>
      <c r="F748" t="s">
        <v>219</v>
      </c>
      <c r="G748" t="s">
        <v>69</v>
      </c>
      <c r="H748" t="s">
        <v>70</v>
      </c>
      <c r="I748" t="s">
        <v>1656</v>
      </c>
      <c r="J748" t="s">
        <v>291</v>
      </c>
      <c r="K748" t="s">
        <v>292</v>
      </c>
      <c r="L748" t="s">
        <v>4920</v>
      </c>
      <c r="M748" t="s">
        <v>4921</v>
      </c>
      <c r="R748" t="s">
        <v>73</v>
      </c>
      <c r="S748" t="s">
        <v>73</v>
      </c>
      <c r="U748" t="s">
        <v>73</v>
      </c>
      <c r="V748" t="s">
        <v>73</v>
      </c>
      <c r="X748" t="s">
        <v>73</v>
      </c>
      <c r="Y748" t="s">
        <v>73</v>
      </c>
      <c r="AF748">
        <v>341.9</v>
      </c>
      <c r="AG748">
        <v>7.1</v>
      </c>
      <c r="AH748">
        <v>9</v>
      </c>
      <c r="AI748">
        <v>873</v>
      </c>
      <c r="AJ748">
        <v>40</v>
      </c>
      <c r="AK748">
        <v>711.8</v>
      </c>
      <c r="AM748">
        <v>0</v>
      </c>
      <c r="AN748">
        <v>224</v>
      </c>
      <c r="AO748" t="s">
        <v>6201</v>
      </c>
      <c r="AP748" t="s">
        <v>1655</v>
      </c>
    </row>
    <row r="749" spans="1:42" x14ac:dyDescent="0.25">
      <c r="A749">
        <v>748</v>
      </c>
      <c r="B749" t="s">
        <v>2743</v>
      </c>
      <c r="C749" t="s">
        <v>4109</v>
      </c>
      <c r="D749" t="s">
        <v>1686</v>
      </c>
      <c r="E749" t="s">
        <v>199</v>
      </c>
      <c r="F749" t="s">
        <v>200</v>
      </c>
      <c r="I749" t="s">
        <v>3864</v>
      </c>
      <c r="J749" t="s">
        <v>649</v>
      </c>
      <c r="K749" t="s">
        <v>650</v>
      </c>
      <c r="L749" t="s">
        <v>5243</v>
      </c>
      <c r="M749" t="s">
        <v>5244</v>
      </c>
      <c r="R749" t="s">
        <v>73</v>
      </c>
      <c r="S749" t="s">
        <v>73</v>
      </c>
      <c r="U749" t="s">
        <v>73</v>
      </c>
      <c r="V749" t="s">
        <v>73</v>
      </c>
      <c r="X749" t="s">
        <v>73</v>
      </c>
      <c r="Y749" t="s">
        <v>73</v>
      </c>
      <c r="AA749" t="s">
        <v>73</v>
      </c>
      <c r="AB749" t="s">
        <v>73</v>
      </c>
      <c r="AE749" t="s">
        <v>3865</v>
      </c>
      <c r="AF749">
        <v>341.65371053406011</v>
      </c>
      <c r="AG749">
        <v>7.4444444444444002</v>
      </c>
      <c r="AH749">
        <v>8</v>
      </c>
      <c r="AI749">
        <v>941</v>
      </c>
      <c r="AJ749">
        <v>20.701653679822318</v>
      </c>
      <c r="AK749">
        <v>746.04444444444005</v>
      </c>
      <c r="AM749">
        <v>28.982315151751241</v>
      </c>
      <c r="AN749">
        <v>0</v>
      </c>
      <c r="AO749" t="s">
        <v>6202</v>
      </c>
      <c r="AP749" t="s">
        <v>1686</v>
      </c>
    </row>
    <row r="750" spans="1:42" x14ac:dyDescent="0.25">
      <c r="A750">
        <v>749</v>
      </c>
      <c r="B750" t="s">
        <v>1709</v>
      </c>
      <c r="C750" t="s">
        <v>1709</v>
      </c>
      <c r="D750" t="s">
        <v>5419</v>
      </c>
      <c r="E750" t="s">
        <v>67</v>
      </c>
      <c r="F750" t="s">
        <v>68</v>
      </c>
      <c r="G750" t="s">
        <v>69</v>
      </c>
      <c r="H750" t="s">
        <v>70</v>
      </c>
      <c r="J750" t="s">
        <v>1241</v>
      </c>
      <c r="K750" t="s">
        <v>1242</v>
      </c>
      <c r="L750" t="s">
        <v>5405</v>
      </c>
      <c r="M750" t="s">
        <v>5406</v>
      </c>
      <c r="R750" t="s">
        <v>2409</v>
      </c>
      <c r="S750" t="s">
        <v>2410</v>
      </c>
      <c r="T750">
        <v>2</v>
      </c>
      <c r="U750" t="s">
        <v>73</v>
      </c>
      <c r="V750" t="s">
        <v>73</v>
      </c>
      <c r="X750" t="s">
        <v>73</v>
      </c>
      <c r="Y750" t="s">
        <v>73</v>
      </c>
      <c r="AA750" t="s">
        <v>73</v>
      </c>
      <c r="AB750" t="s">
        <v>73</v>
      </c>
      <c r="AF750">
        <v>340.92655082595121</v>
      </c>
      <c r="AG750">
        <v>6.875</v>
      </c>
      <c r="AH750">
        <v>7</v>
      </c>
      <c r="AI750">
        <v>813</v>
      </c>
      <c r="AJ750">
        <v>51.640612028834703</v>
      </c>
      <c r="AK750">
        <v>688.9</v>
      </c>
      <c r="AM750">
        <v>44.296856840368584</v>
      </c>
      <c r="AN750">
        <v>112</v>
      </c>
      <c r="AO750" t="s">
        <v>6203</v>
      </c>
      <c r="AP750" t="s">
        <v>5419</v>
      </c>
    </row>
    <row r="751" spans="1:42" x14ac:dyDescent="0.25">
      <c r="A751">
        <v>750</v>
      </c>
      <c r="B751" t="s">
        <v>577</v>
      </c>
      <c r="C751" t="s">
        <v>577</v>
      </c>
      <c r="D751" t="s">
        <v>578</v>
      </c>
      <c r="E751" t="s">
        <v>67</v>
      </c>
      <c r="F751" t="s">
        <v>68</v>
      </c>
      <c r="G751" t="s">
        <v>3843</v>
      </c>
      <c r="H751" t="s">
        <v>3844</v>
      </c>
      <c r="I751" t="s">
        <v>579</v>
      </c>
      <c r="J751" t="s">
        <v>1795</v>
      </c>
      <c r="K751" t="s">
        <v>1796</v>
      </c>
      <c r="L751" t="s">
        <v>5126</v>
      </c>
      <c r="M751" t="s">
        <v>5127</v>
      </c>
      <c r="R751" t="s">
        <v>2420</v>
      </c>
      <c r="S751" t="s">
        <v>2421</v>
      </c>
      <c r="T751">
        <v>5</v>
      </c>
      <c r="U751" t="s">
        <v>73</v>
      </c>
      <c r="V751" t="s">
        <v>73</v>
      </c>
      <c r="X751" t="s">
        <v>2437</v>
      </c>
      <c r="Y751" t="s">
        <v>2438</v>
      </c>
      <c r="Z751">
        <v>1</v>
      </c>
      <c r="AA751" t="s">
        <v>73</v>
      </c>
      <c r="AB751" t="s">
        <v>73</v>
      </c>
      <c r="AF751">
        <v>340.76416557374375</v>
      </c>
      <c r="AG751">
        <v>6.0909090909090997</v>
      </c>
      <c r="AH751">
        <v>10</v>
      </c>
      <c r="AI751">
        <v>613</v>
      </c>
      <c r="AJ751">
        <v>94.687456698098671</v>
      </c>
      <c r="AK751">
        <v>611.09090909090992</v>
      </c>
      <c r="AM751">
        <v>132.56243937733814</v>
      </c>
      <c r="AN751">
        <v>0</v>
      </c>
      <c r="AO751" t="s">
        <v>6204</v>
      </c>
      <c r="AP751" t="s">
        <v>578</v>
      </c>
    </row>
    <row r="752" spans="1:42" x14ac:dyDescent="0.25">
      <c r="A752">
        <v>751</v>
      </c>
      <c r="B752" t="s">
        <v>1383</v>
      </c>
      <c r="C752" t="s">
        <v>4122</v>
      </c>
      <c r="D752" t="s">
        <v>3106</v>
      </c>
      <c r="E752" t="s">
        <v>199</v>
      </c>
      <c r="F752" t="s">
        <v>200</v>
      </c>
      <c r="G752" t="s">
        <v>139</v>
      </c>
      <c r="H752" t="s">
        <v>140</v>
      </c>
      <c r="J752" t="s">
        <v>326</v>
      </c>
      <c r="K752" t="s">
        <v>327</v>
      </c>
      <c r="L752" t="s">
        <v>4730</v>
      </c>
      <c r="M752" t="s">
        <v>4731</v>
      </c>
      <c r="Q752">
        <v>13</v>
      </c>
      <c r="R752" t="s">
        <v>73</v>
      </c>
      <c r="S752" t="s">
        <v>73</v>
      </c>
      <c r="U752" t="s">
        <v>73</v>
      </c>
      <c r="V752" t="s">
        <v>73</v>
      </c>
      <c r="X752" t="s">
        <v>73</v>
      </c>
      <c r="Y752" t="s">
        <v>73</v>
      </c>
      <c r="AF752">
        <v>340.50173608902526</v>
      </c>
      <c r="AG752">
        <v>5.5</v>
      </c>
      <c r="AH752">
        <v>11</v>
      </c>
      <c r="AI752">
        <v>469</v>
      </c>
      <c r="AJ752">
        <v>127.11304009891695</v>
      </c>
      <c r="AK752">
        <v>552.20000000000005</v>
      </c>
      <c r="AM752">
        <v>177.95825613848373</v>
      </c>
      <c r="AN752">
        <v>0</v>
      </c>
      <c r="AO752" t="s">
        <v>6205</v>
      </c>
      <c r="AP752" t="s">
        <v>3106</v>
      </c>
    </row>
    <row r="753" spans="1:42" x14ac:dyDescent="0.25">
      <c r="A753">
        <v>752</v>
      </c>
      <c r="B753" t="s">
        <v>2741</v>
      </c>
      <c r="C753" t="s">
        <v>2741</v>
      </c>
      <c r="D753" t="s">
        <v>1605</v>
      </c>
      <c r="E753" t="s">
        <v>67</v>
      </c>
      <c r="F753" t="s">
        <v>68</v>
      </c>
      <c r="G753" t="s">
        <v>69</v>
      </c>
      <c r="H753" t="s">
        <v>70</v>
      </c>
      <c r="I753" t="s">
        <v>1606</v>
      </c>
      <c r="J753" t="s">
        <v>1241</v>
      </c>
      <c r="K753" t="s">
        <v>1242</v>
      </c>
      <c r="L753" t="s">
        <v>5407</v>
      </c>
      <c r="M753" t="s">
        <v>5408</v>
      </c>
      <c r="R753" t="s">
        <v>73</v>
      </c>
      <c r="S753" t="s">
        <v>73</v>
      </c>
      <c r="U753" t="s">
        <v>73</v>
      </c>
      <c r="V753" t="s">
        <v>73</v>
      </c>
      <c r="X753" t="s">
        <v>73</v>
      </c>
      <c r="Y753" t="s">
        <v>73</v>
      </c>
      <c r="AF753">
        <v>340.45481247837171</v>
      </c>
      <c r="AG753">
        <v>6.3333333333333002</v>
      </c>
      <c r="AH753">
        <v>8</v>
      </c>
      <c r="AI753">
        <v>663</v>
      </c>
      <c r="AJ753">
        <v>81.097939790785162</v>
      </c>
      <c r="AK753">
        <v>634.9333333333301</v>
      </c>
      <c r="AM753">
        <v>85.537115707099218</v>
      </c>
      <c r="AN753">
        <v>112</v>
      </c>
      <c r="AO753" t="s">
        <v>6206</v>
      </c>
      <c r="AP753" t="s">
        <v>1605</v>
      </c>
    </row>
    <row r="754" spans="1:42" x14ac:dyDescent="0.25">
      <c r="A754">
        <v>753</v>
      </c>
      <c r="B754" t="s">
        <v>2109</v>
      </c>
      <c r="C754" t="s">
        <v>2109</v>
      </c>
      <c r="D754" t="s">
        <v>2110</v>
      </c>
      <c r="E754" t="s">
        <v>351</v>
      </c>
      <c r="F754" t="s">
        <v>352</v>
      </c>
      <c r="G754" t="s">
        <v>257</v>
      </c>
      <c r="H754" t="s">
        <v>258</v>
      </c>
      <c r="I754" t="s">
        <v>2111</v>
      </c>
      <c r="J754" t="s">
        <v>536</v>
      </c>
      <c r="K754" t="s">
        <v>537</v>
      </c>
      <c r="L754">
        <v>50.323099993900001</v>
      </c>
      <c r="M754">
        <v>5.0079405243900004</v>
      </c>
      <c r="Q754">
        <v>13</v>
      </c>
      <c r="R754" t="s">
        <v>2414</v>
      </c>
      <c r="S754" t="s">
        <v>2415</v>
      </c>
      <c r="T754">
        <v>3</v>
      </c>
      <c r="U754" t="s">
        <v>3137</v>
      </c>
      <c r="V754" t="s">
        <v>3136</v>
      </c>
      <c r="W754">
        <v>5</v>
      </c>
      <c r="X754" t="s">
        <v>2437</v>
      </c>
      <c r="Y754" t="s">
        <v>2438</v>
      </c>
      <c r="Z754">
        <v>1</v>
      </c>
      <c r="AF754">
        <v>340.2</v>
      </c>
      <c r="AG754">
        <v>7.75</v>
      </c>
      <c r="AH754">
        <v>27</v>
      </c>
      <c r="AI754">
        <v>965</v>
      </c>
      <c r="AJ754">
        <v>0</v>
      </c>
      <c r="AK754">
        <v>780.4</v>
      </c>
      <c r="AL754">
        <v>2004</v>
      </c>
      <c r="AM754">
        <v>0</v>
      </c>
      <c r="AN754">
        <v>0</v>
      </c>
      <c r="AO754" t="s">
        <v>6207</v>
      </c>
      <c r="AP754" t="s">
        <v>2110</v>
      </c>
    </row>
    <row r="755" spans="1:42" x14ac:dyDescent="0.25">
      <c r="A755">
        <v>754</v>
      </c>
      <c r="B755" t="s">
        <v>2760</v>
      </c>
      <c r="C755" t="s">
        <v>2760</v>
      </c>
      <c r="D755" t="s">
        <v>3104</v>
      </c>
      <c r="E755" t="s">
        <v>67</v>
      </c>
      <c r="F755" t="s">
        <v>68</v>
      </c>
      <c r="G755" t="s">
        <v>69</v>
      </c>
      <c r="H755" t="s">
        <v>70</v>
      </c>
      <c r="I755" t="s">
        <v>2181</v>
      </c>
      <c r="J755" t="s">
        <v>398</v>
      </c>
      <c r="K755" t="s">
        <v>399</v>
      </c>
      <c r="L755" t="s">
        <v>5348</v>
      </c>
      <c r="M755" t="s">
        <v>5349</v>
      </c>
      <c r="O755" t="s">
        <v>439</v>
      </c>
      <c r="P755" t="s">
        <v>440</v>
      </c>
      <c r="R755" t="s">
        <v>73</v>
      </c>
      <c r="S755" t="s">
        <v>73</v>
      </c>
      <c r="U755" t="s">
        <v>73</v>
      </c>
      <c r="V755" t="s">
        <v>73</v>
      </c>
      <c r="X755" t="s">
        <v>73</v>
      </c>
      <c r="Y755" t="s">
        <v>73</v>
      </c>
      <c r="AA755" t="s">
        <v>73</v>
      </c>
      <c r="AB755" t="s">
        <v>73</v>
      </c>
      <c r="AF755">
        <v>339.9931910055958</v>
      </c>
      <c r="AG755">
        <v>4.8333333333333002</v>
      </c>
      <c r="AH755">
        <v>5</v>
      </c>
      <c r="AI755">
        <v>308</v>
      </c>
      <c r="AJ755">
        <v>164.25169370992313</v>
      </c>
      <c r="AK755">
        <v>484.33333333333002</v>
      </c>
      <c r="AM755">
        <v>201.95237119389236</v>
      </c>
      <c r="AN755">
        <v>112</v>
      </c>
      <c r="AO755" t="s">
        <v>6208</v>
      </c>
      <c r="AP755" t="s">
        <v>3104</v>
      </c>
    </row>
    <row r="756" spans="1:42" x14ac:dyDescent="0.25">
      <c r="A756">
        <v>755</v>
      </c>
      <c r="B756" t="s">
        <v>3916</v>
      </c>
      <c r="C756" t="s">
        <v>3916</v>
      </c>
      <c r="D756" t="s">
        <v>3917</v>
      </c>
      <c r="E756" t="s">
        <v>183</v>
      </c>
      <c r="F756" t="s">
        <v>184</v>
      </c>
      <c r="G756" t="s">
        <v>158</v>
      </c>
      <c r="H756" t="s">
        <v>159</v>
      </c>
      <c r="J756" t="s">
        <v>337</v>
      </c>
      <c r="K756" t="s">
        <v>338</v>
      </c>
      <c r="Q756">
        <v>13</v>
      </c>
      <c r="R756" t="s">
        <v>2409</v>
      </c>
      <c r="S756" t="s">
        <v>2410</v>
      </c>
      <c r="T756">
        <v>2</v>
      </c>
      <c r="U756" t="s">
        <v>2430</v>
      </c>
      <c r="V756" t="s">
        <v>2431</v>
      </c>
      <c r="W756">
        <v>6</v>
      </c>
      <c r="X756" t="s">
        <v>2440</v>
      </c>
      <c r="Y756" t="s">
        <v>2441</v>
      </c>
      <c r="Z756">
        <v>2</v>
      </c>
      <c r="AA756" t="s">
        <v>73</v>
      </c>
      <c r="AB756" t="s">
        <v>73</v>
      </c>
      <c r="AE756" t="s">
        <v>3886</v>
      </c>
      <c r="AF756">
        <v>339.84372362398204</v>
      </c>
      <c r="AG756">
        <v>5.8571428571429003</v>
      </c>
      <c r="AH756">
        <v>6</v>
      </c>
      <c r="AI756">
        <v>561</v>
      </c>
      <c r="AJ756">
        <v>107.09620085204112</v>
      </c>
      <c r="AK756">
        <v>586.91428571429003</v>
      </c>
      <c r="AM756">
        <v>149.93468119285757</v>
      </c>
      <c r="AN756">
        <v>0</v>
      </c>
      <c r="AO756" t="s">
        <v>6209</v>
      </c>
      <c r="AP756" t="s">
        <v>3917</v>
      </c>
    </row>
    <row r="757" spans="1:42" x14ac:dyDescent="0.25">
      <c r="A757">
        <v>756</v>
      </c>
      <c r="B757" t="s">
        <v>2287</v>
      </c>
      <c r="C757" t="s">
        <v>2287</v>
      </c>
      <c r="D757" t="s">
        <v>2288</v>
      </c>
      <c r="E757" t="s">
        <v>318</v>
      </c>
      <c r="F757" t="s">
        <v>319</v>
      </c>
      <c r="G757" t="s">
        <v>75</v>
      </c>
      <c r="H757" t="s">
        <v>76</v>
      </c>
      <c r="R757" t="s">
        <v>73</v>
      </c>
      <c r="S757" t="s">
        <v>73</v>
      </c>
      <c r="U757" t="s">
        <v>73</v>
      </c>
      <c r="V757" t="s">
        <v>73</v>
      </c>
      <c r="X757" t="s">
        <v>73</v>
      </c>
      <c r="Y757" t="s">
        <v>73</v>
      </c>
      <c r="AA757" t="s">
        <v>73</v>
      </c>
      <c r="AB757" t="s">
        <v>73</v>
      </c>
      <c r="AF757">
        <v>339.36614393786544</v>
      </c>
      <c r="AG757">
        <v>6.0833333333333002</v>
      </c>
      <c r="AH757">
        <v>11</v>
      </c>
      <c r="AI757">
        <v>615</v>
      </c>
      <c r="AJ757">
        <v>93.443863634667053</v>
      </c>
      <c r="AK757">
        <v>610.53333333333012</v>
      </c>
      <c r="AM757">
        <v>46.821409088533876</v>
      </c>
      <c r="AN757">
        <v>336</v>
      </c>
      <c r="AO757" t="s">
        <v>6210</v>
      </c>
      <c r="AP757" t="s">
        <v>2288</v>
      </c>
    </row>
    <row r="758" spans="1:42" x14ac:dyDescent="0.25">
      <c r="A758">
        <v>757</v>
      </c>
      <c r="B758" t="s">
        <v>3317</v>
      </c>
      <c r="C758" t="s">
        <v>4057</v>
      </c>
      <c r="D758" t="s">
        <v>3339</v>
      </c>
      <c r="E758" t="s">
        <v>3169</v>
      </c>
      <c r="F758" t="s">
        <v>379</v>
      </c>
      <c r="G758" t="s">
        <v>162</v>
      </c>
      <c r="H758" t="s">
        <v>163</v>
      </c>
      <c r="R758" t="s">
        <v>73</v>
      </c>
      <c r="S758" t="s">
        <v>73</v>
      </c>
      <c r="U758" t="s">
        <v>73</v>
      </c>
      <c r="V758" t="s">
        <v>73</v>
      </c>
      <c r="X758" t="s">
        <v>73</v>
      </c>
      <c r="Y758" t="s">
        <v>73</v>
      </c>
      <c r="AA758" t="s">
        <v>73</v>
      </c>
      <c r="AB758" t="s">
        <v>73</v>
      </c>
      <c r="AF758">
        <v>339.30309515788338</v>
      </c>
      <c r="AG758">
        <v>5.5</v>
      </c>
      <c r="AH758">
        <v>3</v>
      </c>
      <c r="AI758">
        <v>473</v>
      </c>
      <c r="AJ758">
        <v>126.6701057309815</v>
      </c>
      <c r="AK758">
        <v>550.6</v>
      </c>
      <c r="AM758">
        <v>71.338148023374089</v>
      </c>
      <c r="AN758">
        <v>424</v>
      </c>
      <c r="AO758" t="s">
        <v>6211</v>
      </c>
      <c r="AP758" t="s">
        <v>3339</v>
      </c>
    </row>
    <row r="759" spans="1:42" x14ac:dyDescent="0.25">
      <c r="A759">
        <v>758</v>
      </c>
      <c r="B759" t="s">
        <v>1250</v>
      </c>
      <c r="C759" t="s">
        <v>1250</v>
      </c>
      <c r="D759" t="s">
        <v>1251</v>
      </c>
      <c r="E759" t="s">
        <v>137</v>
      </c>
      <c r="F759" t="s">
        <v>138</v>
      </c>
      <c r="G759" t="s">
        <v>139</v>
      </c>
      <c r="H759" t="s">
        <v>140</v>
      </c>
      <c r="I759" t="s">
        <v>1252</v>
      </c>
      <c r="J759" t="s">
        <v>142</v>
      </c>
      <c r="K759" t="s">
        <v>143</v>
      </c>
      <c r="L759" t="s">
        <v>4644</v>
      </c>
      <c r="M759" t="s">
        <v>4645</v>
      </c>
      <c r="R759" t="s">
        <v>73</v>
      </c>
      <c r="S759" t="s">
        <v>73</v>
      </c>
      <c r="U759" t="s">
        <v>73</v>
      </c>
      <c r="V759" t="s">
        <v>73</v>
      </c>
      <c r="X759" t="s">
        <v>73</v>
      </c>
      <c r="Y759" t="s">
        <v>73</v>
      </c>
      <c r="AA759" t="s">
        <v>73</v>
      </c>
      <c r="AB759" t="s">
        <v>73</v>
      </c>
      <c r="AF759">
        <v>339.29582226317331</v>
      </c>
      <c r="AG759">
        <v>5.3</v>
      </c>
      <c r="AH759">
        <v>9</v>
      </c>
      <c r="AI759">
        <v>432</v>
      </c>
      <c r="AJ759">
        <v>137.10646918130371</v>
      </c>
      <c r="AK759">
        <v>531.79999999999995</v>
      </c>
      <c r="AM759">
        <v>191.9490568538252</v>
      </c>
      <c r="AN759">
        <v>0</v>
      </c>
      <c r="AO759" t="s">
        <v>6212</v>
      </c>
      <c r="AP759" t="s">
        <v>1251</v>
      </c>
    </row>
    <row r="760" spans="1:42" x14ac:dyDescent="0.25">
      <c r="A760">
        <v>759</v>
      </c>
      <c r="B760" t="s">
        <v>1986</v>
      </c>
      <c r="C760" t="s">
        <v>1986</v>
      </c>
      <c r="D760" t="s">
        <v>1987</v>
      </c>
      <c r="E760" t="s">
        <v>67</v>
      </c>
      <c r="F760" t="s">
        <v>68</v>
      </c>
      <c r="G760" t="s">
        <v>3843</v>
      </c>
      <c r="H760" t="s">
        <v>3844</v>
      </c>
      <c r="I760" t="s">
        <v>1988</v>
      </c>
      <c r="J760" t="s">
        <v>580</v>
      </c>
      <c r="K760" t="s">
        <v>581</v>
      </c>
      <c r="L760" t="s">
        <v>5130</v>
      </c>
      <c r="M760" t="s">
        <v>5131</v>
      </c>
      <c r="O760" t="s">
        <v>2630</v>
      </c>
      <c r="P760" t="s">
        <v>2630</v>
      </c>
      <c r="Q760">
        <v>11</v>
      </c>
      <c r="R760" t="s">
        <v>2409</v>
      </c>
      <c r="S760" t="s">
        <v>2410</v>
      </c>
      <c r="T760">
        <v>2</v>
      </c>
      <c r="U760" t="s">
        <v>2430</v>
      </c>
      <c r="V760" t="s">
        <v>2431</v>
      </c>
      <c r="W760">
        <v>6</v>
      </c>
      <c r="X760" t="s">
        <v>2437</v>
      </c>
      <c r="Y760" t="s">
        <v>2438</v>
      </c>
      <c r="Z760">
        <v>1</v>
      </c>
      <c r="AA760" t="s">
        <v>73</v>
      </c>
      <c r="AB760" t="s">
        <v>73</v>
      </c>
      <c r="AF760">
        <v>339.22313090826441</v>
      </c>
      <c r="AG760">
        <v>7.25</v>
      </c>
      <c r="AH760">
        <v>15</v>
      </c>
      <c r="AI760">
        <v>931</v>
      </c>
      <c r="AJ760">
        <v>28.025701009182679</v>
      </c>
      <c r="AK760">
        <v>728</v>
      </c>
      <c r="AL760">
        <v>2007</v>
      </c>
      <c r="AM760">
        <v>39.23598141285575</v>
      </c>
      <c r="AN760">
        <v>0</v>
      </c>
      <c r="AO760" t="s">
        <v>6213</v>
      </c>
      <c r="AP760" t="s">
        <v>1987</v>
      </c>
    </row>
    <row r="761" spans="1:42" x14ac:dyDescent="0.25">
      <c r="A761">
        <v>760</v>
      </c>
      <c r="B761" t="s">
        <v>3328</v>
      </c>
      <c r="C761" t="s">
        <v>3328</v>
      </c>
      <c r="D761" t="s">
        <v>3707</v>
      </c>
      <c r="E761" t="s">
        <v>67</v>
      </c>
      <c r="F761" t="s">
        <v>68</v>
      </c>
      <c r="G761" t="s">
        <v>69</v>
      </c>
      <c r="H761" t="s">
        <v>70</v>
      </c>
      <c r="I761" t="s">
        <v>3840</v>
      </c>
      <c r="J761" t="s">
        <v>3839</v>
      </c>
      <c r="K761" t="s">
        <v>3838</v>
      </c>
      <c r="L761" t="s">
        <v>5354</v>
      </c>
      <c r="M761" t="s">
        <v>5355</v>
      </c>
      <c r="R761" t="s">
        <v>2420</v>
      </c>
      <c r="S761" t="s">
        <v>2421</v>
      </c>
      <c r="T761">
        <v>5</v>
      </c>
      <c r="U761" t="s">
        <v>73</v>
      </c>
      <c r="V761" t="s">
        <v>73</v>
      </c>
      <c r="X761" t="s">
        <v>2443</v>
      </c>
      <c r="Y761" t="s">
        <v>2444</v>
      </c>
      <c r="Z761">
        <v>3</v>
      </c>
      <c r="AA761" t="s">
        <v>73</v>
      </c>
      <c r="AB761" t="s">
        <v>73</v>
      </c>
      <c r="AF761">
        <v>339.17037403021845</v>
      </c>
      <c r="AG761">
        <v>6</v>
      </c>
      <c r="AH761">
        <v>4</v>
      </c>
      <c r="AI761">
        <v>594</v>
      </c>
      <c r="AJ761">
        <v>98.633748922464946</v>
      </c>
      <c r="AK761">
        <v>600.79999999999995</v>
      </c>
      <c r="AM761">
        <v>110.08724849145092</v>
      </c>
      <c r="AN761">
        <v>112</v>
      </c>
      <c r="AO761" t="s">
        <v>6214</v>
      </c>
      <c r="AP761" t="s">
        <v>3707</v>
      </c>
    </row>
    <row r="762" spans="1:42" x14ac:dyDescent="0.25">
      <c r="A762">
        <v>761</v>
      </c>
      <c r="B762" t="s">
        <v>1662</v>
      </c>
      <c r="C762" t="s">
        <v>1662</v>
      </c>
      <c r="D762" t="s">
        <v>4185</v>
      </c>
      <c r="E762" t="s">
        <v>351</v>
      </c>
      <c r="F762" t="s">
        <v>352</v>
      </c>
      <c r="G762" t="s">
        <v>257</v>
      </c>
      <c r="H762" t="s">
        <v>258</v>
      </c>
      <c r="I762" t="s">
        <v>1663</v>
      </c>
      <c r="J762" t="s">
        <v>536</v>
      </c>
      <c r="K762" t="s">
        <v>537</v>
      </c>
      <c r="L762">
        <v>50.293275830699997</v>
      </c>
      <c r="M762">
        <v>4.81570905354</v>
      </c>
      <c r="O762" t="s">
        <v>2586</v>
      </c>
      <c r="P762" t="s">
        <v>2587</v>
      </c>
      <c r="Q762">
        <v>14</v>
      </c>
      <c r="R762" t="s">
        <v>2406</v>
      </c>
      <c r="S762" t="s">
        <v>2407</v>
      </c>
      <c r="T762">
        <v>1</v>
      </c>
      <c r="U762" t="s">
        <v>2430</v>
      </c>
      <c r="V762" t="s">
        <v>2431</v>
      </c>
      <c r="W762">
        <v>6</v>
      </c>
      <c r="X762" t="s">
        <v>2446</v>
      </c>
      <c r="Y762" t="s">
        <v>2447</v>
      </c>
      <c r="Z762">
        <v>4</v>
      </c>
      <c r="AE762" t="s">
        <v>1664</v>
      </c>
      <c r="AF762">
        <v>338.85696465123783</v>
      </c>
      <c r="AG762">
        <v>7</v>
      </c>
      <c r="AH762">
        <v>24</v>
      </c>
      <c r="AI762">
        <v>842</v>
      </c>
      <c r="AJ762">
        <v>40.507738501375364</v>
      </c>
      <c r="AK762">
        <v>704.8</v>
      </c>
      <c r="AL762">
        <v>2004</v>
      </c>
      <c r="AM762">
        <v>56.710833901925504</v>
      </c>
      <c r="AN762">
        <v>0</v>
      </c>
      <c r="AO762" t="s">
        <v>6215</v>
      </c>
      <c r="AP762" t="s">
        <v>4185</v>
      </c>
    </row>
    <row r="763" spans="1:42" x14ac:dyDescent="0.25">
      <c r="A763">
        <v>762</v>
      </c>
      <c r="B763" t="s">
        <v>933</v>
      </c>
      <c r="C763" t="s">
        <v>933</v>
      </c>
      <c r="D763" t="s">
        <v>4266</v>
      </c>
      <c r="E763" t="s">
        <v>351</v>
      </c>
      <c r="F763" t="s">
        <v>352</v>
      </c>
      <c r="G763" t="s">
        <v>257</v>
      </c>
      <c r="H763" t="s">
        <v>258</v>
      </c>
      <c r="I763" t="s">
        <v>934</v>
      </c>
      <c r="J763" t="s">
        <v>536</v>
      </c>
      <c r="K763" t="s">
        <v>537</v>
      </c>
      <c r="L763">
        <v>50.3498807864</v>
      </c>
      <c r="M763">
        <v>4.95992367774</v>
      </c>
      <c r="Q763">
        <v>13</v>
      </c>
      <c r="R763" t="s">
        <v>2414</v>
      </c>
      <c r="S763" t="s">
        <v>2415</v>
      </c>
      <c r="T763">
        <v>3</v>
      </c>
      <c r="U763" t="s">
        <v>2434</v>
      </c>
      <c r="V763" t="s">
        <v>2435</v>
      </c>
      <c r="W763">
        <v>8</v>
      </c>
      <c r="X763" t="s">
        <v>2437</v>
      </c>
      <c r="Y763" t="s">
        <v>2438</v>
      </c>
      <c r="Z763">
        <v>1</v>
      </c>
      <c r="AF763">
        <v>338.73513513513501</v>
      </c>
      <c r="AG763">
        <v>7.7027027027027</v>
      </c>
      <c r="AH763">
        <v>36</v>
      </c>
      <c r="AI763">
        <v>966</v>
      </c>
      <c r="AJ763">
        <v>0</v>
      </c>
      <c r="AK763">
        <v>777.47027027027002</v>
      </c>
      <c r="AM763">
        <v>0</v>
      </c>
      <c r="AN763">
        <v>0</v>
      </c>
      <c r="AO763" t="s">
        <v>6216</v>
      </c>
      <c r="AP763" t="s">
        <v>4266</v>
      </c>
    </row>
    <row r="764" spans="1:42" x14ac:dyDescent="0.25">
      <c r="A764">
        <v>763</v>
      </c>
      <c r="B764" t="s">
        <v>914</v>
      </c>
      <c r="C764" t="s">
        <v>914</v>
      </c>
      <c r="D764" t="s">
        <v>3033</v>
      </c>
      <c r="E764" t="s">
        <v>218</v>
      </c>
      <c r="F764" t="s">
        <v>219</v>
      </c>
      <c r="G764" t="s">
        <v>69</v>
      </c>
      <c r="H764" t="s">
        <v>70</v>
      </c>
      <c r="J764" t="s">
        <v>220</v>
      </c>
      <c r="K764" t="s">
        <v>221</v>
      </c>
      <c r="L764" t="s">
        <v>4906</v>
      </c>
      <c r="M764" t="s">
        <v>4907</v>
      </c>
      <c r="R764" t="s">
        <v>2409</v>
      </c>
      <c r="S764" t="s">
        <v>2410</v>
      </c>
      <c r="T764">
        <v>2</v>
      </c>
      <c r="U764" t="s">
        <v>73</v>
      </c>
      <c r="V764" t="s">
        <v>73</v>
      </c>
      <c r="X764" t="s">
        <v>73</v>
      </c>
      <c r="Y764" t="s">
        <v>73</v>
      </c>
      <c r="AA764" t="s">
        <v>73</v>
      </c>
      <c r="AB764" t="s">
        <v>73</v>
      </c>
      <c r="AF764">
        <v>338.46311731045768</v>
      </c>
      <c r="AG764">
        <v>6.125</v>
      </c>
      <c r="AH764">
        <v>7</v>
      </c>
      <c r="AI764">
        <v>628</v>
      </c>
      <c r="AJ764">
        <v>90.570130344952986</v>
      </c>
      <c r="AK764">
        <v>613.9</v>
      </c>
      <c r="AM764">
        <v>70.79818248293418</v>
      </c>
      <c r="AN764">
        <v>224</v>
      </c>
      <c r="AO764" t="s">
        <v>6217</v>
      </c>
      <c r="AP764" t="s">
        <v>3033</v>
      </c>
    </row>
    <row r="765" spans="1:42" x14ac:dyDescent="0.25">
      <c r="A765">
        <v>764</v>
      </c>
      <c r="B765" t="s">
        <v>3401</v>
      </c>
      <c r="C765" t="s">
        <v>3401</v>
      </c>
      <c r="D765" t="s">
        <v>3407</v>
      </c>
      <c r="E765" t="s">
        <v>183</v>
      </c>
      <c r="F765" t="s">
        <v>184</v>
      </c>
      <c r="G765" t="s">
        <v>158</v>
      </c>
      <c r="H765" t="s">
        <v>159</v>
      </c>
      <c r="I765" t="s">
        <v>3975</v>
      </c>
      <c r="J765" t="s">
        <v>1205</v>
      </c>
      <c r="K765" t="s">
        <v>1206</v>
      </c>
      <c r="Q765">
        <v>15</v>
      </c>
      <c r="R765" t="s">
        <v>2409</v>
      </c>
      <c r="S765" t="s">
        <v>2410</v>
      </c>
      <c r="T765">
        <v>2</v>
      </c>
      <c r="U765" t="s">
        <v>3139</v>
      </c>
      <c r="V765" t="s">
        <v>3140</v>
      </c>
      <c r="W765">
        <v>4</v>
      </c>
      <c r="X765" t="s">
        <v>2446</v>
      </c>
      <c r="Y765" t="s">
        <v>2447</v>
      </c>
      <c r="Z765">
        <v>4</v>
      </c>
      <c r="AA765" t="s">
        <v>73</v>
      </c>
      <c r="AB765" t="s">
        <v>73</v>
      </c>
      <c r="AF765">
        <v>338.34910941817839</v>
      </c>
      <c r="AG765">
        <v>6</v>
      </c>
      <c r="AH765">
        <v>6</v>
      </c>
      <c r="AI765">
        <v>600</v>
      </c>
      <c r="AJ765">
        <v>97.499010464642623</v>
      </c>
      <c r="AK765">
        <v>601.20000000000005</v>
      </c>
      <c r="AM765">
        <v>136.49861465049966</v>
      </c>
      <c r="AN765">
        <v>0</v>
      </c>
      <c r="AO765" t="s">
        <v>6218</v>
      </c>
      <c r="AP765" t="s">
        <v>3407</v>
      </c>
    </row>
    <row r="766" spans="1:42" x14ac:dyDescent="0.25">
      <c r="A766">
        <v>765</v>
      </c>
      <c r="B766" t="s">
        <v>1115</v>
      </c>
      <c r="C766" t="s">
        <v>1115</v>
      </c>
      <c r="D766" t="s">
        <v>1116</v>
      </c>
      <c r="E766" t="s">
        <v>161</v>
      </c>
      <c r="F766" t="s">
        <v>161</v>
      </c>
      <c r="G766" t="s">
        <v>3167</v>
      </c>
      <c r="H766" t="s">
        <v>3166</v>
      </c>
      <c r="J766" t="s">
        <v>950</v>
      </c>
      <c r="K766" t="s">
        <v>951</v>
      </c>
      <c r="R766" t="s">
        <v>73</v>
      </c>
      <c r="S766" t="s">
        <v>73</v>
      </c>
      <c r="U766" t="s">
        <v>73</v>
      </c>
      <c r="V766" t="s">
        <v>73</v>
      </c>
      <c r="X766" t="s">
        <v>73</v>
      </c>
      <c r="Y766" t="s">
        <v>73</v>
      </c>
      <c r="AF766">
        <v>338.2</v>
      </c>
      <c r="AG766">
        <v>7.75</v>
      </c>
      <c r="AH766">
        <v>7</v>
      </c>
      <c r="AI766">
        <v>967</v>
      </c>
      <c r="AJ766">
        <v>0</v>
      </c>
      <c r="AK766">
        <v>776.4</v>
      </c>
      <c r="AM766">
        <v>0</v>
      </c>
      <c r="AN766">
        <v>0</v>
      </c>
      <c r="AO766" t="s">
        <v>6219</v>
      </c>
      <c r="AP766" t="s">
        <v>1116</v>
      </c>
    </row>
    <row r="767" spans="1:42" x14ac:dyDescent="0.25">
      <c r="A767">
        <v>766</v>
      </c>
      <c r="B767" t="s">
        <v>3389</v>
      </c>
      <c r="C767" t="s">
        <v>3389</v>
      </c>
      <c r="D767" t="s">
        <v>3939</v>
      </c>
      <c r="E767" t="s">
        <v>5312</v>
      </c>
      <c r="F767" t="s">
        <v>157</v>
      </c>
      <c r="G767" t="s">
        <v>158</v>
      </c>
      <c r="H767" t="s">
        <v>159</v>
      </c>
      <c r="I767" t="s">
        <v>3938</v>
      </c>
      <c r="J767" t="s">
        <v>3085</v>
      </c>
      <c r="K767" t="s">
        <v>3086</v>
      </c>
      <c r="L767" t="s">
        <v>5304</v>
      </c>
      <c r="M767" t="s">
        <v>5305</v>
      </c>
      <c r="Q767">
        <v>13</v>
      </c>
      <c r="R767" t="s">
        <v>2406</v>
      </c>
      <c r="S767" t="s">
        <v>2407</v>
      </c>
      <c r="T767">
        <v>1</v>
      </c>
      <c r="U767" t="s">
        <v>2430</v>
      </c>
      <c r="V767" t="s">
        <v>2431</v>
      </c>
      <c r="W767">
        <v>6</v>
      </c>
      <c r="X767" t="s">
        <v>2440</v>
      </c>
      <c r="Y767" t="s">
        <v>2441</v>
      </c>
      <c r="Z767">
        <v>2</v>
      </c>
      <c r="AA767" t="s">
        <v>73</v>
      </c>
      <c r="AB767" t="s">
        <v>73</v>
      </c>
      <c r="AF767">
        <v>338.04910941817838</v>
      </c>
      <c r="AG767">
        <v>6</v>
      </c>
      <c r="AH767">
        <v>3</v>
      </c>
      <c r="AI767">
        <v>601</v>
      </c>
      <c r="AJ767">
        <v>97.499010464642623</v>
      </c>
      <c r="AK767">
        <v>600.6</v>
      </c>
      <c r="AM767">
        <v>136.49861465049966</v>
      </c>
      <c r="AN767">
        <v>0</v>
      </c>
      <c r="AO767" t="s">
        <v>6220</v>
      </c>
      <c r="AP767" t="s">
        <v>3939</v>
      </c>
    </row>
    <row r="768" spans="1:42" x14ac:dyDescent="0.25">
      <c r="A768">
        <v>767</v>
      </c>
      <c r="B768" t="s">
        <v>1781</v>
      </c>
      <c r="C768" t="s">
        <v>1781</v>
      </c>
      <c r="D768" t="s">
        <v>4238</v>
      </c>
      <c r="E768" t="s">
        <v>255</v>
      </c>
      <c r="F768" t="s">
        <v>256</v>
      </c>
      <c r="G768" t="s">
        <v>257</v>
      </c>
      <c r="H768" t="s">
        <v>258</v>
      </c>
      <c r="I768" t="s">
        <v>1782</v>
      </c>
      <c r="J768" t="s">
        <v>546</v>
      </c>
      <c r="K768" t="s">
        <v>547</v>
      </c>
      <c r="L768">
        <v>51.916388888888903</v>
      </c>
      <c r="M768">
        <v>4.10388888888889</v>
      </c>
      <c r="Q768">
        <v>13</v>
      </c>
      <c r="R768" t="s">
        <v>2406</v>
      </c>
      <c r="S768" t="s">
        <v>2407</v>
      </c>
      <c r="T768">
        <v>1</v>
      </c>
      <c r="U768" t="s">
        <v>2428</v>
      </c>
      <c r="V768" t="s">
        <v>2429</v>
      </c>
      <c r="W768">
        <v>3</v>
      </c>
      <c r="X768" t="s">
        <v>2446</v>
      </c>
      <c r="Y768" t="s">
        <v>2447</v>
      </c>
      <c r="Z768">
        <v>4</v>
      </c>
      <c r="AE768" t="s">
        <v>1783</v>
      </c>
      <c r="AF768">
        <v>337.76977233331934</v>
      </c>
      <c r="AG768">
        <v>5.3548387096774004</v>
      </c>
      <c r="AH768">
        <v>30</v>
      </c>
      <c r="AI768">
        <v>454</v>
      </c>
      <c r="AJ768">
        <v>130.03092983272145</v>
      </c>
      <c r="AK768">
        <v>541.48387096774002</v>
      </c>
      <c r="AM768">
        <v>182.04330176581004</v>
      </c>
      <c r="AN768">
        <v>0</v>
      </c>
      <c r="AO768" t="s">
        <v>6221</v>
      </c>
      <c r="AP768" t="s">
        <v>4238</v>
      </c>
    </row>
    <row r="769" spans="1:42" x14ac:dyDescent="0.25">
      <c r="A769">
        <v>768</v>
      </c>
      <c r="B769" t="s">
        <v>3390</v>
      </c>
      <c r="C769" t="s">
        <v>3390</v>
      </c>
      <c r="D769" t="s">
        <v>3940</v>
      </c>
      <c r="E769" t="s">
        <v>5312</v>
      </c>
      <c r="F769" t="s">
        <v>157</v>
      </c>
      <c r="G769" t="s">
        <v>158</v>
      </c>
      <c r="H769" t="s">
        <v>159</v>
      </c>
      <c r="I769" t="s">
        <v>3941</v>
      </c>
      <c r="J769" t="s">
        <v>3085</v>
      </c>
      <c r="K769" t="s">
        <v>3086</v>
      </c>
      <c r="L769" t="s">
        <v>5302</v>
      </c>
      <c r="M769" t="s">
        <v>5303</v>
      </c>
      <c r="Q769">
        <v>13</v>
      </c>
      <c r="R769" t="s">
        <v>2414</v>
      </c>
      <c r="S769" t="s">
        <v>2415</v>
      </c>
      <c r="T769">
        <v>3</v>
      </c>
      <c r="U769" t="s">
        <v>3137</v>
      </c>
      <c r="V769" t="s">
        <v>3136</v>
      </c>
      <c r="W769">
        <v>5</v>
      </c>
      <c r="X769" t="s">
        <v>73</v>
      </c>
      <c r="Y769" t="s">
        <v>73</v>
      </c>
      <c r="AA769" t="s">
        <v>73</v>
      </c>
      <c r="AB769" t="s">
        <v>73</v>
      </c>
      <c r="AF769">
        <v>337.44510055917613</v>
      </c>
      <c r="AG769">
        <v>5.75</v>
      </c>
      <c r="AH769">
        <v>3</v>
      </c>
      <c r="AI769">
        <v>553</v>
      </c>
      <c r="AJ769">
        <v>110.71677839908459</v>
      </c>
      <c r="AK769">
        <v>575.6</v>
      </c>
      <c r="AM769">
        <v>155.00348975871842</v>
      </c>
      <c r="AN769">
        <v>0</v>
      </c>
      <c r="AO769" t="s">
        <v>6222</v>
      </c>
      <c r="AP769" t="s">
        <v>3940</v>
      </c>
    </row>
    <row r="770" spans="1:42" x14ac:dyDescent="0.25">
      <c r="A770">
        <v>769</v>
      </c>
      <c r="B770" t="s">
        <v>2859</v>
      </c>
      <c r="C770" t="s">
        <v>2859</v>
      </c>
      <c r="D770" t="s">
        <v>2844</v>
      </c>
      <c r="E770" t="s">
        <v>91</v>
      </c>
      <c r="F770" t="s">
        <v>92</v>
      </c>
      <c r="G770" t="s">
        <v>632</v>
      </c>
      <c r="H770" t="s">
        <v>633</v>
      </c>
      <c r="I770" t="s">
        <v>3079</v>
      </c>
      <c r="J770" t="s">
        <v>3070</v>
      </c>
      <c r="K770" t="s">
        <v>3071</v>
      </c>
      <c r="L770" t="s">
        <v>4546</v>
      </c>
      <c r="M770" t="s">
        <v>4547</v>
      </c>
      <c r="R770" t="s">
        <v>2409</v>
      </c>
      <c r="S770" t="s">
        <v>2410</v>
      </c>
      <c r="T770">
        <v>2</v>
      </c>
      <c r="U770" t="s">
        <v>2432</v>
      </c>
      <c r="V770" t="s">
        <v>2433</v>
      </c>
      <c r="W770">
        <v>7</v>
      </c>
      <c r="X770" t="s">
        <v>2446</v>
      </c>
      <c r="Y770" t="s">
        <v>2447</v>
      </c>
      <c r="Z770">
        <v>4</v>
      </c>
      <c r="AF770">
        <v>337.4</v>
      </c>
      <c r="AG770">
        <v>7</v>
      </c>
      <c r="AH770">
        <v>14</v>
      </c>
      <c r="AI770">
        <v>874</v>
      </c>
      <c r="AJ770">
        <v>40</v>
      </c>
      <c r="AK770">
        <v>702.8</v>
      </c>
      <c r="AM770">
        <v>0</v>
      </c>
      <c r="AN770">
        <v>224</v>
      </c>
      <c r="AO770" t="s">
        <v>6223</v>
      </c>
      <c r="AP770" t="s">
        <v>2844</v>
      </c>
    </row>
    <row r="771" spans="1:42" x14ac:dyDescent="0.25">
      <c r="A771">
        <v>770</v>
      </c>
      <c r="B771" t="s">
        <v>3711</v>
      </c>
      <c r="C771" t="s">
        <v>3711</v>
      </c>
      <c r="D771" t="s">
        <v>3791</v>
      </c>
      <c r="E771" t="s">
        <v>351</v>
      </c>
      <c r="F771" t="s">
        <v>352</v>
      </c>
      <c r="G771" t="s">
        <v>257</v>
      </c>
      <c r="H771" t="s">
        <v>258</v>
      </c>
      <c r="I771" t="s">
        <v>3792</v>
      </c>
      <c r="J771" t="s">
        <v>602</v>
      </c>
      <c r="K771" t="s">
        <v>603</v>
      </c>
      <c r="L771">
        <v>51.083889913999997</v>
      </c>
      <c r="M771">
        <v>4.9171817547399996</v>
      </c>
      <c r="R771" t="s">
        <v>2414</v>
      </c>
      <c r="S771" t="s">
        <v>2415</v>
      </c>
      <c r="T771">
        <v>3</v>
      </c>
      <c r="U771" t="s">
        <v>3139</v>
      </c>
      <c r="V771" t="s">
        <v>3140</v>
      </c>
      <c r="W771">
        <v>4</v>
      </c>
      <c r="X771" t="s">
        <v>2440</v>
      </c>
      <c r="Y771" t="s">
        <v>2441</v>
      </c>
      <c r="Z771">
        <v>2</v>
      </c>
      <c r="AA771" t="s">
        <v>73</v>
      </c>
      <c r="AB771" t="s">
        <v>73</v>
      </c>
      <c r="AF771">
        <v>337.01428571428499</v>
      </c>
      <c r="AG771">
        <v>7.7142857142857002</v>
      </c>
      <c r="AH771">
        <v>13</v>
      </c>
      <c r="AI771">
        <v>968</v>
      </c>
      <c r="AJ771">
        <v>0</v>
      </c>
      <c r="AK771">
        <v>774.02857142856999</v>
      </c>
      <c r="AM771">
        <v>0</v>
      </c>
      <c r="AN771">
        <v>0</v>
      </c>
      <c r="AO771" t="s">
        <v>6224</v>
      </c>
      <c r="AP771" t="s">
        <v>3791</v>
      </c>
    </row>
    <row r="772" spans="1:42" x14ac:dyDescent="0.25">
      <c r="A772">
        <v>771</v>
      </c>
      <c r="B772" t="s">
        <v>3331</v>
      </c>
      <c r="C772" t="s">
        <v>3331</v>
      </c>
      <c r="D772" t="s">
        <v>3696</v>
      </c>
      <c r="E772" t="s">
        <v>229</v>
      </c>
      <c r="F772" t="s">
        <v>229</v>
      </c>
      <c r="G772" t="s">
        <v>69</v>
      </c>
      <c r="H772" t="s">
        <v>70</v>
      </c>
      <c r="R772" t="s">
        <v>73</v>
      </c>
      <c r="S772" t="s">
        <v>73</v>
      </c>
      <c r="U772" t="s">
        <v>73</v>
      </c>
      <c r="V772" t="s">
        <v>73</v>
      </c>
      <c r="X772" t="s">
        <v>73</v>
      </c>
      <c r="Y772" t="s">
        <v>73</v>
      </c>
      <c r="AA772" t="s">
        <v>73</v>
      </c>
      <c r="AB772" t="s">
        <v>73</v>
      </c>
      <c r="AF772">
        <v>336.99202255549011</v>
      </c>
      <c r="AG772">
        <v>4.3333333333333002</v>
      </c>
      <c r="AH772">
        <v>2</v>
      </c>
      <c r="AI772">
        <v>241</v>
      </c>
      <c r="AJ772">
        <v>189.02817320980569</v>
      </c>
      <c r="AK772">
        <v>433.73333333332999</v>
      </c>
      <c r="AM772">
        <v>152.63944249372793</v>
      </c>
      <c r="AN772">
        <v>448</v>
      </c>
      <c r="AO772" t="s">
        <v>6225</v>
      </c>
      <c r="AP772" t="s">
        <v>3696</v>
      </c>
    </row>
    <row r="773" spans="1:42" x14ac:dyDescent="0.25">
      <c r="A773">
        <v>772</v>
      </c>
      <c r="B773" t="s">
        <v>1809</v>
      </c>
      <c r="C773" t="s">
        <v>1809</v>
      </c>
      <c r="D773" t="s">
        <v>4046</v>
      </c>
      <c r="E773" t="s">
        <v>3643</v>
      </c>
      <c r="F773" t="s">
        <v>786</v>
      </c>
      <c r="G773" t="s">
        <v>60</v>
      </c>
      <c r="H773" t="s">
        <v>61</v>
      </c>
      <c r="I773" t="s">
        <v>4048</v>
      </c>
      <c r="R773" t="s">
        <v>73</v>
      </c>
      <c r="S773" t="s">
        <v>73</v>
      </c>
      <c r="U773" t="s">
        <v>73</v>
      </c>
      <c r="V773" t="s">
        <v>73</v>
      </c>
      <c r="X773" t="s">
        <v>73</v>
      </c>
      <c r="Y773" t="s">
        <v>73</v>
      </c>
      <c r="AA773" t="s">
        <v>73</v>
      </c>
      <c r="AB773" t="s">
        <v>73</v>
      </c>
      <c r="AF773">
        <v>336.88571428571504</v>
      </c>
      <c r="AG773">
        <v>6.2857142857142998</v>
      </c>
      <c r="AH773">
        <v>6</v>
      </c>
      <c r="AI773">
        <v>677</v>
      </c>
      <c r="AJ773">
        <v>80</v>
      </c>
      <c r="AK773">
        <v>629.77142857143008</v>
      </c>
      <c r="AM773">
        <v>0</v>
      </c>
      <c r="AN773">
        <v>448</v>
      </c>
      <c r="AO773" t="s">
        <v>6226</v>
      </c>
      <c r="AP773" t="s">
        <v>4046</v>
      </c>
    </row>
    <row r="774" spans="1:42" x14ac:dyDescent="0.25">
      <c r="A774">
        <v>773</v>
      </c>
      <c r="B774" t="s">
        <v>3743</v>
      </c>
      <c r="C774" t="s">
        <v>3743</v>
      </c>
      <c r="D774" t="s">
        <v>5289</v>
      </c>
      <c r="E774" t="s">
        <v>5312</v>
      </c>
      <c r="F774" t="s">
        <v>157</v>
      </c>
      <c r="G774" t="s">
        <v>158</v>
      </c>
      <c r="H774" t="s">
        <v>159</v>
      </c>
      <c r="I774" t="s">
        <v>3937</v>
      </c>
      <c r="J774" t="s">
        <v>3094</v>
      </c>
      <c r="K774" t="s">
        <v>3095</v>
      </c>
      <c r="L774" t="s">
        <v>5290</v>
      </c>
      <c r="M774" t="s">
        <v>5291</v>
      </c>
      <c r="R774" t="s">
        <v>2409</v>
      </c>
      <c r="S774" t="s">
        <v>2410</v>
      </c>
      <c r="T774">
        <v>2</v>
      </c>
      <c r="U774" t="s">
        <v>2432</v>
      </c>
      <c r="V774" t="s">
        <v>2433</v>
      </c>
      <c r="W774">
        <v>7</v>
      </c>
      <c r="X774" t="s">
        <v>2440</v>
      </c>
      <c r="Y774" t="s">
        <v>2441</v>
      </c>
      <c r="Z774">
        <v>2</v>
      </c>
      <c r="AA774" t="s">
        <v>73</v>
      </c>
      <c r="AB774" t="s">
        <v>73</v>
      </c>
      <c r="AF774">
        <v>336.56518437740044</v>
      </c>
      <c r="AG774">
        <v>6.6666666666666998</v>
      </c>
      <c r="AH774">
        <v>5</v>
      </c>
      <c r="AI774">
        <v>799</v>
      </c>
      <c r="AJ774">
        <v>58.590945604517167</v>
      </c>
      <c r="AK774">
        <v>667.66666666666993</v>
      </c>
      <c r="AM774">
        <v>82.027323846324023</v>
      </c>
      <c r="AN774">
        <v>0</v>
      </c>
      <c r="AO774" t="s">
        <v>6227</v>
      </c>
      <c r="AP774" t="s">
        <v>5289</v>
      </c>
    </row>
    <row r="775" spans="1:42" x14ac:dyDescent="0.25">
      <c r="A775">
        <v>774</v>
      </c>
      <c r="B775" t="s">
        <v>3571</v>
      </c>
      <c r="C775" t="s">
        <v>3571</v>
      </c>
      <c r="D775" t="s">
        <v>3572</v>
      </c>
      <c r="E775" t="s">
        <v>218</v>
      </c>
      <c r="F775" t="s">
        <v>219</v>
      </c>
      <c r="G775" t="s">
        <v>69</v>
      </c>
      <c r="H775" t="s">
        <v>70</v>
      </c>
      <c r="I775" t="s">
        <v>3596</v>
      </c>
      <c r="J775" t="s">
        <v>251</v>
      </c>
      <c r="K775" t="s">
        <v>252</v>
      </c>
      <c r="L775" t="s">
        <v>4996</v>
      </c>
      <c r="M775" t="s">
        <v>4997</v>
      </c>
      <c r="R775" t="s">
        <v>73</v>
      </c>
      <c r="S775" t="s">
        <v>73</v>
      </c>
      <c r="U775" t="s">
        <v>73</v>
      </c>
      <c r="V775" t="s">
        <v>73</v>
      </c>
      <c r="X775" t="s">
        <v>73</v>
      </c>
      <c r="Y775" t="s">
        <v>73</v>
      </c>
      <c r="AA775" t="s">
        <v>73</v>
      </c>
      <c r="AB775" t="s">
        <v>73</v>
      </c>
      <c r="AF775">
        <v>336.4</v>
      </c>
      <c r="AG775">
        <v>7</v>
      </c>
      <c r="AH775">
        <v>4</v>
      </c>
      <c r="AI775">
        <v>875</v>
      </c>
      <c r="AJ775">
        <v>40</v>
      </c>
      <c r="AK775">
        <v>700.8</v>
      </c>
      <c r="AM775">
        <v>0</v>
      </c>
      <c r="AN775">
        <v>224</v>
      </c>
      <c r="AO775" t="s">
        <v>6228</v>
      </c>
      <c r="AP775" t="s">
        <v>3572</v>
      </c>
    </row>
    <row r="776" spans="1:42" x14ac:dyDescent="0.25">
      <c r="A776">
        <v>775</v>
      </c>
      <c r="B776" t="s">
        <v>1197</v>
      </c>
      <c r="C776" t="s">
        <v>1197</v>
      </c>
      <c r="D776" t="s">
        <v>1198</v>
      </c>
      <c r="E776" t="s">
        <v>351</v>
      </c>
      <c r="F776" t="s">
        <v>352</v>
      </c>
      <c r="G776" t="s">
        <v>257</v>
      </c>
      <c r="H776" t="s">
        <v>258</v>
      </c>
      <c r="I776" t="s">
        <v>1199</v>
      </c>
      <c r="J776" t="s">
        <v>1133</v>
      </c>
      <c r="K776" t="s">
        <v>1134</v>
      </c>
      <c r="L776">
        <v>50.527624346000003</v>
      </c>
      <c r="M776">
        <v>5.8239218996800002</v>
      </c>
      <c r="Q776">
        <v>12</v>
      </c>
      <c r="R776" t="s">
        <v>2406</v>
      </c>
      <c r="S776" t="s">
        <v>2407</v>
      </c>
      <c r="T776">
        <v>1</v>
      </c>
      <c r="U776" t="s">
        <v>2430</v>
      </c>
      <c r="V776" t="s">
        <v>2431</v>
      </c>
      <c r="W776">
        <v>6</v>
      </c>
      <c r="X776" t="s">
        <v>2446</v>
      </c>
      <c r="Y776" t="s">
        <v>2447</v>
      </c>
      <c r="Z776">
        <v>4</v>
      </c>
      <c r="AE776" t="s">
        <v>1200</v>
      </c>
      <c r="AF776">
        <v>336.38227295343597</v>
      </c>
      <c r="AG776">
        <v>7.1111111111111001</v>
      </c>
      <c r="AH776">
        <v>26</v>
      </c>
      <c r="AI776">
        <v>921</v>
      </c>
      <c r="AJ776">
        <v>31.363019330978833</v>
      </c>
      <c r="AK776">
        <v>716.31111111110999</v>
      </c>
      <c r="AL776">
        <v>2004</v>
      </c>
      <c r="AM776">
        <v>43.908227063370362</v>
      </c>
      <c r="AN776">
        <v>0</v>
      </c>
      <c r="AO776" t="s">
        <v>6229</v>
      </c>
      <c r="AP776" t="s">
        <v>1198</v>
      </c>
    </row>
    <row r="777" spans="1:42" x14ac:dyDescent="0.25">
      <c r="A777">
        <v>776</v>
      </c>
      <c r="B777" t="s">
        <v>1735</v>
      </c>
      <c r="C777" t="s">
        <v>1735</v>
      </c>
      <c r="D777" t="s">
        <v>1736</v>
      </c>
      <c r="E777" t="s">
        <v>255</v>
      </c>
      <c r="F777" t="s">
        <v>256</v>
      </c>
      <c r="G777" t="s">
        <v>257</v>
      </c>
      <c r="H777" t="s">
        <v>258</v>
      </c>
      <c r="I777" t="s">
        <v>1737</v>
      </c>
      <c r="J777" t="s">
        <v>1306</v>
      </c>
      <c r="K777" t="s">
        <v>1307</v>
      </c>
      <c r="L777">
        <v>52.163179</v>
      </c>
      <c r="M777">
        <v>5.0089069999999998</v>
      </c>
      <c r="N777" t="s">
        <v>4231</v>
      </c>
      <c r="O777" t="s">
        <v>2594</v>
      </c>
      <c r="P777" t="s">
        <v>2595</v>
      </c>
      <c r="Q777">
        <v>13</v>
      </c>
      <c r="R777" t="s">
        <v>2414</v>
      </c>
      <c r="S777" t="s">
        <v>2415</v>
      </c>
      <c r="T777">
        <v>3</v>
      </c>
      <c r="U777" t="s">
        <v>2432</v>
      </c>
      <c r="V777" t="s">
        <v>2433</v>
      </c>
      <c r="W777">
        <v>7</v>
      </c>
      <c r="X777" t="s">
        <v>2437</v>
      </c>
      <c r="Y777" t="s">
        <v>2438</v>
      </c>
      <c r="Z777">
        <v>1</v>
      </c>
      <c r="AA777" t="s">
        <v>73</v>
      </c>
      <c r="AB777" t="s">
        <v>73</v>
      </c>
      <c r="AC777" t="s">
        <v>1738</v>
      </c>
      <c r="AD777" t="s">
        <v>1738</v>
      </c>
      <c r="AF777">
        <v>336.36371663777379</v>
      </c>
      <c r="AG777">
        <v>7.0535714285714004</v>
      </c>
      <c r="AH777">
        <v>55</v>
      </c>
      <c r="AI777">
        <v>922</v>
      </c>
      <c r="AJ777">
        <v>31.316828010226423</v>
      </c>
      <c r="AK777">
        <v>716.35714285714005</v>
      </c>
      <c r="AM777">
        <v>43.84355921431699</v>
      </c>
      <c r="AN777">
        <v>0</v>
      </c>
      <c r="AO777" t="s">
        <v>6230</v>
      </c>
      <c r="AP777" t="s">
        <v>1736</v>
      </c>
    </row>
    <row r="778" spans="1:42" x14ac:dyDescent="0.25">
      <c r="A778">
        <v>777</v>
      </c>
      <c r="B778" t="s">
        <v>3747</v>
      </c>
      <c r="C778" t="s">
        <v>3747</v>
      </c>
      <c r="D778" t="s">
        <v>4802</v>
      </c>
      <c r="E778" t="s">
        <v>556</v>
      </c>
      <c r="F778" t="s">
        <v>557</v>
      </c>
      <c r="G778" t="s">
        <v>60</v>
      </c>
      <c r="H778" t="s">
        <v>61</v>
      </c>
      <c r="J778" t="s">
        <v>3762</v>
      </c>
      <c r="K778" t="s">
        <v>3763</v>
      </c>
      <c r="L778" t="s">
        <v>4815</v>
      </c>
      <c r="M778" t="s">
        <v>4816</v>
      </c>
      <c r="R778" t="s">
        <v>73</v>
      </c>
      <c r="S778" t="s">
        <v>73</v>
      </c>
      <c r="U778" t="s">
        <v>73</v>
      </c>
      <c r="V778" t="s">
        <v>73</v>
      </c>
      <c r="X778" t="s">
        <v>73</v>
      </c>
      <c r="Y778" t="s">
        <v>73</v>
      </c>
      <c r="AA778" t="s">
        <v>73</v>
      </c>
      <c r="AB778" t="s">
        <v>73</v>
      </c>
      <c r="AF778">
        <v>336.3</v>
      </c>
      <c r="AG778">
        <v>7</v>
      </c>
      <c r="AH778">
        <v>3</v>
      </c>
      <c r="AI778">
        <v>876</v>
      </c>
      <c r="AJ778">
        <v>40</v>
      </c>
      <c r="AK778">
        <v>700.6</v>
      </c>
      <c r="AM778">
        <v>0</v>
      </c>
      <c r="AN778">
        <v>224</v>
      </c>
      <c r="AO778" t="s">
        <v>6231</v>
      </c>
      <c r="AP778" t="s">
        <v>4802</v>
      </c>
    </row>
    <row r="779" spans="1:42" x14ac:dyDescent="0.25">
      <c r="A779">
        <v>778</v>
      </c>
      <c r="B779" t="s">
        <v>3752</v>
      </c>
      <c r="C779" t="s">
        <v>4101</v>
      </c>
      <c r="D779" t="s">
        <v>4819</v>
      </c>
      <c r="E779" t="s">
        <v>556</v>
      </c>
      <c r="F779" t="s">
        <v>557</v>
      </c>
      <c r="G779" t="s">
        <v>60</v>
      </c>
      <c r="H779" t="s">
        <v>61</v>
      </c>
      <c r="J779" t="s">
        <v>3758</v>
      </c>
      <c r="K779" t="s">
        <v>3759</v>
      </c>
      <c r="L779" t="s">
        <v>4817</v>
      </c>
      <c r="M779" t="s">
        <v>4818</v>
      </c>
      <c r="R779" t="s">
        <v>73</v>
      </c>
      <c r="S779" t="s">
        <v>73</v>
      </c>
      <c r="U779" t="s">
        <v>73</v>
      </c>
      <c r="V779" t="s">
        <v>73</v>
      </c>
      <c r="X779" t="s">
        <v>73</v>
      </c>
      <c r="Y779" t="s">
        <v>73</v>
      </c>
      <c r="AA779" t="s">
        <v>73</v>
      </c>
      <c r="AB779" t="s">
        <v>73</v>
      </c>
      <c r="AF779">
        <v>336.3</v>
      </c>
      <c r="AG779">
        <v>7</v>
      </c>
      <c r="AH779">
        <v>3</v>
      </c>
      <c r="AI779">
        <v>877</v>
      </c>
      <c r="AJ779">
        <v>40</v>
      </c>
      <c r="AK779">
        <v>700.6</v>
      </c>
      <c r="AM779">
        <v>0</v>
      </c>
      <c r="AN779">
        <v>224</v>
      </c>
      <c r="AO779" t="s">
        <v>6232</v>
      </c>
      <c r="AP779" t="s">
        <v>4819</v>
      </c>
    </row>
    <row r="780" spans="1:42" x14ac:dyDescent="0.25">
      <c r="A780">
        <v>779</v>
      </c>
      <c r="B780" t="s">
        <v>1852</v>
      </c>
      <c r="C780" t="s">
        <v>1852</v>
      </c>
      <c r="D780" t="s">
        <v>4798</v>
      </c>
      <c r="E780" t="s">
        <v>556</v>
      </c>
      <c r="F780" t="s">
        <v>557</v>
      </c>
      <c r="G780" t="s">
        <v>60</v>
      </c>
      <c r="H780" t="s">
        <v>61</v>
      </c>
      <c r="J780" t="s">
        <v>3120</v>
      </c>
      <c r="K780" t="s">
        <v>3121</v>
      </c>
      <c r="R780" t="s">
        <v>73</v>
      </c>
      <c r="S780" t="s">
        <v>73</v>
      </c>
      <c r="U780" t="s">
        <v>73</v>
      </c>
      <c r="V780" t="s">
        <v>73</v>
      </c>
      <c r="X780" t="s">
        <v>73</v>
      </c>
      <c r="Y780" t="s">
        <v>73</v>
      </c>
      <c r="AA780" t="s">
        <v>73</v>
      </c>
      <c r="AB780" t="s">
        <v>73</v>
      </c>
      <c r="AF780">
        <v>336.2</v>
      </c>
      <c r="AG780">
        <v>7</v>
      </c>
      <c r="AH780">
        <v>2</v>
      </c>
      <c r="AI780">
        <v>878</v>
      </c>
      <c r="AJ780">
        <v>40</v>
      </c>
      <c r="AK780">
        <v>700.4</v>
      </c>
      <c r="AM780">
        <v>0</v>
      </c>
      <c r="AN780">
        <v>224</v>
      </c>
      <c r="AO780" t="s">
        <v>6233</v>
      </c>
      <c r="AP780" t="s">
        <v>4798</v>
      </c>
    </row>
    <row r="781" spans="1:42" x14ac:dyDescent="0.25">
      <c r="A781">
        <v>780</v>
      </c>
      <c r="B781" t="s">
        <v>413</v>
      </c>
      <c r="C781" t="s">
        <v>413</v>
      </c>
      <c r="D781" t="s">
        <v>414</v>
      </c>
      <c r="E781" t="s">
        <v>415</v>
      </c>
      <c r="F781" t="s">
        <v>415</v>
      </c>
      <c r="G781" t="s">
        <v>85</v>
      </c>
      <c r="H781" t="s">
        <v>86</v>
      </c>
      <c r="O781" t="s">
        <v>416</v>
      </c>
      <c r="P781" t="s">
        <v>416</v>
      </c>
      <c r="Q781">
        <v>16</v>
      </c>
      <c r="R781" t="s">
        <v>73</v>
      </c>
      <c r="S781" t="s">
        <v>73</v>
      </c>
      <c r="U781" t="s">
        <v>2430</v>
      </c>
      <c r="V781" t="s">
        <v>2431</v>
      </c>
      <c r="W781">
        <v>6</v>
      </c>
      <c r="X781" t="s">
        <v>2449</v>
      </c>
      <c r="Y781" t="s">
        <v>2450</v>
      </c>
      <c r="Z781">
        <v>5</v>
      </c>
      <c r="AA781" t="s">
        <v>73</v>
      </c>
      <c r="AB781" t="s">
        <v>73</v>
      </c>
      <c r="AC781" t="s">
        <v>417</v>
      </c>
      <c r="AD781" t="s">
        <v>417</v>
      </c>
      <c r="AF781">
        <v>336.2</v>
      </c>
      <c r="AG781">
        <v>7</v>
      </c>
      <c r="AH781">
        <v>2</v>
      </c>
      <c r="AI781">
        <v>879</v>
      </c>
      <c r="AJ781">
        <v>40</v>
      </c>
      <c r="AK781">
        <v>700.4</v>
      </c>
      <c r="AM781">
        <v>0</v>
      </c>
      <c r="AN781">
        <v>224</v>
      </c>
      <c r="AO781" t="s">
        <v>6234</v>
      </c>
      <c r="AP781" t="s">
        <v>414</v>
      </c>
    </row>
    <row r="782" spans="1:42" x14ac:dyDescent="0.25">
      <c r="A782">
        <v>781</v>
      </c>
      <c r="B782" t="s">
        <v>1271</v>
      </c>
      <c r="C782" t="s">
        <v>1271</v>
      </c>
      <c r="D782" t="s">
        <v>1272</v>
      </c>
      <c r="E782" t="s">
        <v>3165</v>
      </c>
      <c r="F782" t="s">
        <v>3168</v>
      </c>
      <c r="G782" t="s">
        <v>3167</v>
      </c>
      <c r="H782" t="s">
        <v>3166</v>
      </c>
      <c r="J782" t="s">
        <v>1024</v>
      </c>
      <c r="K782" t="s">
        <v>1025</v>
      </c>
      <c r="Q782">
        <v>13</v>
      </c>
      <c r="R782" t="s">
        <v>73</v>
      </c>
      <c r="S782" t="s">
        <v>73</v>
      </c>
      <c r="U782" t="s">
        <v>73</v>
      </c>
      <c r="V782" t="s">
        <v>73</v>
      </c>
      <c r="X782" t="s">
        <v>73</v>
      </c>
      <c r="Y782" t="s">
        <v>73</v>
      </c>
      <c r="AA782" t="s">
        <v>73</v>
      </c>
      <c r="AB782" t="s">
        <v>73</v>
      </c>
      <c r="AF782">
        <v>336.10941294259726</v>
      </c>
      <c r="AG782">
        <v>5.375</v>
      </c>
      <c r="AH782">
        <v>7</v>
      </c>
      <c r="AI782">
        <v>456</v>
      </c>
      <c r="AJ782">
        <v>129.62156993621917</v>
      </c>
      <c r="AK782">
        <v>538.9</v>
      </c>
      <c r="AM782">
        <v>75.470197910706815</v>
      </c>
      <c r="AN782">
        <v>424</v>
      </c>
      <c r="AO782" t="s">
        <v>6235</v>
      </c>
      <c r="AP782" t="s">
        <v>1272</v>
      </c>
    </row>
    <row r="783" spans="1:42" x14ac:dyDescent="0.25">
      <c r="A783">
        <v>782</v>
      </c>
      <c r="B783" t="s">
        <v>1529</v>
      </c>
      <c r="C783" t="s">
        <v>1529</v>
      </c>
      <c r="D783" t="s">
        <v>4263</v>
      </c>
      <c r="E783" t="s">
        <v>351</v>
      </c>
      <c r="F783" t="s">
        <v>352</v>
      </c>
      <c r="G783" t="s">
        <v>257</v>
      </c>
      <c r="H783" t="s">
        <v>258</v>
      </c>
      <c r="I783" t="s">
        <v>1530</v>
      </c>
      <c r="J783" t="s">
        <v>536</v>
      </c>
      <c r="K783" t="s">
        <v>537</v>
      </c>
      <c r="L783">
        <v>50.116076767499997</v>
      </c>
      <c r="M783">
        <v>5.0915638047399998</v>
      </c>
      <c r="Q783">
        <v>15</v>
      </c>
      <c r="R783" t="s">
        <v>2414</v>
      </c>
      <c r="S783" t="s">
        <v>2415</v>
      </c>
      <c r="T783">
        <v>3</v>
      </c>
      <c r="U783" t="s">
        <v>2432</v>
      </c>
      <c r="V783" t="s">
        <v>2433</v>
      </c>
      <c r="W783">
        <v>7</v>
      </c>
      <c r="X783" t="s">
        <v>2437</v>
      </c>
      <c r="Y783" t="s">
        <v>2438</v>
      </c>
      <c r="Z783">
        <v>1</v>
      </c>
      <c r="AE783" t="s">
        <v>1531</v>
      </c>
      <c r="AF783">
        <v>335.63333333333497</v>
      </c>
      <c r="AG783">
        <v>7.6666666666666998</v>
      </c>
      <c r="AH783">
        <v>23</v>
      </c>
      <c r="AI783">
        <v>969</v>
      </c>
      <c r="AJ783">
        <v>0</v>
      </c>
      <c r="AK783">
        <v>771.26666666666995</v>
      </c>
      <c r="AL783">
        <v>2004</v>
      </c>
      <c r="AM783">
        <v>0</v>
      </c>
      <c r="AN783">
        <v>0</v>
      </c>
      <c r="AO783" t="s">
        <v>6236</v>
      </c>
      <c r="AP783" t="s">
        <v>4263</v>
      </c>
    </row>
    <row r="784" spans="1:42" x14ac:dyDescent="0.25">
      <c r="A784">
        <v>783</v>
      </c>
      <c r="B784" t="s">
        <v>2214</v>
      </c>
      <c r="C784" t="s">
        <v>2214</v>
      </c>
      <c r="D784" t="s">
        <v>2215</v>
      </c>
      <c r="E784" t="s">
        <v>5312</v>
      </c>
      <c r="F784" t="s">
        <v>157</v>
      </c>
      <c r="G784" t="s">
        <v>158</v>
      </c>
      <c r="H784" t="s">
        <v>159</v>
      </c>
      <c r="I784" t="s">
        <v>5322</v>
      </c>
      <c r="J784" t="s">
        <v>3087</v>
      </c>
      <c r="K784" t="s">
        <v>3088</v>
      </c>
      <c r="L784" t="s">
        <v>5113</v>
      </c>
      <c r="M784" t="s">
        <v>5114</v>
      </c>
      <c r="R784" t="s">
        <v>73</v>
      </c>
      <c r="S784" t="s">
        <v>73</v>
      </c>
      <c r="U784" t="s">
        <v>73</v>
      </c>
      <c r="V784" t="s">
        <v>73</v>
      </c>
      <c r="X784" t="s">
        <v>73</v>
      </c>
      <c r="Y784" t="s">
        <v>73</v>
      </c>
      <c r="AF784">
        <v>335.61079587158048</v>
      </c>
      <c r="AG784">
        <v>6.875</v>
      </c>
      <c r="AH784">
        <v>7</v>
      </c>
      <c r="AI784">
        <v>824</v>
      </c>
      <c r="AJ784">
        <v>45.734217635089429</v>
      </c>
      <c r="AK784">
        <v>688.9</v>
      </c>
      <c r="AM784">
        <v>64.027904689125194</v>
      </c>
      <c r="AN784">
        <v>0</v>
      </c>
      <c r="AO784" t="s">
        <v>6237</v>
      </c>
      <c r="AP784" t="s">
        <v>2215</v>
      </c>
    </row>
    <row r="785" spans="1:42" x14ac:dyDescent="0.25">
      <c r="A785">
        <v>784</v>
      </c>
      <c r="B785" t="s">
        <v>1818</v>
      </c>
      <c r="C785" t="s">
        <v>1818</v>
      </c>
      <c r="D785" t="s">
        <v>1819</v>
      </c>
      <c r="E785" t="s">
        <v>74</v>
      </c>
      <c r="F785" t="s">
        <v>74</v>
      </c>
      <c r="G785" t="s">
        <v>75</v>
      </c>
      <c r="H785" t="s">
        <v>76</v>
      </c>
      <c r="I785" t="s">
        <v>4130</v>
      </c>
      <c r="R785" t="s">
        <v>73</v>
      </c>
      <c r="S785" t="s">
        <v>73</v>
      </c>
      <c r="U785" t="s">
        <v>73</v>
      </c>
      <c r="V785" t="s">
        <v>73</v>
      </c>
      <c r="X785" t="s">
        <v>73</v>
      </c>
      <c r="Y785" t="s">
        <v>73</v>
      </c>
      <c r="AA785" t="s">
        <v>73</v>
      </c>
      <c r="AB785" t="s">
        <v>73</v>
      </c>
      <c r="AF785">
        <v>334.84448362663323</v>
      </c>
      <c r="AG785">
        <v>6.3</v>
      </c>
      <c r="AH785">
        <v>9</v>
      </c>
      <c r="AI785">
        <v>705</v>
      </c>
      <c r="AJ785">
        <v>76.604981807370294</v>
      </c>
      <c r="AK785">
        <v>631.79999999999995</v>
      </c>
      <c r="AM785">
        <v>51.246974530318411</v>
      </c>
      <c r="AN785">
        <v>224</v>
      </c>
      <c r="AO785" t="s">
        <v>6238</v>
      </c>
      <c r="AP785" t="s">
        <v>1819</v>
      </c>
    </row>
    <row r="786" spans="1:42" x14ac:dyDescent="0.25">
      <c r="A786">
        <v>785</v>
      </c>
      <c r="B786" t="s">
        <v>2932</v>
      </c>
      <c r="C786" t="s">
        <v>5209</v>
      </c>
      <c r="D786" t="s">
        <v>5208</v>
      </c>
      <c r="E786" t="s">
        <v>199</v>
      </c>
      <c r="F786" t="s">
        <v>200</v>
      </c>
      <c r="J786" t="s">
        <v>912</v>
      </c>
      <c r="K786" t="s">
        <v>913</v>
      </c>
      <c r="L786" t="s">
        <v>5211</v>
      </c>
      <c r="M786" t="s">
        <v>5212</v>
      </c>
      <c r="R786" t="s">
        <v>73</v>
      </c>
      <c r="S786" t="s">
        <v>73</v>
      </c>
      <c r="U786" t="s">
        <v>73</v>
      </c>
      <c r="V786" t="s">
        <v>73</v>
      </c>
      <c r="X786" t="s">
        <v>73</v>
      </c>
      <c r="Y786" t="s">
        <v>73</v>
      </c>
      <c r="AA786" t="s">
        <v>73</v>
      </c>
      <c r="AB786" t="s">
        <v>73</v>
      </c>
      <c r="AF786">
        <v>334.51498043218146</v>
      </c>
      <c r="AG786">
        <v>6.4166666666666998</v>
      </c>
      <c r="AH786">
        <v>11</v>
      </c>
      <c r="AI786">
        <v>739</v>
      </c>
      <c r="AJ786">
        <v>69.53516344316273</v>
      </c>
      <c r="AK786">
        <v>643.86666666666997</v>
      </c>
      <c r="AM786">
        <v>97.349228820427811</v>
      </c>
      <c r="AN786">
        <v>0</v>
      </c>
      <c r="AO786" t="s">
        <v>6239</v>
      </c>
      <c r="AP786" t="s">
        <v>5208</v>
      </c>
    </row>
    <row r="787" spans="1:42" x14ac:dyDescent="0.25">
      <c r="A787">
        <v>786</v>
      </c>
      <c r="B787" t="s">
        <v>1079</v>
      </c>
      <c r="C787" t="s">
        <v>1079</v>
      </c>
      <c r="D787" t="s">
        <v>1080</v>
      </c>
      <c r="E787" t="s">
        <v>137</v>
      </c>
      <c r="F787" t="s">
        <v>138</v>
      </c>
      <c r="G787" t="s">
        <v>139</v>
      </c>
      <c r="H787" t="s">
        <v>140</v>
      </c>
      <c r="J787" t="s">
        <v>426</v>
      </c>
      <c r="K787" t="s">
        <v>427</v>
      </c>
      <c r="L787" t="s">
        <v>4622</v>
      </c>
      <c r="M787" t="s">
        <v>4623</v>
      </c>
      <c r="R787" t="s">
        <v>73</v>
      </c>
      <c r="S787" t="s">
        <v>73</v>
      </c>
      <c r="U787" t="s">
        <v>73</v>
      </c>
      <c r="V787" t="s">
        <v>73</v>
      </c>
      <c r="X787" t="s">
        <v>73</v>
      </c>
      <c r="Y787" t="s">
        <v>73</v>
      </c>
      <c r="AF787">
        <v>334.37466910445681</v>
      </c>
      <c r="AG787">
        <v>6.05</v>
      </c>
      <c r="AH787">
        <v>19</v>
      </c>
      <c r="AI787">
        <v>637</v>
      </c>
      <c r="AJ787">
        <v>88.860743449396494</v>
      </c>
      <c r="AK787">
        <v>608.79999999999995</v>
      </c>
      <c r="AL787">
        <v>2004</v>
      </c>
      <c r="AM787">
        <v>124.40504082915508</v>
      </c>
      <c r="AN787">
        <v>0</v>
      </c>
      <c r="AO787" t="s">
        <v>6240</v>
      </c>
      <c r="AP787" t="s">
        <v>1080</v>
      </c>
    </row>
    <row r="788" spans="1:42" x14ac:dyDescent="0.25">
      <c r="A788">
        <v>787</v>
      </c>
      <c r="B788" t="s">
        <v>1276</v>
      </c>
      <c r="C788" t="s">
        <v>1276</v>
      </c>
      <c r="D788" t="s">
        <v>1277</v>
      </c>
      <c r="E788" t="s">
        <v>1278</v>
      </c>
      <c r="F788" t="s">
        <v>1278</v>
      </c>
      <c r="G788" t="s">
        <v>158</v>
      </c>
      <c r="H788" t="s">
        <v>159</v>
      </c>
      <c r="I788" t="s">
        <v>1278</v>
      </c>
      <c r="R788" t="s">
        <v>73</v>
      </c>
      <c r="S788" t="s">
        <v>73</v>
      </c>
      <c r="U788" t="s">
        <v>73</v>
      </c>
      <c r="V788" t="s">
        <v>73</v>
      </c>
      <c r="X788" t="s">
        <v>73</v>
      </c>
      <c r="Y788" t="s">
        <v>73</v>
      </c>
      <c r="AA788" t="s">
        <v>73</v>
      </c>
      <c r="AB788" t="s">
        <v>73</v>
      </c>
      <c r="AF788">
        <v>334.15830996181023</v>
      </c>
      <c r="AG788">
        <v>5.6363636363636003</v>
      </c>
      <c r="AH788">
        <v>10</v>
      </c>
      <c r="AI788">
        <v>542</v>
      </c>
      <c r="AJ788">
        <v>112.60014238181137</v>
      </c>
      <c r="AK788">
        <v>565.63636363635999</v>
      </c>
      <c r="AM788">
        <v>45.640199334535922</v>
      </c>
      <c r="AN788">
        <v>448</v>
      </c>
      <c r="AO788" t="s">
        <v>6241</v>
      </c>
      <c r="AP788" t="s">
        <v>1277</v>
      </c>
    </row>
    <row r="789" spans="1:42" x14ac:dyDescent="0.25">
      <c r="A789">
        <v>788</v>
      </c>
      <c r="B789" t="s">
        <v>2762</v>
      </c>
      <c r="C789" t="s">
        <v>4563</v>
      </c>
      <c r="D789" t="s">
        <v>4562</v>
      </c>
      <c r="E789" t="s">
        <v>199</v>
      </c>
      <c r="F789" t="s">
        <v>200</v>
      </c>
      <c r="I789" t="s">
        <v>2286</v>
      </c>
      <c r="J789" t="s">
        <v>342</v>
      </c>
      <c r="K789" t="s">
        <v>343</v>
      </c>
      <c r="L789" t="s">
        <v>4564</v>
      </c>
      <c r="M789" t="s">
        <v>4565</v>
      </c>
      <c r="O789" t="s">
        <v>73</v>
      </c>
      <c r="P789" t="s">
        <v>73</v>
      </c>
      <c r="R789" t="s">
        <v>73</v>
      </c>
      <c r="S789" t="s">
        <v>73</v>
      </c>
      <c r="U789" t="s">
        <v>73</v>
      </c>
      <c r="V789" t="s">
        <v>73</v>
      </c>
      <c r="X789" t="s">
        <v>73</v>
      </c>
      <c r="Y789" t="s">
        <v>73</v>
      </c>
      <c r="AA789" t="s">
        <v>73</v>
      </c>
      <c r="AB789" t="s">
        <v>73</v>
      </c>
      <c r="AF789">
        <v>333.50303030303002</v>
      </c>
      <c r="AG789">
        <v>7.6060606060606002</v>
      </c>
      <c r="AH789">
        <v>32</v>
      </c>
      <c r="AI789">
        <v>970</v>
      </c>
      <c r="AJ789">
        <v>0</v>
      </c>
      <c r="AK789">
        <v>767.00606060606003</v>
      </c>
      <c r="AM789">
        <v>0</v>
      </c>
      <c r="AN789">
        <v>0</v>
      </c>
      <c r="AO789" t="s">
        <v>6242</v>
      </c>
      <c r="AP789" t="s">
        <v>4562</v>
      </c>
    </row>
    <row r="790" spans="1:42" x14ac:dyDescent="0.25">
      <c r="A790">
        <v>789</v>
      </c>
      <c r="B790" t="s">
        <v>1218</v>
      </c>
      <c r="C790" t="s">
        <v>1218</v>
      </c>
      <c r="D790" t="s">
        <v>4255</v>
      </c>
      <c r="E790" t="s">
        <v>351</v>
      </c>
      <c r="F790" t="s">
        <v>352</v>
      </c>
      <c r="G790" t="s">
        <v>257</v>
      </c>
      <c r="H790" t="s">
        <v>258</v>
      </c>
      <c r="I790" t="s">
        <v>1219</v>
      </c>
      <c r="J790" t="s">
        <v>480</v>
      </c>
      <c r="K790" t="s">
        <v>481</v>
      </c>
      <c r="L790">
        <v>50.796449302600003</v>
      </c>
      <c r="M790">
        <v>4.1970130223900002</v>
      </c>
      <c r="Q790">
        <v>13</v>
      </c>
      <c r="R790" t="s">
        <v>2406</v>
      </c>
      <c r="S790" t="s">
        <v>2407</v>
      </c>
      <c r="T790">
        <v>1</v>
      </c>
      <c r="U790" t="s">
        <v>2432</v>
      </c>
      <c r="V790" t="s">
        <v>2433</v>
      </c>
      <c r="W790">
        <v>7</v>
      </c>
      <c r="X790" t="s">
        <v>2437</v>
      </c>
      <c r="Y790" t="s">
        <v>2438</v>
      </c>
      <c r="Z790">
        <v>1</v>
      </c>
      <c r="AC790" t="s">
        <v>1220</v>
      </c>
      <c r="AD790" t="s">
        <v>1220</v>
      </c>
      <c r="AE790" t="s">
        <v>1221</v>
      </c>
      <c r="AF790">
        <v>333.26976744185998</v>
      </c>
      <c r="AG790">
        <v>7.5813953488371997</v>
      </c>
      <c r="AH790">
        <v>42</v>
      </c>
      <c r="AI790">
        <v>971</v>
      </c>
      <c r="AJ790">
        <v>0</v>
      </c>
      <c r="AK790">
        <v>766.53953488371997</v>
      </c>
      <c r="AL790">
        <v>2004</v>
      </c>
      <c r="AM790">
        <v>0</v>
      </c>
      <c r="AN790">
        <v>0</v>
      </c>
      <c r="AO790" t="s">
        <v>6243</v>
      </c>
      <c r="AP790" t="s">
        <v>4255</v>
      </c>
    </row>
    <row r="791" spans="1:42" x14ac:dyDescent="0.25">
      <c r="A791">
        <v>790</v>
      </c>
      <c r="B791" t="s">
        <v>1524</v>
      </c>
      <c r="C791" t="s">
        <v>1524</v>
      </c>
      <c r="D791" t="s">
        <v>4723</v>
      </c>
      <c r="E791" t="s">
        <v>137</v>
      </c>
      <c r="F791" t="s">
        <v>138</v>
      </c>
      <c r="G791" t="s">
        <v>139</v>
      </c>
      <c r="H791" t="s">
        <v>140</v>
      </c>
      <c r="I791" t="s">
        <v>4724</v>
      </c>
      <c r="J791" t="s">
        <v>689</v>
      </c>
      <c r="K791" t="s">
        <v>690</v>
      </c>
      <c r="L791" t="s">
        <v>4725</v>
      </c>
      <c r="M791" t="s">
        <v>4726</v>
      </c>
      <c r="Q791">
        <v>12</v>
      </c>
      <c r="R791" t="s">
        <v>2406</v>
      </c>
      <c r="S791" t="s">
        <v>2407</v>
      </c>
      <c r="T791">
        <v>1</v>
      </c>
      <c r="U791" t="s">
        <v>3137</v>
      </c>
      <c r="V791" t="s">
        <v>3136</v>
      </c>
      <c r="W791">
        <v>5</v>
      </c>
      <c r="X791" t="s">
        <v>2437</v>
      </c>
      <c r="Y791" t="s">
        <v>2438</v>
      </c>
      <c r="Z791">
        <v>1</v>
      </c>
      <c r="AF791">
        <v>332.93827303627478</v>
      </c>
      <c r="AG791">
        <v>6.6363636363636003</v>
      </c>
      <c r="AH791">
        <v>10</v>
      </c>
      <c r="AI791">
        <v>808</v>
      </c>
      <c r="AJ791">
        <v>55.688990242327556</v>
      </c>
      <c r="AK791">
        <v>665.63636363635999</v>
      </c>
      <c r="AM791">
        <v>77.964586339258574</v>
      </c>
      <c r="AN791">
        <v>0</v>
      </c>
      <c r="AO791" t="s">
        <v>6244</v>
      </c>
      <c r="AP791" t="s">
        <v>4723</v>
      </c>
    </row>
    <row r="792" spans="1:42" x14ac:dyDescent="0.25">
      <c r="A792">
        <v>791</v>
      </c>
      <c r="B792" t="s">
        <v>3726</v>
      </c>
      <c r="C792" t="s">
        <v>3726</v>
      </c>
      <c r="D792" t="s">
        <v>3884</v>
      </c>
      <c r="E792" t="s">
        <v>183</v>
      </c>
      <c r="F792" t="s">
        <v>184</v>
      </c>
      <c r="G792" t="s">
        <v>158</v>
      </c>
      <c r="H792" t="s">
        <v>159</v>
      </c>
      <c r="I792" t="s">
        <v>3885</v>
      </c>
      <c r="J792" t="s">
        <v>663</v>
      </c>
      <c r="K792" t="s">
        <v>664</v>
      </c>
      <c r="O792" t="s">
        <v>3883</v>
      </c>
      <c r="P792" t="s">
        <v>3882</v>
      </c>
      <c r="Q792">
        <v>13</v>
      </c>
      <c r="R792" t="s">
        <v>2409</v>
      </c>
      <c r="S792" t="s">
        <v>2410</v>
      </c>
      <c r="T792">
        <v>2</v>
      </c>
      <c r="U792" t="s">
        <v>2430</v>
      </c>
      <c r="V792" t="s">
        <v>2431</v>
      </c>
      <c r="W792">
        <v>6</v>
      </c>
      <c r="X792" t="s">
        <v>2440</v>
      </c>
      <c r="Y792" t="s">
        <v>2441</v>
      </c>
      <c r="Z792">
        <v>2</v>
      </c>
      <c r="AA792" t="s">
        <v>73</v>
      </c>
      <c r="AB792" t="s">
        <v>73</v>
      </c>
      <c r="AE792" t="s">
        <v>3881</v>
      </c>
      <c r="AF792">
        <v>332.93097557056194</v>
      </c>
      <c r="AG792">
        <v>5</v>
      </c>
      <c r="AH792">
        <v>2</v>
      </c>
      <c r="AI792">
        <v>374</v>
      </c>
      <c r="AJ792">
        <v>147.4788617450688</v>
      </c>
      <c r="AK792">
        <v>500.4</v>
      </c>
      <c r="AM792">
        <v>206.47040644309629</v>
      </c>
      <c r="AN792">
        <v>0</v>
      </c>
      <c r="AO792" t="s">
        <v>6245</v>
      </c>
      <c r="AP792" t="s">
        <v>3884</v>
      </c>
    </row>
    <row r="793" spans="1:42" x14ac:dyDescent="0.25">
      <c r="A793">
        <v>792</v>
      </c>
      <c r="B793" t="s">
        <v>129</v>
      </c>
      <c r="C793" t="s">
        <v>129</v>
      </c>
      <c r="D793" t="s">
        <v>3310</v>
      </c>
      <c r="E793" t="s">
        <v>101</v>
      </c>
      <c r="F793" t="s">
        <v>102</v>
      </c>
      <c r="G793" t="s">
        <v>108</v>
      </c>
      <c r="H793" t="s">
        <v>109</v>
      </c>
      <c r="I793" t="s">
        <v>130</v>
      </c>
      <c r="O793" t="s">
        <v>63</v>
      </c>
      <c r="P793" t="s">
        <v>64</v>
      </c>
      <c r="Q793">
        <v>12</v>
      </c>
      <c r="R793" t="s">
        <v>2417</v>
      </c>
      <c r="S793" t="s">
        <v>2418</v>
      </c>
      <c r="T793">
        <v>4</v>
      </c>
      <c r="U793" t="s">
        <v>3137</v>
      </c>
      <c r="V793" t="s">
        <v>3136</v>
      </c>
      <c r="W793">
        <v>5</v>
      </c>
      <c r="X793" t="s">
        <v>2446</v>
      </c>
      <c r="Y793" t="s">
        <v>2447</v>
      </c>
      <c r="Z793">
        <v>4</v>
      </c>
      <c r="AC793" t="s">
        <v>131</v>
      </c>
      <c r="AD793" t="s">
        <v>132</v>
      </c>
      <c r="AF793">
        <v>332.4</v>
      </c>
      <c r="AG793">
        <v>6.2</v>
      </c>
      <c r="AH793">
        <v>4</v>
      </c>
      <c r="AI793">
        <v>678</v>
      </c>
      <c r="AJ793">
        <v>80</v>
      </c>
      <c r="AK793">
        <v>620.79999999999995</v>
      </c>
      <c r="AM793">
        <v>0</v>
      </c>
      <c r="AN793">
        <v>448</v>
      </c>
      <c r="AO793" t="s">
        <v>6246</v>
      </c>
      <c r="AP793" t="s">
        <v>3310</v>
      </c>
    </row>
    <row r="794" spans="1:42" x14ac:dyDescent="0.25">
      <c r="A794">
        <v>793</v>
      </c>
      <c r="B794" t="s">
        <v>1551</v>
      </c>
      <c r="C794" t="s">
        <v>1551</v>
      </c>
      <c r="D794" t="s">
        <v>2538</v>
      </c>
      <c r="E794" t="s">
        <v>169</v>
      </c>
      <c r="F794" t="s">
        <v>170</v>
      </c>
      <c r="G794" t="s">
        <v>79</v>
      </c>
      <c r="H794" t="s">
        <v>80</v>
      </c>
      <c r="I794" t="s">
        <v>2963</v>
      </c>
      <c r="J794" t="s">
        <v>2965</v>
      </c>
      <c r="K794" t="s">
        <v>2964</v>
      </c>
      <c r="Q794">
        <v>13</v>
      </c>
      <c r="R794" t="s">
        <v>73</v>
      </c>
      <c r="S794" t="s">
        <v>73</v>
      </c>
      <c r="U794" t="s">
        <v>73</v>
      </c>
      <c r="V794" t="s">
        <v>73</v>
      </c>
      <c r="X794" t="s">
        <v>73</v>
      </c>
      <c r="Y794" t="s">
        <v>73</v>
      </c>
      <c r="AA794" t="s">
        <v>73</v>
      </c>
      <c r="AB794" t="s">
        <v>73</v>
      </c>
      <c r="AF794">
        <v>332.32639400086134</v>
      </c>
      <c r="AG794">
        <v>5.7142857142857002</v>
      </c>
      <c r="AH794">
        <v>6</v>
      </c>
      <c r="AI794">
        <v>564</v>
      </c>
      <c r="AJ794">
        <v>106.68012031841812</v>
      </c>
      <c r="AK794">
        <v>572.62857142857001</v>
      </c>
      <c r="AM794">
        <v>65.352168445785381</v>
      </c>
      <c r="AN794">
        <v>336</v>
      </c>
      <c r="AO794" t="s">
        <v>6247</v>
      </c>
      <c r="AP794" t="s">
        <v>2538</v>
      </c>
    </row>
    <row r="795" spans="1:42" x14ac:dyDescent="0.25">
      <c r="A795">
        <v>794</v>
      </c>
      <c r="B795" t="s">
        <v>1203</v>
      </c>
      <c r="C795" t="s">
        <v>4078</v>
      </c>
      <c r="D795" t="s">
        <v>1204</v>
      </c>
      <c r="E795" t="s">
        <v>183</v>
      </c>
      <c r="F795" t="s">
        <v>184</v>
      </c>
      <c r="G795" t="s">
        <v>158</v>
      </c>
      <c r="H795" t="s">
        <v>159</v>
      </c>
      <c r="J795" t="s">
        <v>1205</v>
      </c>
      <c r="K795" t="s">
        <v>1206</v>
      </c>
      <c r="R795" t="s">
        <v>73</v>
      </c>
      <c r="S795" t="s">
        <v>73</v>
      </c>
      <c r="U795" t="s">
        <v>73</v>
      </c>
      <c r="V795" t="s">
        <v>73</v>
      </c>
      <c r="X795" t="s">
        <v>73</v>
      </c>
      <c r="Y795" t="s">
        <v>73</v>
      </c>
      <c r="AF795">
        <v>332.17581208239108</v>
      </c>
      <c r="AG795">
        <v>4.7142857142857002</v>
      </c>
      <c r="AH795">
        <v>6</v>
      </c>
      <c r="AI795">
        <v>317</v>
      </c>
      <c r="AJ795">
        <v>162.06836263122895</v>
      </c>
      <c r="AK795">
        <v>472.62857142857001</v>
      </c>
      <c r="AM795">
        <v>226.89570768372053</v>
      </c>
      <c r="AN795">
        <v>0</v>
      </c>
      <c r="AO795" t="s">
        <v>6248</v>
      </c>
      <c r="AP795" t="s">
        <v>1204</v>
      </c>
    </row>
    <row r="796" spans="1:42" x14ac:dyDescent="0.25">
      <c r="A796">
        <v>795</v>
      </c>
      <c r="B796" t="s">
        <v>3714</v>
      </c>
      <c r="C796" t="s">
        <v>3714</v>
      </c>
      <c r="D796" t="s">
        <v>4253</v>
      </c>
      <c r="E796" t="s">
        <v>351</v>
      </c>
      <c r="F796" t="s">
        <v>352</v>
      </c>
      <c r="G796" t="s">
        <v>257</v>
      </c>
      <c r="H796" t="s">
        <v>258</v>
      </c>
      <c r="I796" t="s">
        <v>3787</v>
      </c>
      <c r="J796" t="s">
        <v>1133</v>
      </c>
      <c r="K796" t="s">
        <v>1134</v>
      </c>
      <c r="L796">
        <v>50.5771637012</v>
      </c>
      <c r="M796">
        <v>5.3232299273399999</v>
      </c>
      <c r="N796" t="s">
        <v>4252</v>
      </c>
      <c r="R796" t="s">
        <v>73</v>
      </c>
      <c r="S796" t="s">
        <v>73</v>
      </c>
      <c r="U796" t="s">
        <v>73</v>
      </c>
      <c r="V796" t="s">
        <v>73</v>
      </c>
      <c r="X796" t="s">
        <v>73</v>
      </c>
      <c r="Y796" t="s">
        <v>73</v>
      </c>
      <c r="AA796" t="s">
        <v>73</v>
      </c>
      <c r="AB796" t="s">
        <v>73</v>
      </c>
      <c r="AF796">
        <v>331.95</v>
      </c>
      <c r="AG796">
        <v>7.625</v>
      </c>
      <c r="AH796">
        <v>7</v>
      </c>
      <c r="AI796">
        <v>972</v>
      </c>
      <c r="AJ796">
        <v>0</v>
      </c>
      <c r="AK796">
        <v>763.9</v>
      </c>
      <c r="AM796">
        <v>0</v>
      </c>
      <c r="AN796">
        <v>0</v>
      </c>
      <c r="AO796" t="s">
        <v>6249</v>
      </c>
      <c r="AP796" t="s">
        <v>4253</v>
      </c>
    </row>
    <row r="797" spans="1:42" x14ac:dyDescent="0.25">
      <c r="A797">
        <v>796</v>
      </c>
      <c r="B797" t="s">
        <v>988</v>
      </c>
      <c r="C797" t="s">
        <v>988</v>
      </c>
      <c r="D797" t="s">
        <v>5288</v>
      </c>
      <c r="E797" t="s">
        <v>5312</v>
      </c>
      <c r="F797" t="s">
        <v>157</v>
      </c>
      <c r="G797" t="s">
        <v>158</v>
      </c>
      <c r="H797" t="s">
        <v>159</v>
      </c>
      <c r="I797" t="s">
        <v>3896</v>
      </c>
      <c r="J797" t="s">
        <v>3094</v>
      </c>
      <c r="K797" t="s">
        <v>3095</v>
      </c>
      <c r="L797" t="s">
        <v>5286</v>
      </c>
      <c r="M797" t="s">
        <v>5287</v>
      </c>
      <c r="R797" t="s">
        <v>73</v>
      </c>
      <c r="S797" t="s">
        <v>73</v>
      </c>
      <c r="U797" t="s">
        <v>73</v>
      </c>
      <c r="V797" t="s">
        <v>73</v>
      </c>
      <c r="X797" t="s">
        <v>73</v>
      </c>
      <c r="Y797" t="s">
        <v>73</v>
      </c>
      <c r="AA797" t="s">
        <v>73</v>
      </c>
      <c r="AB797" t="s">
        <v>73</v>
      </c>
      <c r="AF797">
        <v>331.19747103437419</v>
      </c>
      <c r="AG797">
        <v>6.2</v>
      </c>
      <c r="AH797">
        <v>9</v>
      </c>
      <c r="AI797">
        <v>700</v>
      </c>
      <c r="AJ797">
        <v>78.10830114930468</v>
      </c>
      <c r="AK797">
        <v>621.79999999999995</v>
      </c>
      <c r="AM797">
        <v>109.35162160902655</v>
      </c>
      <c r="AN797">
        <v>0</v>
      </c>
      <c r="AO797" t="s">
        <v>6250</v>
      </c>
      <c r="AP797" t="s">
        <v>5288</v>
      </c>
    </row>
    <row r="798" spans="1:42" x14ac:dyDescent="0.25">
      <c r="A798">
        <v>797</v>
      </c>
      <c r="B798" t="s">
        <v>1547</v>
      </c>
      <c r="C798" t="s">
        <v>1547</v>
      </c>
      <c r="D798" t="s">
        <v>2536</v>
      </c>
      <c r="E798" t="s">
        <v>183</v>
      </c>
      <c r="F798" t="s">
        <v>184</v>
      </c>
      <c r="G798" t="s">
        <v>158</v>
      </c>
      <c r="H798" t="s">
        <v>159</v>
      </c>
      <c r="J798" t="s">
        <v>1511</v>
      </c>
      <c r="K798" t="s">
        <v>3020</v>
      </c>
      <c r="R798" t="s">
        <v>73</v>
      </c>
      <c r="S798" t="s">
        <v>73</v>
      </c>
      <c r="U798" t="s">
        <v>73</v>
      </c>
      <c r="V798" t="s">
        <v>73</v>
      </c>
      <c r="X798" t="s">
        <v>73</v>
      </c>
      <c r="Y798" t="s">
        <v>73</v>
      </c>
      <c r="AF798">
        <v>331.13036360104337</v>
      </c>
      <c r="AG798">
        <v>5.2857142857142998</v>
      </c>
      <c r="AH798">
        <v>6</v>
      </c>
      <c r="AI798">
        <v>461</v>
      </c>
      <c r="AJ798">
        <v>129.1607214614759</v>
      </c>
      <c r="AK798">
        <v>529.77142857143008</v>
      </c>
      <c r="AM798">
        <v>180.82501004606624</v>
      </c>
      <c r="AN798">
        <v>0</v>
      </c>
      <c r="AO798" t="s">
        <v>6251</v>
      </c>
      <c r="AP798" t="s">
        <v>2536</v>
      </c>
    </row>
    <row r="799" spans="1:42" x14ac:dyDescent="0.25">
      <c r="A799">
        <v>798</v>
      </c>
      <c r="B799" t="s">
        <v>657</v>
      </c>
      <c r="C799" t="s">
        <v>657</v>
      </c>
      <c r="D799" t="s">
        <v>658</v>
      </c>
      <c r="E799" t="s">
        <v>282</v>
      </c>
      <c r="F799" t="s">
        <v>283</v>
      </c>
      <c r="G799" t="s">
        <v>3167</v>
      </c>
      <c r="H799" t="s">
        <v>3166</v>
      </c>
      <c r="I799" t="s">
        <v>659</v>
      </c>
      <c r="J799" t="s">
        <v>482</v>
      </c>
      <c r="K799" t="s">
        <v>483</v>
      </c>
      <c r="R799" t="s">
        <v>73</v>
      </c>
      <c r="S799" t="s">
        <v>73</v>
      </c>
      <c r="U799" t="s">
        <v>73</v>
      </c>
      <c r="V799" t="s">
        <v>73</v>
      </c>
      <c r="X799" t="s">
        <v>73</v>
      </c>
      <c r="Y799" t="s">
        <v>73</v>
      </c>
      <c r="AF799">
        <v>330.33907488652983</v>
      </c>
      <c r="AG799">
        <v>6</v>
      </c>
      <c r="AH799">
        <v>13</v>
      </c>
      <c r="AI799">
        <v>640</v>
      </c>
      <c r="AJ799">
        <v>87.82119431836648</v>
      </c>
      <c r="AK799">
        <v>602.6</v>
      </c>
      <c r="AM799">
        <v>66.949672045713072</v>
      </c>
      <c r="AN799">
        <v>224</v>
      </c>
      <c r="AO799" t="s">
        <v>6252</v>
      </c>
      <c r="AP799" t="s">
        <v>658</v>
      </c>
    </row>
    <row r="800" spans="1:42" x14ac:dyDescent="0.25">
      <c r="A800">
        <v>799</v>
      </c>
      <c r="B800" t="s">
        <v>168</v>
      </c>
      <c r="C800" t="s">
        <v>4100</v>
      </c>
      <c r="D800" t="s">
        <v>4826</v>
      </c>
      <c r="E800" t="s">
        <v>169</v>
      </c>
      <c r="F800" t="s">
        <v>170</v>
      </c>
      <c r="G800" t="s">
        <v>79</v>
      </c>
      <c r="H800" t="s">
        <v>80</v>
      </c>
      <c r="J800" t="s">
        <v>2957</v>
      </c>
      <c r="K800" t="s">
        <v>168</v>
      </c>
      <c r="R800" t="s">
        <v>73</v>
      </c>
      <c r="S800" t="s">
        <v>73</v>
      </c>
      <c r="U800" t="s">
        <v>73</v>
      </c>
      <c r="V800" t="s">
        <v>73</v>
      </c>
      <c r="X800" t="s">
        <v>73</v>
      </c>
      <c r="Y800" t="s">
        <v>73</v>
      </c>
      <c r="AA800" t="s">
        <v>73</v>
      </c>
      <c r="AB800" t="s">
        <v>73</v>
      </c>
      <c r="AF800">
        <v>329.5</v>
      </c>
      <c r="AG800">
        <v>6.5</v>
      </c>
      <c r="AH800">
        <v>5</v>
      </c>
      <c r="AI800">
        <v>772</v>
      </c>
      <c r="AJ800">
        <v>60.000000000000007</v>
      </c>
      <c r="AK800">
        <v>651</v>
      </c>
      <c r="AM800">
        <v>0</v>
      </c>
      <c r="AN800">
        <v>336</v>
      </c>
      <c r="AO800" t="s">
        <v>6253</v>
      </c>
      <c r="AP800" t="s">
        <v>4826</v>
      </c>
    </row>
    <row r="801" spans="1:42" x14ac:dyDescent="0.25">
      <c r="A801">
        <v>800</v>
      </c>
      <c r="B801" t="s">
        <v>1049</v>
      </c>
      <c r="C801" t="s">
        <v>1049</v>
      </c>
      <c r="D801" t="s">
        <v>1050</v>
      </c>
      <c r="E801" t="s">
        <v>255</v>
      </c>
      <c r="F801" t="s">
        <v>256</v>
      </c>
      <c r="G801" t="s">
        <v>257</v>
      </c>
      <c r="H801" t="s">
        <v>258</v>
      </c>
      <c r="I801" t="s">
        <v>1051</v>
      </c>
      <c r="J801" t="s">
        <v>931</v>
      </c>
      <c r="K801" t="s">
        <v>932</v>
      </c>
      <c r="L801">
        <v>51.734113064299997</v>
      </c>
      <c r="M801">
        <v>4.9696233527900002</v>
      </c>
      <c r="R801" t="s">
        <v>2414</v>
      </c>
      <c r="S801" t="s">
        <v>2415</v>
      </c>
      <c r="T801">
        <v>3</v>
      </c>
      <c r="U801" t="s">
        <v>3137</v>
      </c>
      <c r="V801" t="s">
        <v>3136</v>
      </c>
      <c r="W801">
        <v>5</v>
      </c>
      <c r="X801" t="s">
        <v>2440</v>
      </c>
      <c r="Y801" t="s">
        <v>2441</v>
      </c>
      <c r="Z801">
        <v>2</v>
      </c>
      <c r="AF801">
        <v>329.06808510638501</v>
      </c>
      <c r="AG801">
        <v>7.4893617021276997</v>
      </c>
      <c r="AH801">
        <v>46</v>
      </c>
      <c r="AI801">
        <v>973</v>
      </c>
      <c r="AJ801">
        <v>0</v>
      </c>
      <c r="AK801">
        <v>758.13617021277003</v>
      </c>
      <c r="AL801">
        <v>2004</v>
      </c>
      <c r="AM801">
        <v>0</v>
      </c>
      <c r="AN801">
        <v>0</v>
      </c>
      <c r="AO801" t="s">
        <v>6254</v>
      </c>
      <c r="AP801" t="s">
        <v>1050</v>
      </c>
    </row>
    <row r="802" spans="1:42" x14ac:dyDescent="0.25">
      <c r="A802">
        <v>801</v>
      </c>
      <c r="B802" t="s">
        <v>3402</v>
      </c>
      <c r="C802" t="s">
        <v>3402</v>
      </c>
      <c r="D802" t="s">
        <v>3942</v>
      </c>
      <c r="E802" t="s">
        <v>183</v>
      </c>
      <c r="F802" t="s">
        <v>184</v>
      </c>
      <c r="G802" t="s">
        <v>158</v>
      </c>
      <c r="H802" t="s">
        <v>159</v>
      </c>
      <c r="I802" t="s">
        <v>3705</v>
      </c>
      <c r="J802" t="s">
        <v>185</v>
      </c>
      <c r="K802" t="s">
        <v>3021</v>
      </c>
      <c r="O802" t="s">
        <v>3943</v>
      </c>
      <c r="P802" t="s">
        <v>3943</v>
      </c>
      <c r="Q802">
        <v>12</v>
      </c>
      <c r="R802" t="s">
        <v>2409</v>
      </c>
      <c r="S802" t="s">
        <v>2410</v>
      </c>
      <c r="T802">
        <v>2</v>
      </c>
      <c r="U802" t="s">
        <v>2430</v>
      </c>
      <c r="V802" t="s">
        <v>2431</v>
      </c>
      <c r="W802">
        <v>6</v>
      </c>
      <c r="X802" t="s">
        <v>2446</v>
      </c>
      <c r="Y802" t="s">
        <v>2447</v>
      </c>
      <c r="Z802">
        <v>4</v>
      </c>
      <c r="AA802" t="s">
        <v>73</v>
      </c>
      <c r="AB802" t="s">
        <v>73</v>
      </c>
      <c r="AF802">
        <v>328.7900186764515</v>
      </c>
      <c r="AG802">
        <v>5.5</v>
      </c>
      <c r="AH802">
        <v>5</v>
      </c>
      <c r="AI802">
        <v>532</v>
      </c>
      <c r="AJ802">
        <v>114.76668741827947</v>
      </c>
      <c r="AK802">
        <v>551</v>
      </c>
      <c r="AM802">
        <v>160.67336238559125</v>
      </c>
      <c r="AN802">
        <v>0</v>
      </c>
      <c r="AO802" t="s">
        <v>6255</v>
      </c>
      <c r="AP802" t="s">
        <v>3942</v>
      </c>
    </row>
    <row r="803" spans="1:42" x14ac:dyDescent="0.25">
      <c r="A803">
        <v>802</v>
      </c>
      <c r="B803" t="s">
        <v>3557</v>
      </c>
      <c r="C803" t="s">
        <v>3557</v>
      </c>
      <c r="D803" t="s">
        <v>3564</v>
      </c>
      <c r="E803" t="s">
        <v>218</v>
      </c>
      <c r="F803" t="s">
        <v>219</v>
      </c>
      <c r="G803" t="s">
        <v>69</v>
      </c>
      <c r="H803" t="s">
        <v>70</v>
      </c>
      <c r="I803" t="s">
        <v>3569</v>
      </c>
      <c r="J803" t="s">
        <v>408</v>
      </c>
      <c r="K803" t="s">
        <v>409</v>
      </c>
      <c r="L803" t="s">
        <v>4923</v>
      </c>
      <c r="M803" t="s">
        <v>4924</v>
      </c>
      <c r="R803" t="s">
        <v>73</v>
      </c>
      <c r="S803" t="s">
        <v>73</v>
      </c>
      <c r="U803" t="s">
        <v>73</v>
      </c>
      <c r="V803" t="s">
        <v>73</v>
      </c>
      <c r="X803" t="s">
        <v>73</v>
      </c>
      <c r="Y803" t="s">
        <v>73</v>
      </c>
      <c r="AA803" t="s">
        <v>73</v>
      </c>
      <c r="AB803" t="s">
        <v>73</v>
      </c>
      <c r="AF803">
        <v>328.16666666666504</v>
      </c>
      <c r="AG803">
        <v>6.8333333333333002</v>
      </c>
      <c r="AH803">
        <v>5</v>
      </c>
      <c r="AI803">
        <v>880</v>
      </c>
      <c r="AJ803">
        <v>40</v>
      </c>
      <c r="AK803">
        <v>684.33333333333007</v>
      </c>
      <c r="AM803">
        <v>0</v>
      </c>
      <c r="AN803">
        <v>224</v>
      </c>
      <c r="AO803" t="s">
        <v>6256</v>
      </c>
      <c r="AP803" t="s">
        <v>3564</v>
      </c>
    </row>
    <row r="804" spans="1:42" x14ac:dyDescent="0.25">
      <c r="A804">
        <v>803</v>
      </c>
      <c r="B804" t="s">
        <v>3580</v>
      </c>
      <c r="C804" t="s">
        <v>3580</v>
      </c>
      <c r="D804" t="s">
        <v>3588</v>
      </c>
      <c r="E804" t="s">
        <v>218</v>
      </c>
      <c r="F804" t="s">
        <v>219</v>
      </c>
      <c r="G804" t="s">
        <v>69</v>
      </c>
      <c r="H804" t="s">
        <v>70</v>
      </c>
      <c r="I804" t="s">
        <v>3589</v>
      </c>
      <c r="J804" t="s">
        <v>1751</v>
      </c>
      <c r="K804" t="s">
        <v>2885</v>
      </c>
      <c r="L804" t="s">
        <v>4966</v>
      </c>
      <c r="M804" t="s">
        <v>4967</v>
      </c>
      <c r="R804" t="s">
        <v>73</v>
      </c>
      <c r="S804" t="s">
        <v>73</v>
      </c>
      <c r="U804" t="s">
        <v>73</v>
      </c>
      <c r="V804" t="s">
        <v>73</v>
      </c>
      <c r="X804" t="s">
        <v>73</v>
      </c>
      <c r="Y804" t="s">
        <v>73</v>
      </c>
      <c r="AA804" t="s">
        <v>73</v>
      </c>
      <c r="AB804" t="s">
        <v>73</v>
      </c>
      <c r="AF804">
        <v>328.16666666666504</v>
      </c>
      <c r="AG804">
        <v>6.8333333333333002</v>
      </c>
      <c r="AH804">
        <v>5</v>
      </c>
      <c r="AI804">
        <v>881</v>
      </c>
      <c r="AJ804">
        <v>40</v>
      </c>
      <c r="AK804">
        <v>684.33333333333007</v>
      </c>
      <c r="AM804">
        <v>0</v>
      </c>
      <c r="AN804">
        <v>224</v>
      </c>
      <c r="AO804" t="s">
        <v>6257</v>
      </c>
      <c r="AP804" t="s">
        <v>3588</v>
      </c>
    </row>
    <row r="805" spans="1:42" x14ac:dyDescent="0.25">
      <c r="A805">
        <v>804</v>
      </c>
      <c r="B805" t="s">
        <v>3394</v>
      </c>
      <c r="C805" t="s">
        <v>3394</v>
      </c>
      <c r="D805" t="s">
        <v>3409</v>
      </c>
      <c r="E805" t="s">
        <v>183</v>
      </c>
      <c r="F805" t="s">
        <v>184</v>
      </c>
      <c r="G805" t="s">
        <v>158</v>
      </c>
      <c r="H805" t="s">
        <v>159</v>
      </c>
      <c r="J805" t="s">
        <v>1511</v>
      </c>
      <c r="K805" t="s">
        <v>3020</v>
      </c>
      <c r="Q805">
        <v>11</v>
      </c>
      <c r="R805" t="s">
        <v>2409</v>
      </c>
      <c r="S805" t="s">
        <v>2410</v>
      </c>
      <c r="T805">
        <v>2</v>
      </c>
      <c r="U805" t="s">
        <v>2432</v>
      </c>
      <c r="V805" t="s">
        <v>2433</v>
      </c>
      <c r="W805">
        <v>7</v>
      </c>
      <c r="X805" t="s">
        <v>2443</v>
      </c>
      <c r="Y805" t="s">
        <v>2444</v>
      </c>
      <c r="Z805">
        <v>3</v>
      </c>
      <c r="AA805" t="s">
        <v>73</v>
      </c>
      <c r="AB805" t="s">
        <v>73</v>
      </c>
      <c r="AF805">
        <v>327.65857902658377</v>
      </c>
      <c r="AG805">
        <v>5.25</v>
      </c>
      <c r="AH805">
        <v>3</v>
      </c>
      <c r="AI805">
        <v>466</v>
      </c>
      <c r="AJ805">
        <v>127.62064336287087</v>
      </c>
      <c r="AK805">
        <v>525.6</v>
      </c>
      <c r="AM805">
        <v>178.66890070801921</v>
      </c>
      <c r="AN805">
        <v>0</v>
      </c>
      <c r="AO805" t="s">
        <v>6258</v>
      </c>
      <c r="AP805" t="s">
        <v>3409</v>
      </c>
    </row>
    <row r="806" spans="1:42" x14ac:dyDescent="0.25">
      <c r="A806">
        <v>805</v>
      </c>
      <c r="B806" t="s">
        <v>3336</v>
      </c>
      <c r="C806" t="s">
        <v>3336</v>
      </c>
      <c r="D806" t="s">
        <v>3412</v>
      </c>
      <c r="E806" t="s">
        <v>3413</v>
      </c>
      <c r="F806" t="s">
        <v>3504</v>
      </c>
      <c r="G806" t="s">
        <v>85</v>
      </c>
      <c r="H806" t="s">
        <v>86</v>
      </c>
      <c r="I806" t="s">
        <v>3505</v>
      </c>
      <c r="R806" t="s">
        <v>73</v>
      </c>
      <c r="S806" t="s">
        <v>73</v>
      </c>
      <c r="U806" t="s">
        <v>73</v>
      </c>
      <c r="V806" t="s">
        <v>73</v>
      </c>
      <c r="X806" t="s">
        <v>73</v>
      </c>
      <c r="Y806" t="s">
        <v>73</v>
      </c>
      <c r="AA806" t="s">
        <v>73</v>
      </c>
      <c r="AB806" t="s">
        <v>73</v>
      </c>
      <c r="AF806">
        <v>327.40227012563003</v>
      </c>
      <c r="AG806">
        <v>5.5</v>
      </c>
      <c r="AH806">
        <v>3</v>
      </c>
      <c r="AI806">
        <v>538</v>
      </c>
      <c r="AJ806">
        <v>113.44696680625553</v>
      </c>
      <c r="AK806">
        <v>550.6</v>
      </c>
      <c r="AM806">
        <v>46.825753528757723</v>
      </c>
      <c r="AN806">
        <v>448</v>
      </c>
      <c r="AO806" t="s">
        <v>6259</v>
      </c>
      <c r="AP806" t="s">
        <v>3412</v>
      </c>
    </row>
    <row r="807" spans="1:42" x14ac:dyDescent="0.25">
      <c r="A807">
        <v>806</v>
      </c>
      <c r="B807" t="s">
        <v>2308</v>
      </c>
      <c r="C807" t="s">
        <v>2308</v>
      </c>
      <c r="D807" t="s">
        <v>3127</v>
      </c>
      <c r="E807" t="s">
        <v>218</v>
      </c>
      <c r="F807" t="s">
        <v>219</v>
      </c>
      <c r="G807" t="s">
        <v>69</v>
      </c>
      <c r="H807" t="s">
        <v>70</v>
      </c>
      <c r="I807" t="s">
        <v>2309</v>
      </c>
      <c r="J807" t="s">
        <v>679</v>
      </c>
      <c r="K807" t="s">
        <v>680</v>
      </c>
      <c r="L807" t="s">
        <v>5016</v>
      </c>
      <c r="M807" t="s">
        <v>5017</v>
      </c>
      <c r="R807" t="s">
        <v>73</v>
      </c>
      <c r="S807" t="s">
        <v>73</v>
      </c>
      <c r="U807" t="s">
        <v>73</v>
      </c>
      <c r="V807" t="s">
        <v>73</v>
      </c>
      <c r="X807" t="s">
        <v>73</v>
      </c>
      <c r="Y807" t="s">
        <v>73</v>
      </c>
      <c r="AF807">
        <v>327.21847215560109</v>
      </c>
      <c r="AG807">
        <v>6.1666666666666998</v>
      </c>
      <c r="AH807">
        <v>11</v>
      </c>
      <c r="AI807">
        <v>715</v>
      </c>
      <c r="AJ807">
        <v>75.316820913628987</v>
      </c>
      <c r="AK807">
        <v>618.86666666666997</v>
      </c>
      <c r="AM807">
        <v>49.443549279080585</v>
      </c>
      <c r="AN807">
        <v>224</v>
      </c>
      <c r="AO807" t="s">
        <v>6260</v>
      </c>
      <c r="AP807" t="s">
        <v>3127</v>
      </c>
    </row>
    <row r="808" spans="1:42" x14ac:dyDescent="0.25">
      <c r="A808">
        <v>807</v>
      </c>
      <c r="B808" t="s">
        <v>2289</v>
      </c>
      <c r="C808" t="s">
        <v>2289</v>
      </c>
      <c r="D808" t="s">
        <v>4799</v>
      </c>
      <c r="E808" t="s">
        <v>556</v>
      </c>
      <c r="F808" t="s">
        <v>557</v>
      </c>
      <c r="G808" t="s">
        <v>60</v>
      </c>
      <c r="H808" t="s">
        <v>61</v>
      </c>
      <c r="J808" t="s">
        <v>3120</v>
      </c>
      <c r="K808" t="s">
        <v>3121</v>
      </c>
      <c r="R808" t="s">
        <v>73</v>
      </c>
      <c r="S808" t="s">
        <v>73</v>
      </c>
      <c r="U808" t="s">
        <v>73</v>
      </c>
      <c r="V808" t="s">
        <v>73</v>
      </c>
      <c r="X808" t="s">
        <v>73</v>
      </c>
      <c r="Y808" t="s">
        <v>73</v>
      </c>
      <c r="AA808" t="s">
        <v>73</v>
      </c>
      <c r="AB808" t="s">
        <v>73</v>
      </c>
      <c r="AF808">
        <v>326.39999999999998</v>
      </c>
      <c r="AG808">
        <v>6.8</v>
      </c>
      <c r="AH808">
        <v>4</v>
      </c>
      <c r="AI808">
        <v>882</v>
      </c>
      <c r="AJ808">
        <v>40</v>
      </c>
      <c r="AK808">
        <v>680.8</v>
      </c>
      <c r="AM808">
        <v>0</v>
      </c>
      <c r="AN808">
        <v>224</v>
      </c>
      <c r="AO808" t="s">
        <v>6261</v>
      </c>
      <c r="AP808" t="s">
        <v>4799</v>
      </c>
    </row>
    <row r="809" spans="1:42" x14ac:dyDescent="0.25">
      <c r="A809">
        <v>808</v>
      </c>
      <c r="B809" t="s">
        <v>3779</v>
      </c>
      <c r="C809" t="s">
        <v>3779</v>
      </c>
      <c r="D809" t="s">
        <v>3782</v>
      </c>
      <c r="E809" t="s">
        <v>137</v>
      </c>
      <c r="F809" t="s">
        <v>138</v>
      </c>
      <c r="G809" t="s">
        <v>139</v>
      </c>
      <c r="H809" t="s">
        <v>140</v>
      </c>
      <c r="J809" t="s">
        <v>651</v>
      </c>
      <c r="K809" t="s">
        <v>652</v>
      </c>
      <c r="L809" t="s">
        <v>4636</v>
      </c>
      <c r="M809" t="s">
        <v>4637</v>
      </c>
      <c r="R809" t="s">
        <v>2409</v>
      </c>
      <c r="S809" t="s">
        <v>2410</v>
      </c>
      <c r="T809">
        <v>2</v>
      </c>
      <c r="U809" t="s">
        <v>2430</v>
      </c>
      <c r="V809" t="s">
        <v>2431</v>
      </c>
      <c r="W809">
        <v>6</v>
      </c>
      <c r="X809" t="s">
        <v>2440</v>
      </c>
      <c r="Y809" t="s">
        <v>2441</v>
      </c>
      <c r="Z809">
        <v>2</v>
      </c>
      <c r="AA809" t="s">
        <v>73</v>
      </c>
      <c r="AB809" t="s">
        <v>73</v>
      </c>
      <c r="AE809" t="s">
        <v>3963</v>
      </c>
      <c r="AF809">
        <v>326.12024752343285</v>
      </c>
      <c r="AG809">
        <v>6</v>
      </c>
      <c r="AH809">
        <v>4</v>
      </c>
      <c r="AI809">
        <v>652</v>
      </c>
      <c r="AJ809">
        <v>84.133608359369845</v>
      </c>
      <c r="AK809">
        <v>600.79999999999995</v>
      </c>
      <c r="AM809">
        <v>117.78705170311777</v>
      </c>
      <c r="AN809">
        <v>0</v>
      </c>
      <c r="AO809" t="s">
        <v>6262</v>
      </c>
      <c r="AP809" t="s">
        <v>3782</v>
      </c>
    </row>
    <row r="810" spans="1:42" x14ac:dyDescent="0.25">
      <c r="A810">
        <v>809</v>
      </c>
      <c r="B810" t="s">
        <v>1352</v>
      </c>
      <c r="C810" t="s">
        <v>1352</v>
      </c>
      <c r="D810" t="s">
        <v>2473</v>
      </c>
      <c r="E810" t="s">
        <v>595</v>
      </c>
      <c r="F810" t="s">
        <v>596</v>
      </c>
      <c r="G810" t="s">
        <v>3167</v>
      </c>
      <c r="H810" t="s">
        <v>3166</v>
      </c>
      <c r="I810" t="s">
        <v>3134</v>
      </c>
      <c r="J810" t="s">
        <v>707</v>
      </c>
      <c r="K810" t="s">
        <v>708</v>
      </c>
      <c r="R810" t="s">
        <v>73</v>
      </c>
      <c r="S810" t="s">
        <v>73</v>
      </c>
      <c r="U810" t="s">
        <v>73</v>
      </c>
      <c r="V810" t="s">
        <v>73</v>
      </c>
      <c r="X810" t="s">
        <v>73</v>
      </c>
      <c r="Y810" t="s">
        <v>73</v>
      </c>
      <c r="AA810" t="s">
        <v>73</v>
      </c>
      <c r="AB810" t="s">
        <v>73</v>
      </c>
      <c r="AF810">
        <v>325.95512300151029</v>
      </c>
      <c r="AG810">
        <v>5.8</v>
      </c>
      <c r="AH810">
        <v>4</v>
      </c>
      <c r="AI810">
        <v>611</v>
      </c>
      <c r="AJ810">
        <v>95.061247779455911</v>
      </c>
      <c r="AK810">
        <v>580.79999999999995</v>
      </c>
      <c r="AM810">
        <v>77.085746891238273</v>
      </c>
      <c r="AN810">
        <v>224</v>
      </c>
      <c r="AO810" t="s">
        <v>6263</v>
      </c>
      <c r="AP810" t="s">
        <v>2473</v>
      </c>
    </row>
    <row r="811" spans="1:42" x14ac:dyDescent="0.25">
      <c r="A811">
        <v>810</v>
      </c>
      <c r="B811" t="s">
        <v>1467</v>
      </c>
      <c r="C811" t="s">
        <v>1467</v>
      </c>
      <c r="D811" t="s">
        <v>2508</v>
      </c>
      <c r="E811" t="s">
        <v>595</v>
      </c>
      <c r="F811" t="s">
        <v>596</v>
      </c>
      <c r="G811" t="s">
        <v>3167</v>
      </c>
      <c r="H811" t="s">
        <v>3166</v>
      </c>
      <c r="J811" t="s">
        <v>1037</v>
      </c>
      <c r="K811" t="s">
        <v>1038</v>
      </c>
      <c r="R811" t="s">
        <v>73</v>
      </c>
      <c r="S811" t="s">
        <v>73</v>
      </c>
      <c r="U811" t="s">
        <v>73</v>
      </c>
      <c r="V811" t="s">
        <v>73</v>
      </c>
      <c r="X811" t="s">
        <v>73</v>
      </c>
      <c r="Y811" t="s">
        <v>73</v>
      </c>
      <c r="AF811">
        <v>325.68888888889001</v>
      </c>
      <c r="AG811">
        <v>6.7777777777777999</v>
      </c>
      <c r="AH811">
        <v>8</v>
      </c>
      <c r="AI811">
        <v>883</v>
      </c>
      <c r="AJ811">
        <v>40</v>
      </c>
      <c r="AK811">
        <v>679.37777777778001</v>
      </c>
      <c r="AM811">
        <v>0</v>
      </c>
      <c r="AN811">
        <v>224</v>
      </c>
      <c r="AO811" t="s">
        <v>6264</v>
      </c>
      <c r="AP811" t="s">
        <v>2508</v>
      </c>
    </row>
    <row r="812" spans="1:42" x14ac:dyDescent="0.25">
      <c r="A812">
        <v>811</v>
      </c>
      <c r="B812" t="s">
        <v>3980</v>
      </c>
      <c r="C812" t="s">
        <v>3980</v>
      </c>
      <c r="D812" t="s">
        <v>3979</v>
      </c>
      <c r="E812" t="s">
        <v>183</v>
      </c>
      <c r="F812" t="s">
        <v>184</v>
      </c>
      <c r="G812" t="s">
        <v>158</v>
      </c>
      <c r="H812" t="s">
        <v>159</v>
      </c>
      <c r="I812" t="s">
        <v>3981</v>
      </c>
      <c r="J812" t="s">
        <v>1205</v>
      </c>
      <c r="K812" t="s">
        <v>1206</v>
      </c>
      <c r="Q812">
        <v>13</v>
      </c>
      <c r="R812" t="s">
        <v>73</v>
      </c>
      <c r="S812" t="s">
        <v>73</v>
      </c>
      <c r="U812" t="s">
        <v>73</v>
      </c>
      <c r="V812" t="s">
        <v>73</v>
      </c>
      <c r="X812" t="s">
        <v>73</v>
      </c>
      <c r="Y812" t="s">
        <v>73</v>
      </c>
      <c r="AA812" t="s">
        <v>73</v>
      </c>
      <c r="AB812" t="s">
        <v>73</v>
      </c>
      <c r="AF812">
        <v>325.60828030292237</v>
      </c>
      <c r="AG812">
        <v>7</v>
      </c>
      <c r="AH812">
        <v>6</v>
      </c>
      <c r="AI812">
        <v>932</v>
      </c>
      <c r="AJ812">
        <v>27.786978114358167</v>
      </c>
      <c r="AK812">
        <v>701.2</v>
      </c>
      <c r="AM812">
        <v>38.901769360101433</v>
      </c>
      <c r="AN812">
        <v>0</v>
      </c>
      <c r="AO812" t="s">
        <v>6265</v>
      </c>
      <c r="AP812" t="s">
        <v>3979</v>
      </c>
    </row>
    <row r="813" spans="1:42" x14ac:dyDescent="0.25">
      <c r="A813">
        <v>812</v>
      </c>
      <c r="B813" t="s">
        <v>3380</v>
      </c>
      <c r="C813" t="s">
        <v>3380</v>
      </c>
      <c r="D813" t="s">
        <v>3953</v>
      </c>
      <c r="E813" t="s">
        <v>183</v>
      </c>
      <c r="F813" t="s">
        <v>184</v>
      </c>
      <c r="G813" t="s">
        <v>158</v>
      </c>
      <c r="H813" t="s">
        <v>159</v>
      </c>
      <c r="I813" t="s">
        <v>3952</v>
      </c>
      <c r="J813" t="s">
        <v>185</v>
      </c>
      <c r="K813" t="s">
        <v>3021</v>
      </c>
      <c r="Q813">
        <v>12</v>
      </c>
      <c r="R813" t="s">
        <v>2409</v>
      </c>
      <c r="S813" t="s">
        <v>2410</v>
      </c>
      <c r="T813">
        <v>2</v>
      </c>
      <c r="U813" t="s">
        <v>2430</v>
      </c>
      <c r="V813" t="s">
        <v>2431</v>
      </c>
      <c r="W813">
        <v>6</v>
      </c>
      <c r="X813" t="s">
        <v>2446</v>
      </c>
      <c r="Y813" t="s">
        <v>2447</v>
      </c>
      <c r="Z813">
        <v>4</v>
      </c>
      <c r="AA813" t="s">
        <v>73</v>
      </c>
      <c r="AB813" t="s">
        <v>73</v>
      </c>
      <c r="AF813">
        <v>325.4701143055791</v>
      </c>
      <c r="AG813">
        <v>5.75</v>
      </c>
      <c r="AH813">
        <v>7</v>
      </c>
      <c r="AI813">
        <v>603</v>
      </c>
      <c r="AJ813">
        <v>96.966793672865677</v>
      </c>
      <c r="AK813">
        <v>576.4</v>
      </c>
      <c r="AM813">
        <v>135.75351114201194</v>
      </c>
      <c r="AN813">
        <v>0</v>
      </c>
      <c r="AO813" t="s">
        <v>6266</v>
      </c>
      <c r="AP813" t="s">
        <v>3953</v>
      </c>
    </row>
    <row r="814" spans="1:42" x14ac:dyDescent="0.25">
      <c r="A814">
        <v>813</v>
      </c>
      <c r="B814" t="s">
        <v>2259</v>
      </c>
      <c r="C814" t="s">
        <v>2259</v>
      </c>
      <c r="D814" t="s">
        <v>3198</v>
      </c>
      <c r="E814" t="s">
        <v>471</v>
      </c>
      <c r="F814" t="s">
        <v>472</v>
      </c>
      <c r="G814" t="s">
        <v>93</v>
      </c>
      <c r="H814" t="s">
        <v>94</v>
      </c>
      <c r="I814" t="s">
        <v>3212</v>
      </c>
      <c r="J814" t="s">
        <v>3245</v>
      </c>
      <c r="K814" t="s">
        <v>3170</v>
      </c>
      <c r="O814" t="s">
        <v>3197</v>
      </c>
      <c r="P814" t="s">
        <v>3197</v>
      </c>
      <c r="Q814">
        <v>13</v>
      </c>
      <c r="R814" t="s">
        <v>2409</v>
      </c>
      <c r="S814" t="s">
        <v>2410</v>
      </c>
      <c r="T814">
        <v>2</v>
      </c>
      <c r="U814" t="s">
        <v>2432</v>
      </c>
      <c r="V814" t="s">
        <v>2433</v>
      </c>
      <c r="W814">
        <v>7</v>
      </c>
      <c r="X814" t="s">
        <v>2446</v>
      </c>
      <c r="Y814" t="s">
        <v>2447</v>
      </c>
      <c r="Z814">
        <v>4</v>
      </c>
      <c r="AE814" t="s">
        <v>3196</v>
      </c>
      <c r="AF814">
        <v>324.55893045729795</v>
      </c>
      <c r="AG814">
        <v>5.7333333333332996</v>
      </c>
      <c r="AH814">
        <v>14</v>
      </c>
      <c r="AI814">
        <v>608</v>
      </c>
      <c r="AJ814">
        <v>96.102515322925512</v>
      </c>
      <c r="AK814">
        <v>576.13333333332992</v>
      </c>
      <c r="AM814">
        <v>106.54352145209572</v>
      </c>
      <c r="AN814">
        <v>112</v>
      </c>
      <c r="AO814" t="s">
        <v>6267</v>
      </c>
      <c r="AP814" t="s">
        <v>3198</v>
      </c>
    </row>
    <row r="815" spans="1:42" x14ac:dyDescent="0.25">
      <c r="A815">
        <v>814</v>
      </c>
      <c r="B815" t="s">
        <v>2061</v>
      </c>
      <c r="C815" t="s">
        <v>2061</v>
      </c>
      <c r="D815" t="s">
        <v>2967</v>
      </c>
      <c r="E815" t="s">
        <v>318</v>
      </c>
      <c r="F815" t="s">
        <v>319</v>
      </c>
      <c r="G815" t="s">
        <v>75</v>
      </c>
      <c r="H815" t="s">
        <v>76</v>
      </c>
      <c r="R815" t="s">
        <v>73</v>
      </c>
      <c r="S815" t="s">
        <v>73</v>
      </c>
      <c r="U815" t="s">
        <v>73</v>
      </c>
      <c r="V815" t="s">
        <v>73</v>
      </c>
      <c r="X815" t="s">
        <v>73</v>
      </c>
      <c r="Y815" t="s">
        <v>73</v>
      </c>
      <c r="AA815" t="s">
        <v>73</v>
      </c>
      <c r="AB815" t="s">
        <v>73</v>
      </c>
      <c r="AF815">
        <v>324.39999999999998</v>
      </c>
      <c r="AG815">
        <v>6.4</v>
      </c>
      <c r="AH815">
        <v>4</v>
      </c>
      <c r="AI815">
        <v>773</v>
      </c>
      <c r="AJ815">
        <v>60.000000000000007</v>
      </c>
      <c r="AK815">
        <v>640.79999999999995</v>
      </c>
      <c r="AM815">
        <v>0</v>
      </c>
      <c r="AN815">
        <v>336</v>
      </c>
      <c r="AO815" t="s">
        <v>6268</v>
      </c>
      <c r="AP815" t="s">
        <v>2967</v>
      </c>
    </row>
    <row r="816" spans="1:42" x14ac:dyDescent="0.25">
      <c r="A816">
        <v>815</v>
      </c>
      <c r="B816" t="s">
        <v>2086</v>
      </c>
      <c r="C816" t="s">
        <v>2086</v>
      </c>
      <c r="D816" t="s">
        <v>2087</v>
      </c>
      <c r="E816" t="s">
        <v>161</v>
      </c>
      <c r="F816" t="s">
        <v>161</v>
      </c>
      <c r="G816" t="s">
        <v>3167</v>
      </c>
      <c r="H816" t="s">
        <v>3166</v>
      </c>
      <c r="I816" t="s">
        <v>2088</v>
      </c>
      <c r="J816" t="s">
        <v>811</v>
      </c>
      <c r="K816" t="s">
        <v>812</v>
      </c>
      <c r="R816" t="s">
        <v>73</v>
      </c>
      <c r="S816" t="s">
        <v>73</v>
      </c>
      <c r="U816" t="s">
        <v>73</v>
      </c>
      <c r="V816" t="s">
        <v>73</v>
      </c>
      <c r="X816" t="s">
        <v>73</v>
      </c>
      <c r="Y816" t="s">
        <v>73</v>
      </c>
      <c r="AA816" t="s">
        <v>73</v>
      </c>
      <c r="AB816" t="s">
        <v>73</v>
      </c>
      <c r="AF816">
        <v>324.28356380441483</v>
      </c>
      <c r="AG816">
        <v>5.4705882352941</v>
      </c>
      <c r="AH816">
        <v>16</v>
      </c>
      <c r="AI816">
        <v>554</v>
      </c>
      <c r="AJ816">
        <v>110.17128004412199</v>
      </c>
      <c r="AK816">
        <v>550.25882352941005</v>
      </c>
      <c r="AM816">
        <v>154.23979206177077</v>
      </c>
      <c r="AN816">
        <v>0</v>
      </c>
      <c r="AO816" t="s">
        <v>6269</v>
      </c>
      <c r="AP816" t="s">
        <v>2087</v>
      </c>
    </row>
    <row r="817" spans="1:42" x14ac:dyDescent="0.25">
      <c r="A817">
        <v>816</v>
      </c>
      <c r="B817" t="s">
        <v>1519</v>
      </c>
      <c r="C817" t="s">
        <v>1519</v>
      </c>
      <c r="D817" t="s">
        <v>2526</v>
      </c>
      <c r="E817" t="s">
        <v>169</v>
      </c>
      <c r="F817" t="s">
        <v>170</v>
      </c>
      <c r="G817" t="s">
        <v>79</v>
      </c>
      <c r="H817" t="s">
        <v>80</v>
      </c>
      <c r="I817" t="s">
        <v>1520</v>
      </c>
      <c r="Q817">
        <v>15</v>
      </c>
      <c r="R817" t="s">
        <v>2409</v>
      </c>
      <c r="S817" t="s">
        <v>2410</v>
      </c>
      <c r="T817">
        <v>2</v>
      </c>
      <c r="U817" t="s">
        <v>73</v>
      </c>
      <c r="V817" t="s">
        <v>73</v>
      </c>
      <c r="X817" t="s">
        <v>2446</v>
      </c>
      <c r="Y817" t="s">
        <v>2447</v>
      </c>
      <c r="Z817">
        <v>4</v>
      </c>
      <c r="AF817">
        <v>324.03947433790086</v>
      </c>
      <c r="AG817">
        <v>5.6666666666666998</v>
      </c>
      <c r="AH817">
        <v>5</v>
      </c>
      <c r="AI817">
        <v>589</v>
      </c>
      <c r="AJ817">
        <v>100.2290455606288</v>
      </c>
      <c r="AK817">
        <v>567.66666666666993</v>
      </c>
      <c r="AM817">
        <v>56.320663784880324</v>
      </c>
      <c r="AN817">
        <v>336</v>
      </c>
      <c r="AO817" t="s">
        <v>6270</v>
      </c>
      <c r="AP817" t="s">
        <v>2526</v>
      </c>
    </row>
    <row r="818" spans="1:42" x14ac:dyDescent="0.25">
      <c r="A818">
        <v>817</v>
      </c>
      <c r="B818" t="s">
        <v>469</v>
      </c>
      <c r="C818" t="s">
        <v>3224</v>
      </c>
      <c r="D818" t="s">
        <v>470</v>
      </c>
      <c r="E818" t="s">
        <v>471</v>
      </c>
      <c r="F818" t="s">
        <v>472</v>
      </c>
      <c r="G818" t="s">
        <v>93</v>
      </c>
      <c r="H818" t="s">
        <v>94</v>
      </c>
      <c r="I818" t="s">
        <v>3224</v>
      </c>
      <c r="J818" t="s">
        <v>3240</v>
      </c>
      <c r="K818" t="s">
        <v>3175</v>
      </c>
      <c r="O818" t="s">
        <v>3184</v>
      </c>
      <c r="P818" t="s">
        <v>3184</v>
      </c>
      <c r="Q818">
        <v>13</v>
      </c>
      <c r="R818" t="s">
        <v>2409</v>
      </c>
      <c r="S818" t="s">
        <v>2410</v>
      </c>
      <c r="T818">
        <v>2</v>
      </c>
      <c r="U818" t="s">
        <v>3137</v>
      </c>
      <c r="V818" t="s">
        <v>3136</v>
      </c>
      <c r="W818">
        <v>5</v>
      </c>
      <c r="X818" t="s">
        <v>2440</v>
      </c>
      <c r="Y818" t="s">
        <v>2441</v>
      </c>
      <c r="Z818">
        <v>2</v>
      </c>
      <c r="AA818" t="s">
        <v>73</v>
      </c>
      <c r="AB818" t="s">
        <v>73</v>
      </c>
      <c r="AF818">
        <v>323.99052880103426</v>
      </c>
      <c r="AG818">
        <v>6.4</v>
      </c>
      <c r="AH818">
        <v>4</v>
      </c>
      <c r="AI818">
        <v>792</v>
      </c>
      <c r="AJ818">
        <v>59.545032001149224</v>
      </c>
      <c r="AK818">
        <v>640.79999999999995</v>
      </c>
      <c r="AM818">
        <v>55.363044801608901</v>
      </c>
      <c r="AN818">
        <v>112</v>
      </c>
      <c r="AO818" t="s">
        <v>6271</v>
      </c>
      <c r="AP818" t="s">
        <v>470</v>
      </c>
    </row>
    <row r="819" spans="1:42" x14ac:dyDescent="0.25">
      <c r="A819">
        <v>818</v>
      </c>
      <c r="B819" t="s">
        <v>115</v>
      </c>
      <c r="C819" t="s">
        <v>115</v>
      </c>
      <c r="D819" t="s">
        <v>3046</v>
      </c>
      <c r="E819" t="s">
        <v>84</v>
      </c>
      <c r="F819" t="s">
        <v>84</v>
      </c>
      <c r="G819" t="s">
        <v>85</v>
      </c>
      <c r="H819" t="s">
        <v>86</v>
      </c>
      <c r="J819" t="s">
        <v>90</v>
      </c>
      <c r="Q819">
        <v>13</v>
      </c>
      <c r="R819" t="s">
        <v>2409</v>
      </c>
      <c r="S819" t="s">
        <v>2410</v>
      </c>
      <c r="T819">
        <v>2</v>
      </c>
      <c r="U819" t="s">
        <v>2430</v>
      </c>
      <c r="V819" t="s">
        <v>2431</v>
      </c>
      <c r="W819">
        <v>6</v>
      </c>
      <c r="X819" t="s">
        <v>2443</v>
      </c>
      <c r="Y819" t="s">
        <v>2444</v>
      </c>
      <c r="Z819">
        <v>3</v>
      </c>
      <c r="AF819">
        <v>323.8</v>
      </c>
      <c r="AG819">
        <v>6.75</v>
      </c>
      <c r="AH819">
        <v>3</v>
      </c>
      <c r="AI819">
        <v>884</v>
      </c>
      <c r="AJ819">
        <v>40</v>
      </c>
      <c r="AK819">
        <v>675.6</v>
      </c>
      <c r="AM819">
        <v>0</v>
      </c>
      <c r="AN819">
        <v>224</v>
      </c>
      <c r="AO819" t="s">
        <v>6272</v>
      </c>
      <c r="AP819" t="s">
        <v>3046</v>
      </c>
    </row>
    <row r="820" spans="1:42" x14ac:dyDescent="0.25">
      <c r="A820">
        <v>819</v>
      </c>
      <c r="B820" t="s">
        <v>1347</v>
      </c>
      <c r="C820" t="s">
        <v>1347</v>
      </c>
      <c r="D820" t="s">
        <v>2713</v>
      </c>
      <c r="E820" t="s">
        <v>471</v>
      </c>
      <c r="F820" t="s">
        <v>472</v>
      </c>
      <c r="G820" t="s">
        <v>93</v>
      </c>
      <c r="H820" t="s">
        <v>94</v>
      </c>
      <c r="I820" t="s">
        <v>3234</v>
      </c>
      <c r="J820" t="s">
        <v>3246</v>
      </c>
      <c r="K820" t="s">
        <v>3203</v>
      </c>
      <c r="Q820">
        <v>14</v>
      </c>
      <c r="R820" t="s">
        <v>2409</v>
      </c>
      <c r="S820" t="s">
        <v>2410</v>
      </c>
      <c r="T820">
        <v>2</v>
      </c>
      <c r="U820" t="s">
        <v>3137</v>
      </c>
      <c r="V820" t="s">
        <v>3136</v>
      </c>
      <c r="W820">
        <v>5</v>
      </c>
      <c r="X820" t="s">
        <v>2443</v>
      </c>
      <c r="Y820" t="s">
        <v>2444</v>
      </c>
      <c r="Z820">
        <v>3</v>
      </c>
      <c r="AF820">
        <v>323.69300820180365</v>
      </c>
      <c r="AG820">
        <v>6</v>
      </c>
      <c r="AH820">
        <v>6</v>
      </c>
      <c r="AI820">
        <v>662</v>
      </c>
      <c r="AJ820">
        <v>81.214453557559551</v>
      </c>
      <c r="AK820">
        <v>601.20000000000005</v>
      </c>
      <c r="AM820">
        <v>85.70023498058336</v>
      </c>
      <c r="AN820">
        <v>112</v>
      </c>
      <c r="AO820" t="s">
        <v>6273</v>
      </c>
      <c r="AP820" t="s">
        <v>2713</v>
      </c>
    </row>
    <row r="821" spans="1:42" x14ac:dyDescent="0.25">
      <c r="A821">
        <v>820</v>
      </c>
      <c r="B821" t="s">
        <v>503</v>
      </c>
      <c r="C821" t="s">
        <v>503</v>
      </c>
      <c r="D821" t="s">
        <v>504</v>
      </c>
      <c r="E821" t="s">
        <v>161</v>
      </c>
      <c r="F821" t="s">
        <v>161</v>
      </c>
      <c r="G821" t="s">
        <v>3167</v>
      </c>
      <c r="H821" t="s">
        <v>3166</v>
      </c>
      <c r="J821" t="s">
        <v>463</v>
      </c>
      <c r="K821" t="s">
        <v>464</v>
      </c>
      <c r="R821" t="s">
        <v>73</v>
      </c>
      <c r="S821" t="s">
        <v>73</v>
      </c>
      <c r="U821" t="s">
        <v>73</v>
      </c>
      <c r="V821" t="s">
        <v>73</v>
      </c>
      <c r="X821" t="s">
        <v>73</v>
      </c>
      <c r="Y821" t="s">
        <v>73</v>
      </c>
      <c r="AA821" t="s">
        <v>73</v>
      </c>
      <c r="AB821" t="s">
        <v>73</v>
      </c>
      <c r="AF821">
        <v>323.13015211528261</v>
      </c>
      <c r="AG821">
        <v>6.6666666666666998</v>
      </c>
      <c r="AH821">
        <v>8</v>
      </c>
      <c r="AI821">
        <v>833</v>
      </c>
      <c r="AJ821">
        <v>43.329798646608502</v>
      </c>
      <c r="AK821">
        <v>668.26666666666995</v>
      </c>
      <c r="AM821">
        <v>60.6617181052519</v>
      </c>
      <c r="AN821">
        <v>0</v>
      </c>
      <c r="AO821" t="s">
        <v>6274</v>
      </c>
      <c r="AP821" t="s">
        <v>504</v>
      </c>
    </row>
    <row r="822" spans="1:42" x14ac:dyDescent="0.25">
      <c r="A822">
        <v>821</v>
      </c>
      <c r="B822" t="s">
        <v>3959</v>
      </c>
      <c r="C822" t="s">
        <v>3959</v>
      </c>
      <c r="D822" t="s">
        <v>3958</v>
      </c>
      <c r="E822" t="s">
        <v>3955</v>
      </c>
      <c r="F822" t="s">
        <v>3956</v>
      </c>
      <c r="G822" t="s">
        <v>60</v>
      </c>
      <c r="H822" t="s">
        <v>61</v>
      </c>
      <c r="L822" t="s">
        <v>4862</v>
      </c>
      <c r="M822" t="s">
        <v>4863</v>
      </c>
      <c r="R822" t="s">
        <v>73</v>
      </c>
      <c r="S822" t="s">
        <v>73</v>
      </c>
      <c r="U822" t="s">
        <v>73</v>
      </c>
      <c r="V822" t="s">
        <v>73</v>
      </c>
      <c r="X822" t="s">
        <v>73</v>
      </c>
      <c r="Y822" t="s">
        <v>73</v>
      </c>
      <c r="AA822" t="s">
        <v>73</v>
      </c>
      <c r="AB822" t="s">
        <v>73</v>
      </c>
      <c r="AF822">
        <v>323.02222222222002</v>
      </c>
      <c r="AG822">
        <v>7.4444444444444002</v>
      </c>
      <c r="AH822">
        <v>8</v>
      </c>
      <c r="AI822">
        <v>974</v>
      </c>
      <c r="AJ822">
        <v>0</v>
      </c>
      <c r="AK822">
        <v>746.04444444444005</v>
      </c>
      <c r="AM822">
        <v>0</v>
      </c>
      <c r="AN822">
        <v>0</v>
      </c>
      <c r="AO822" t="s">
        <v>6275</v>
      </c>
      <c r="AP822" t="s">
        <v>3958</v>
      </c>
    </row>
    <row r="823" spans="1:42" x14ac:dyDescent="0.25">
      <c r="A823">
        <v>822</v>
      </c>
      <c r="B823" t="s">
        <v>1812</v>
      </c>
      <c r="C823" t="s">
        <v>1812</v>
      </c>
      <c r="D823" t="s">
        <v>3700</v>
      </c>
      <c r="E823" t="s">
        <v>229</v>
      </c>
      <c r="F823" t="s">
        <v>229</v>
      </c>
      <c r="G823" t="s">
        <v>69</v>
      </c>
      <c r="H823" t="s">
        <v>70</v>
      </c>
      <c r="I823" t="s">
        <v>1813</v>
      </c>
      <c r="R823" t="s">
        <v>73</v>
      </c>
      <c r="S823" t="s">
        <v>73</v>
      </c>
      <c r="U823" t="s">
        <v>73</v>
      </c>
      <c r="V823" t="s">
        <v>73</v>
      </c>
      <c r="X823" t="s">
        <v>73</v>
      </c>
      <c r="Y823" t="s">
        <v>73</v>
      </c>
      <c r="AA823" t="s">
        <v>73</v>
      </c>
      <c r="AB823" t="s">
        <v>73</v>
      </c>
      <c r="AF823">
        <v>322.5</v>
      </c>
      <c r="AG823">
        <v>6</v>
      </c>
      <c r="AH823">
        <v>5</v>
      </c>
      <c r="AI823">
        <v>679</v>
      </c>
      <c r="AJ823">
        <v>80</v>
      </c>
      <c r="AK823">
        <v>601</v>
      </c>
      <c r="AM823">
        <v>0</v>
      </c>
      <c r="AN823">
        <v>448</v>
      </c>
      <c r="AO823" t="s">
        <v>6276</v>
      </c>
      <c r="AP823" t="s">
        <v>3700</v>
      </c>
    </row>
    <row r="824" spans="1:42" x14ac:dyDescent="0.25">
      <c r="A824">
        <v>823</v>
      </c>
      <c r="B824" t="s">
        <v>2340</v>
      </c>
      <c r="C824" t="s">
        <v>2340</v>
      </c>
      <c r="D824" t="s">
        <v>2341</v>
      </c>
      <c r="E824" t="s">
        <v>415</v>
      </c>
      <c r="F824" t="s">
        <v>415</v>
      </c>
      <c r="G824" t="s">
        <v>85</v>
      </c>
      <c r="H824" t="s">
        <v>86</v>
      </c>
      <c r="L824" t="s">
        <v>4292</v>
      </c>
      <c r="M824" t="s">
        <v>4293</v>
      </c>
      <c r="N824" t="s">
        <v>4294</v>
      </c>
      <c r="O824" t="s">
        <v>2342</v>
      </c>
      <c r="P824" t="s">
        <v>2342</v>
      </c>
      <c r="Q824">
        <v>16</v>
      </c>
      <c r="R824" t="s">
        <v>73</v>
      </c>
      <c r="S824" t="s">
        <v>73</v>
      </c>
      <c r="U824" t="s">
        <v>73</v>
      </c>
      <c r="V824" t="s">
        <v>73</v>
      </c>
      <c r="X824" t="s">
        <v>2440</v>
      </c>
      <c r="Y824" t="s">
        <v>2441</v>
      </c>
      <c r="Z824">
        <v>2</v>
      </c>
      <c r="AA824" t="s">
        <v>73</v>
      </c>
      <c r="AB824" t="s">
        <v>73</v>
      </c>
      <c r="AF824">
        <v>322.31428571428501</v>
      </c>
      <c r="AG824">
        <v>6.7142857142857002</v>
      </c>
      <c r="AH824">
        <v>6</v>
      </c>
      <c r="AI824">
        <v>885</v>
      </c>
      <c r="AJ824">
        <v>40</v>
      </c>
      <c r="AK824">
        <v>672.62857142857001</v>
      </c>
      <c r="AM824">
        <v>0</v>
      </c>
      <c r="AN824">
        <v>224</v>
      </c>
      <c r="AO824" t="s">
        <v>6277</v>
      </c>
      <c r="AP824" t="s">
        <v>2341</v>
      </c>
    </row>
    <row r="825" spans="1:42" x14ac:dyDescent="0.25">
      <c r="A825">
        <v>824</v>
      </c>
      <c r="B825" t="s">
        <v>1754</v>
      </c>
      <c r="C825" t="s">
        <v>1754</v>
      </c>
      <c r="D825" t="s">
        <v>1755</v>
      </c>
      <c r="E825" t="s">
        <v>282</v>
      </c>
      <c r="F825" t="s">
        <v>283</v>
      </c>
      <c r="G825" t="s">
        <v>3167</v>
      </c>
      <c r="H825" t="s">
        <v>3166</v>
      </c>
      <c r="I825" t="s">
        <v>284</v>
      </c>
      <c r="J825" t="s">
        <v>285</v>
      </c>
      <c r="K825" t="s">
        <v>286</v>
      </c>
      <c r="R825" t="s">
        <v>73</v>
      </c>
      <c r="S825" t="s">
        <v>73</v>
      </c>
      <c r="U825" t="s">
        <v>73</v>
      </c>
      <c r="V825" t="s">
        <v>73</v>
      </c>
      <c r="X825" t="s">
        <v>73</v>
      </c>
      <c r="Y825" t="s">
        <v>73</v>
      </c>
      <c r="AF825">
        <v>322.13877382322909</v>
      </c>
      <c r="AG825">
        <v>5.625</v>
      </c>
      <c r="AH825">
        <v>7</v>
      </c>
      <c r="AI825">
        <v>590</v>
      </c>
      <c r="AJ825">
        <v>100.20974869247679</v>
      </c>
      <c r="AK825">
        <v>563.9</v>
      </c>
      <c r="AM825">
        <v>84.293648169467502</v>
      </c>
      <c r="AN825">
        <v>224</v>
      </c>
      <c r="AO825" t="s">
        <v>6278</v>
      </c>
      <c r="AP825" t="s">
        <v>1755</v>
      </c>
    </row>
    <row r="826" spans="1:42" x14ac:dyDescent="0.25">
      <c r="A826">
        <v>825</v>
      </c>
      <c r="B826" t="s">
        <v>1815</v>
      </c>
      <c r="C826" t="s">
        <v>1815</v>
      </c>
      <c r="D826" t="s">
        <v>1816</v>
      </c>
      <c r="E826" t="s">
        <v>199</v>
      </c>
      <c r="F826" t="s">
        <v>200</v>
      </c>
      <c r="I826" t="s">
        <v>1817</v>
      </c>
      <c r="J826" t="s">
        <v>452</v>
      </c>
      <c r="K826" t="s">
        <v>453</v>
      </c>
      <c r="L826" t="s">
        <v>5217</v>
      </c>
      <c r="M826" t="s">
        <v>5218</v>
      </c>
      <c r="R826" t="s">
        <v>73</v>
      </c>
      <c r="S826" t="s">
        <v>73</v>
      </c>
      <c r="U826" t="s">
        <v>73</v>
      </c>
      <c r="V826" t="s">
        <v>73</v>
      </c>
      <c r="X826" t="s">
        <v>73</v>
      </c>
      <c r="Y826" t="s">
        <v>73</v>
      </c>
      <c r="AA826" t="s">
        <v>73</v>
      </c>
      <c r="AB826" t="s">
        <v>73</v>
      </c>
      <c r="AF826">
        <v>321.83915728266606</v>
      </c>
      <c r="AG826">
        <v>6.5789473684211002</v>
      </c>
      <c r="AH826">
        <v>18</v>
      </c>
      <c r="AI826">
        <v>825</v>
      </c>
      <c r="AJ826">
        <v>45.657543179567867</v>
      </c>
      <c r="AK826">
        <v>661.49473684211</v>
      </c>
      <c r="AM826">
        <v>63.920560451395005</v>
      </c>
      <c r="AN826">
        <v>0</v>
      </c>
      <c r="AO826" t="s">
        <v>6279</v>
      </c>
      <c r="AP826" t="s">
        <v>1816</v>
      </c>
    </row>
    <row r="827" spans="1:42" x14ac:dyDescent="0.25">
      <c r="A827">
        <v>826</v>
      </c>
      <c r="B827" t="s">
        <v>641</v>
      </c>
      <c r="C827" t="s">
        <v>641</v>
      </c>
      <c r="D827" t="s">
        <v>642</v>
      </c>
      <c r="E827" t="s">
        <v>199</v>
      </c>
      <c r="F827" t="s">
        <v>200</v>
      </c>
      <c r="J827" t="s">
        <v>452</v>
      </c>
      <c r="K827" t="s">
        <v>453</v>
      </c>
      <c r="L827" t="s">
        <v>4561</v>
      </c>
      <c r="M827">
        <v>-0.54416659999999994</v>
      </c>
      <c r="O827" t="s">
        <v>73</v>
      </c>
      <c r="P827" t="s">
        <v>73</v>
      </c>
      <c r="R827" t="s">
        <v>2414</v>
      </c>
      <c r="S827" t="s">
        <v>2415</v>
      </c>
      <c r="T827">
        <v>3</v>
      </c>
      <c r="U827" t="s">
        <v>73</v>
      </c>
      <c r="V827" t="s">
        <v>73</v>
      </c>
      <c r="X827" t="s">
        <v>2440</v>
      </c>
      <c r="Y827" t="s">
        <v>2441</v>
      </c>
      <c r="Z827">
        <v>2</v>
      </c>
      <c r="AA827" t="s">
        <v>73</v>
      </c>
      <c r="AB827" t="s">
        <v>73</v>
      </c>
      <c r="AF827">
        <v>321.69303062988018</v>
      </c>
      <c r="AG827">
        <v>6.6153846153845999</v>
      </c>
      <c r="AH827">
        <v>12</v>
      </c>
      <c r="AI827">
        <v>830</v>
      </c>
      <c r="AJ827">
        <v>44.137555400722441</v>
      </c>
      <c r="AK827">
        <v>663.93846153845993</v>
      </c>
      <c r="AM827">
        <v>61.792577561011413</v>
      </c>
      <c r="AN827">
        <v>0</v>
      </c>
      <c r="AO827" t="s">
        <v>6280</v>
      </c>
      <c r="AP827" t="s">
        <v>642</v>
      </c>
    </row>
    <row r="828" spans="1:42" x14ac:dyDescent="0.25">
      <c r="A828">
        <v>827</v>
      </c>
      <c r="B828" t="s">
        <v>3458</v>
      </c>
      <c r="C828" t="s">
        <v>3458</v>
      </c>
      <c r="D828" t="s">
        <v>3459</v>
      </c>
      <c r="E828" t="s">
        <v>183</v>
      </c>
      <c r="F828" t="s">
        <v>184</v>
      </c>
      <c r="G828" t="s">
        <v>3849</v>
      </c>
      <c r="H828" t="s">
        <v>3850</v>
      </c>
      <c r="J828" t="s">
        <v>1184</v>
      </c>
      <c r="K828" t="s">
        <v>1185</v>
      </c>
      <c r="O828" t="s">
        <v>3460</v>
      </c>
      <c r="P828" t="s">
        <v>3461</v>
      </c>
      <c r="Q828">
        <v>12</v>
      </c>
      <c r="R828" t="s">
        <v>2409</v>
      </c>
      <c r="S828" t="s">
        <v>2410</v>
      </c>
      <c r="T828">
        <v>2</v>
      </c>
      <c r="U828" t="s">
        <v>3137</v>
      </c>
      <c r="V828" t="s">
        <v>3136</v>
      </c>
      <c r="W828">
        <v>5</v>
      </c>
      <c r="X828" t="s">
        <v>2446</v>
      </c>
      <c r="Y828" t="s">
        <v>2447</v>
      </c>
      <c r="Z828">
        <v>4</v>
      </c>
      <c r="AF828">
        <v>321.06342624692911</v>
      </c>
      <c r="AG828">
        <v>5.375</v>
      </c>
      <c r="AH828">
        <v>7</v>
      </c>
      <c r="AI828">
        <v>539</v>
      </c>
      <c r="AJ828">
        <v>112.90380694103239</v>
      </c>
      <c r="AK828">
        <v>538.9</v>
      </c>
      <c r="AM828">
        <v>158.06532971744534</v>
      </c>
      <c r="AN828">
        <v>0</v>
      </c>
      <c r="AO828" t="s">
        <v>6281</v>
      </c>
      <c r="AP828" t="s">
        <v>3459</v>
      </c>
    </row>
    <row r="829" spans="1:42" x14ac:dyDescent="0.25">
      <c r="A829">
        <v>828</v>
      </c>
      <c r="B829" t="s">
        <v>966</v>
      </c>
      <c r="C829" t="s">
        <v>966</v>
      </c>
      <c r="D829" t="s">
        <v>2968</v>
      </c>
      <c r="E829" t="s">
        <v>318</v>
      </c>
      <c r="F829" t="s">
        <v>319</v>
      </c>
      <c r="G829" t="s">
        <v>75</v>
      </c>
      <c r="H829" t="s">
        <v>76</v>
      </c>
      <c r="I829" t="s">
        <v>2969</v>
      </c>
      <c r="R829" t="s">
        <v>73</v>
      </c>
      <c r="S829" t="s">
        <v>73</v>
      </c>
      <c r="U829" t="s">
        <v>73</v>
      </c>
      <c r="V829" t="s">
        <v>73</v>
      </c>
      <c r="X829" t="s">
        <v>73</v>
      </c>
      <c r="Y829" t="s">
        <v>73</v>
      </c>
      <c r="AA829" t="s">
        <v>73</v>
      </c>
      <c r="AB829" t="s">
        <v>73</v>
      </c>
      <c r="AF829">
        <v>320.86666666666503</v>
      </c>
      <c r="AG829">
        <v>6.3333333333333002</v>
      </c>
      <c r="AH829">
        <v>2</v>
      </c>
      <c r="AI829">
        <v>774</v>
      </c>
      <c r="AJ829">
        <v>60.000000000000007</v>
      </c>
      <c r="AK829">
        <v>633.73333333333005</v>
      </c>
      <c r="AM829">
        <v>0</v>
      </c>
      <c r="AN829">
        <v>336</v>
      </c>
      <c r="AO829" t="s">
        <v>6282</v>
      </c>
      <c r="AP829" t="s">
        <v>2968</v>
      </c>
    </row>
    <row r="830" spans="1:42" x14ac:dyDescent="0.25">
      <c r="A830">
        <v>829</v>
      </c>
      <c r="B830" t="s">
        <v>3578</v>
      </c>
      <c r="C830" t="s">
        <v>4110</v>
      </c>
      <c r="D830" t="s">
        <v>3579</v>
      </c>
      <c r="E830" t="s">
        <v>218</v>
      </c>
      <c r="F830" t="s">
        <v>219</v>
      </c>
      <c r="G830" t="s">
        <v>69</v>
      </c>
      <c r="H830" t="s">
        <v>70</v>
      </c>
      <c r="I830" t="s">
        <v>3582</v>
      </c>
      <c r="J830" t="s">
        <v>1752</v>
      </c>
      <c r="K830" t="s">
        <v>1753</v>
      </c>
      <c r="L830" t="s">
        <v>4898</v>
      </c>
      <c r="M830" t="s">
        <v>4899</v>
      </c>
      <c r="R830" t="s">
        <v>73</v>
      </c>
      <c r="S830" t="s">
        <v>73</v>
      </c>
      <c r="U830" t="s">
        <v>73</v>
      </c>
      <c r="V830" t="s">
        <v>73</v>
      </c>
      <c r="X830" t="s">
        <v>73</v>
      </c>
      <c r="Y830" t="s">
        <v>73</v>
      </c>
      <c r="AA830" t="s">
        <v>73</v>
      </c>
      <c r="AB830" t="s">
        <v>73</v>
      </c>
      <c r="AF830">
        <v>320.13333333333497</v>
      </c>
      <c r="AG830">
        <v>6.6666666666666998</v>
      </c>
      <c r="AH830">
        <v>8</v>
      </c>
      <c r="AI830">
        <v>886</v>
      </c>
      <c r="AJ830">
        <v>40</v>
      </c>
      <c r="AK830">
        <v>668.26666666666995</v>
      </c>
      <c r="AM830">
        <v>0</v>
      </c>
      <c r="AN830">
        <v>224</v>
      </c>
      <c r="AO830" t="s">
        <v>6283</v>
      </c>
      <c r="AP830" t="s">
        <v>3579</v>
      </c>
    </row>
    <row r="831" spans="1:42" x14ac:dyDescent="0.25">
      <c r="A831">
        <v>830</v>
      </c>
      <c r="B831" t="s">
        <v>2752</v>
      </c>
      <c r="C831" t="s">
        <v>2752</v>
      </c>
      <c r="D831" t="s">
        <v>1833</v>
      </c>
      <c r="E831" t="s">
        <v>218</v>
      </c>
      <c r="F831" t="s">
        <v>219</v>
      </c>
      <c r="G831" t="s">
        <v>69</v>
      </c>
      <c r="H831" t="s">
        <v>70</v>
      </c>
      <c r="I831" t="s">
        <v>1834</v>
      </c>
      <c r="J831" t="s">
        <v>291</v>
      </c>
      <c r="K831" t="s">
        <v>292</v>
      </c>
      <c r="L831" t="s">
        <v>4929</v>
      </c>
      <c r="M831" t="s">
        <v>4930</v>
      </c>
      <c r="R831" t="s">
        <v>2420</v>
      </c>
      <c r="S831" t="s">
        <v>2421</v>
      </c>
      <c r="T831">
        <v>5</v>
      </c>
      <c r="U831" t="s">
        <v>2432</v>
      </c>
      <c r="V831" t="s">
        <v>2433</v>
      </c>
      <c r="W831">
        <v>7</v>
      </c>
      <c r="X831" t="s">
        <v>2437</v>
      </c>
      <c r="Y831" t="s">
        <v>2438</v>
      </c>
      <c r="Z831">
        <v>1</v>
      </c>
      <c r="AF831">
        <v>320.13333333333497</v>
      </c>
      <c r="AG831">
        <v>6.6666666666666998</v>
      </c>
      <c r="AH831">
        <v>8</v>
      </c>
      <c r="AI831">
        <v>887</v>
      </c>
      <c r="AJ831">
        <v>40</v>
      </c>
      <c r="AK831">
        <v>668.26666666666995</v>
      </c>
      <c r="AM831">
        <v>0</v>
      </c>
      <c r="AN831">
        <v>224</v>
      </c>
      <c r="AO831" t="s">
        <v>6284</v>
      </c>
      <c r="AP831" t="s">
        <v>1833</v>
      </c>
    </row>
    <row r="832" spans="1:42" x14ac:dyDescent="0.25">
      <c r="A832">
        <v>831</v>
      </c>
      <c r="B832" t="s">
        <v>3566</v>
      </c>
      <c r="C832" t="s">
        <v>4175</v>
      </c>
      <c r="D832" t="s">
        <v>3568</v>
      </c>
      <c r="E832" t="s">
        <v>218</v>
      </c>
      <c r="F832" t="s">
        <v>219</v>
      </c>
      <c r="G832" t="s">
        <v>69</v>
      </c>
      <c r="H832" t="s">
        <v>70</v>
      </c>
      <c r="I832" t="s">
        <v>3597</v>
      </c>
      <c r="J832" t="s">
        <v>408</v>
      </c>
      <c r="K832" t="s">
        <v>409</v>
      </c>
      <c r="L832" t="s">
        <v>4992</v>
      </c>
      <c r="M832" t="s">
        <v>4993</v>
      </c>
      <c r="R832" t="s">
        <v>73</v>
      </c>
      <c r="S832" t="s">
        <v>73</v>
      </c>
      <c r="U832" t="s">
        <v>73</v>
      </c>
      <c r="V832" t="s">
        <v>73</v>
      </c>
      <c r="X832" t="s">
        <v>73</v>
      </c>
      <c r="Y832" t="s">
        <v>73</v>
      </c>
      <c r="AA832" t="s">
        <v>73</v>
      </c>
      <c r="AB832" t="s">
        <v>73</v>
      </c>
      <c r="AF832">
        <v>319.83333333333496</v>
      </c>
      <c r="AG832">
        <v>6.6666666666666998</v>
      </c>
      <c r="AH832">
        <v>5</v>
      </c>
      <c r="AI832">
        <v>888</v>
      </c>
      <c r="AJ832">
        <v>40</v>
      </c>
      <c r="AK832">
        <v>667.66666666666993</v>
      </c>
      <c r="AM832">
        <v>0</v>
      </c>
      <c r="AN832">
        <v>224</v>
      </c>
      <c r="AO832" t="s">
        <v>6285</v>
      </c>
      <c r="AP832" t="s">
        <v>3568</v>
      </c>
    </row>
    <row r="833" spans="1:42" x14ac:dyDescent="0.25">
      <c r="A833">
        <v>832</v>
      </c>
      <c r="B833" t="s">
        <v>3738</v>
      </c>
      <c r="C833" t="s">
        <v>3738</v>
      </c>
      <c r="D833" t="s">
        <v>3739</v>
      </c>
      <c r="E833" t="s">
        <v>5312</v>
      </c>
      <c r="F833" t="s">
        <v>157</v>
      </c>
      <c r="G833" t="s">
        <v>158</v>
      </c>
      <c r="H833" t="s">
        <v>159</v>
      </c>
      <c r="I833" t="s">
        <v>4787</v>
      </c>
      <c r="J833" t="s">
        <v>3093</v>
      </c>
      <c r="K833" t="s">
        <v>3092</v>
      </c>
      <c r="L833" t="s">
        <v>5128</v>
      </c>
      <c r="M833" t="s">
        <v>5129</v>
      </c>
      <c r="Q833">
        <v>11</v>
      </c>
      <c r="R833" t="s">
        <v>2409</v>
      </c>
      <c r="S833" t="s">
        <v>2410</v>
      </c>
      <c r="T833">
        <v>2</v>
      </c>
      <c r="U833" t="s">
        <v>2430</v>
      </c>
      <c r="V833" t="s">
        <v>2431</v>
      </c>
      <c r="W833">
        <v>6</v>
      </c>
      <c r="X833" t="s">
        <v>2446</v>
      </c>
      <c r="Y833" t="s">
        <v>2447</v>
      </c>
      <c r="Z833">
        <v>4</v>
      </c>
      <c r="AA833" t="s">
        <v>73</v>
      </c>
      <c r="AB833" t="s">
        <v>73</v>
      </c>
      <c r="AF833">
        <v>319.07244797432048</v>
      </c>
      <c r="AG833">
        <v>5.5</v>
      </c>
      <c r="AH833">
        <v>3</v>
      </c>
      <c r="AI833">
        <v>576</v>
      </c>
      <c r="AJ833">
        <v>104.19160886035607</v>
      </c>
      <c r="AK833">
        <v>550.6</v>
      </c>
      <c r="AM833">
        <v>145.86825240449849</v>
      </c>
      <c r="AN833">
        <v>0</v>
      </c>
      <c r="AO833" t="s">
        <v>6286</v>
      </c>
      <c r="AP833" t="s">
        <v>3739</v>
      </c>
    </row>
    <row r="834" spans="1:42" x14ac:dyDescent="0.25">
      <c r="A834">
        <v>833</v>
      </c>
      <c r="B834" t="s">
        <v>3385</v>
      </c>
      <c r="C834" t="s">
        <v>3385</v>
      </c>
      <c r="D834" t="s">
        <v>3536</v>
      </c>
      <c r="E834" t="s">
        <v>137</v>
      </c>
      <c r="F834" t="s">
        <v>138</v>
      </c>
      <c r="G834" t="s">
        <v>139</v>
      </c>
      <c r="H834" t="s">
        <v>140</v>
      </c>
      <c r="J834" t="s">
        <v>1234</v>
      </c>
      <c r="K834" t="s">
        <v>1235</v>
      </c>
      <c r="L834" t="s">
        <v>4719</v>
      </c>
      <c r="M834" t="s">
        <v>4720</v>
      </c>
      <c r="Q834">
        <v>14</v>
      </c>
      <c r="R834" t="s">
        <v>2406</v>
      </c>
      <c r="S834" t="s">
        <v>2407</v>
      </c>
      <c r="T834">
        <v>1</v>
      </c>
      <c r="U834" t="s">
        <v>73</v>
      </c>
      <c r="V834" t="s">
        <v>73</v>
      </c>
      <c r="X834" t="s">
        <v>73</v>
      </c>
      <c r="Y834" t="s">
        <v>73</v>
      </c>
      <c r="AA834" t="s">
        <v>73</v>
      </c>
      <c r="AB834" t="s">
        <v>73</v>
      </c>
      <c r="AE834" t="s">
        <v>3533</v>
      </c>
      <c r="AF834">
        <v>318.84048030805343</v>
      </c>
      <c r="AG834">
        <v>5.1666666666666998</v>
      </c>
      <c r="AH834">
        <v>5</v>
      </c>
      <c r="AI834">
        <v>490</v>
      </c>
      <c r="AJ834">
        <v>122.23016330524275</v>
      </c>
      <c r="AK834">
        <v>517.66666666666993</v>
      </c>
      <c r="AM834">
        <v>171.12222862733984</v>
      </c>
      <c r="AN834">
        <v>0</v>
      </c>
      <c r="AO834" t="s">
        <v>6287</v>
      </c>
      <c r="AP834" t="s">
        <v>3536</v>
      </c>
    </row>
    <row r="835" spans="1:42" x14ac:dyDescent="0.25">
      <c r="A835">
        <v>834</v>
      </c>
      <c r="B835" t="s">
        <v>3734</v>
      </c>
      <c r="C835" t="s">
        <v>3734</v>
      </c>
      <c r="D835" t="s">
        <v>3735</v>
      </c>
      <c r="E835" t="s">
        <v>5312</v>
      </c>
      <c r="F835" t="s">
        <v>157</v>
      </c>
      <c r="G835" t="s">
        <v>158</v>
      </c>
      <c r="H835" t="s">
        <v>159</v>
      </c>
      <c r="I835" t="s">
        <v>5316</v>
      </c>
      <c r="J835" t="s">
        <v>3087</v>
      </c>
      <c r="K835" t="s">
        <v>3088</v>
      </c>
      <c r="L835" t="s">
        <v>4768</v>
      </c>
      <c r="M835" t="s">
        <v>4769</v>
      </c>
      <c r="R835" t="s">
        <v>73</v>
      </c>
      <c r="S835" t="s">
        <v>73</v>
      </c>
      <c r="U835" t="s">
        <v>73</v>
      </c>
      <c r="V835" t="s">
        <v>73</v>
      </c>
      <c r="X835" t="s">
        <v>73</v>
      </c>
      <c r="Y835" t="s">
        <v>73</v>
      </c>
      <c r="AA835" t="s">
        <v>73</v>
      </c>
      <c r="AB835" t="s">
        <v>73</v>
      </c>
      <c r="AF835">
        <v>318.80829468103116</v>
      </c>
      <c r="AG835">
        <v>6.8333333333333002</v>
      </c>
      <c r="AH835">
        <v>5</v>
      </c>
      <c r="AI835">
        <v>929</v>
      </c>
      <c r="AJ835">
        <v>29.601808904851225</v>
      </c>
      <c r="AK835">
        <v>684.33333333333007</v>
      </c>
      <c r="AM835">
        <v>41.442532466791711</v>
      </c>
      <c r="AN835">
        <v>0</v>
      </c>
      <c r="AO835" t="s">
        <v>6288</v>
      </c>
      <c r="AP835" t="s">
        <v>3735</v>
      </c>
    </row>
    <row r="836" spans="1:42" x14ac:dyDescent="0.25">
      <c r="A836">
        <v>835</v>
      </c>
      <c r="B836" t="s">
        <v>212</v>
      </c>
      <c r="C836" t="s">
        <v>212</v>
      </c>
      <c r="D836" t="s">
        <v>2466</v>
      </c>
      <c r="E836" t="s">
        <v>213</v>
      </c>
      <c r="F836" t="s">
        <v>214</v>
      </c>
      <c r="G836" t="s">
        <v>75</v>
      </c>
      <c r="H836" t="s">
        <v>76</v>
      </c>
      <c r="I836" t="s">
        <v>3110</v>
      </c>
      <c r="O836" t="s">
        <v>3111</v>
      </c>
      <c r="P836" t="s">
        <v>3111</v>
      </c>
      <c r="Q836">
        <v>13</v>
      </c>
      <c r="R836" t="s">
        <v>73</v>
      </c>
      <c r="S836" t="s">
        <v>73</v>
      </c>
      <c r="U836" t="s">
        <v>73</v>
      </c>
      <c r="V836" t="s">
        <v>73</v>
      </c>
      <c r="X836" t="s">
        <v>2446</v>
      </c>
      <c r="Y836" t="s">
        <v>2447</v>
      </c>
      <c r="Z836">
        <v>4</v>
      </c>
      <c r="AA836" t="s">
        <v>73</v>
      </c>
      <c r="AB836" t="s">
        <v>73</v>
      </c>
      <c r="AF836">
        <v>318.70123322692893</v>
      </c>
      <c r="AG836">
        <v>4.625</v>
      </c>
      <c r="AH836">
        <v>7</v>
      </c>
      <c r="AI836">
        <v>355</v>
      </c>
      <c r="AJ836">
        <v>151.94581469658775</v>
      </c>
      <c r="AK836">
        <v>463.9</v>
      </c>
      <c r="AM836">
        <v>156.72414057522283</v>
      </c>
      <c r="AN836">
        <v>224</v>
      </c>
      <c r="AO836" t="s">
        <v>6289</v>
      </c>
      <c r="AP836" t="s">
        <v>2466</v>
      </c>
    </row>
    <row r="837" spans="1:42" x14ac:dyDescent="0.25">
      <c r="A837">
        <v>836</v>
      </c>
      <c r="B837" t="s">
        <v>3673</v>
      </c>
      <c r="C837" t="s">
        <v>3673</v>
      </c>
      <c r="D837" t="s">
        <v>3674</v>
      </c>
      <c r="E837" t="s">
        <v>282</v>
      </c>
      <c r="F837" t="s">
        <v>283</v>
      </c>
      <c r="G837" t="s">
        <v>3167</v>
      </c>
      <c r="H837" t="s">
        <v>3166</v>
      </c>
      <c r="I837" t="s">
        <v>659</v>
      </c>
      <c r="J837" t="s">
        <v>482</v>
      </c>
      <c r="K837" t="s">
        <v>483</v>
      </c>
      <c r="O837" t="s">
        <v>3929</v>
      </c>
      <c r="P837" t="s">
        <v>371</v>
      </c>
      <c r="Q837">
        <v>12</v>
      </c>
      <c r="R837" t="s">
        <v>73</v>
      </c>
      <c r="S837" t="s">
        <v>73</v>
      </c>
      <c r="U837" t="s">
        <v>2430</v>
      </c>
      <c r="V837" t="s">
        <v>2431</v>
      </c>
      <c r="W837">
        <v>6</v>
      </c>
      <c r="X837" t="s">
        <v>2440</v>
      </c>
      <c r="Y837" t="s">
        <v>2441</v>
      </c>
      <c r="Z837">
        <v>2</v>
      </c>
      <c r="AA837" t="s">
        <v>73</v>
      </c>
      <c r="AB837" t="s">
        <v>73</v>
      </c>
      <c r="AF837">
        <v>318.68875543337003</v>
      </c>
      <c r="AG837">
        <v>6.1</v>
      </c>
      <c r="AH837">
        <v>9</v>
      </c>
      <c r="AI837">
        <v>738</v>
      </c>
      <c r="AJ837">
        <v>69.76528381485565</v>
      </c>
      <c r="AK837">
        <v>611.79999999999995</v>
      </c>
      <c r="AM837">
        <v>41.671397340797917</v>
      </c>
      <c r="AN837">
        <v>224</v>
      </c>
      <c r="AO837" t="s">
        <v>6290</v>
      </c>
      <c r="AP837" t="s">
        <v>3674</v>
      </c>
    </row>
    <row r="838" spans="1:42" x14ac:dyDescent="0.25">
      <c r="A838">
        <v>837</v>
      </c>
      <c r="B838" t="s">
        <v>1117</v>
      </c>
      <c r="C838" t="s">
        <v>1117</v>
      </c>
      <c r="D838" t="s">
        <v>1118</v>
      </c>
      <c r="E838" t="s">
        <v>282</v>
      </c>
      <c r="F838" t="s">
        <v>283</v>
      </c>
      <c r="G838" t="s">
        <v>3167</v>
      </c>
      <c r="H838" t="s">
        <v>3166</v>
      </c>
      <c r="I838" t="s">
        <v>1119</v>
      </c>
      <c r="J838" t="s">
        <v>518</v>
      </c>
      <c r="K838" t="s">
        <v>519</v>
      </c>
      <c r="O838" t="s">
        <v>1120</v>
      </c>
      <c r="P838" t="s">
        <v>1120</v>
      </c>
      <c r="Q838">
        <v>11</v>
      </c>
      <c r="R838" t="s">
        <v>2406</v>
      </c>
      <c r="S838" t="s">
        <v>2407</v>
      </c>
      <c r="T838">
        <v>1</v>
      </c>
      <c r="U838" t="s">
        <v>2424</v>
      </c>
      <c r="V838" t="s">
        <v>2425</v>
      </c>
      <c r="W838">
        <v>1</v>
      </c>
      <c r="X838" t="s">
        <v>2440</v>
      </c>
      <c r="Y838" t="s">
        <v>2441</v>
      </c>
      <c r="Z838">
        <v>2</v>
      </c>
      <c r="AA838" t="s">
        <v>73</v>
      </c>
      <c r="AB838" t="s">
        <v>73</v>
      </c>
      <c r="AC838" t="s">
        <v>3860</v>
      </c>
      <c r="AD838" t="s">
        <v>3859</v>
      </c>
      <c r="AF838">
        <v>318.37471098013174</v>
      </c>
      <c r="AG838">
        <v>5.8571428571429003</v>
      </c>
      <c r="AH838">
        <v>6</v>
      </c>
      <c r="AI838">
        <v>656</v>
      </c>
      <c r="AJ838">
        <v>83.241742358874149</v>
      </c>
      <c r="AK838">
        <v>586.91428571429003</v>
      </c>
      <c r="AM838">
        <v>60.538439302423797</v>
      </c>
      <c r="AN838">
        <v>224</v>
      </c>
      <c r="AO838" t="s">
        <v>6291</v>
      </c>
      <c r="AP838" t="s">
        <v>1118</v>
      </c>
    </row>
    <row r="839" spans="1:42" x14ac:dyDescent="0.25">
      <c r="A839">
        <v>838</v>
      </c>
      <c r="B839" t="s">
        <v>1946</v>
      </c>
      <c r="C839" t="s">
        <v>1946</v>
      </c>
      <c r="D839" t="s">
        <v>1947</v>
      </c>
      <c r="E839" t="s">
        <v>199</v>
      </c>
      <c r="F839" t="s">
        <v>200</v>
      </c>
      <c r="J839" t="s">
        <v>1745</v>
      </c>
      <c r="K839" t="s">
        <v>1746</v>
      </c>
      <c r="L839" t="s">
        <v>4755</v>
      </c>
      <c r="M839" t="s">
        <v>4756</v>
      </c>
      <c r="R839" t="s">
        <v>2409</v>
      </c>
      <c r="S839" t="s">
        <v>2410</v>
      </c>
      <c r="T839">
        <v>2</v>
      </c>
      <c r="U839" t="s">
        <v>73</v>
      </c>
      <c r="V839" t="s">
        <v>73</v>
      </c>
      <c r="X839" t="s">
        <v>73</v>
      </c>
      <c r="Y839" t="s">
        <v>73</v>
      </c>
      <c r="AA839" t="s">
        <v>73</v>
      </c>
      <c r="AB839" t="s">
        <v>73</v>
      </c>
      <c r="AF839">
        <v>318.10655941552187</v>
      </c>
      <c r="AG839">
        <v>6.3333333333333002</v>
      </c>
      <c r="AH839">
        <v>11</v>
      </c>
      <c r="AI839">
        <v>807</v>
      </c>
      <c r="AJ839">
        <v>55.93321416539645</v>
      </c>
      <c r="AK839">
        <v>635.53333333333012</v>
      </c>
      <c r="AM839">
        <v>78.30649983155503</v>
      </c>
      <c r="AN839">
        <v>0</v>
      </c>
      <c r="AO839" t="s">
        <v>6292</v>
      </c>
      <c r="AP839" t="s">
        <v>1947</v>
      </c>
    </row>
    <row r="840" spans="1:42" x14ac:dyDescent="0.25">
      <c r="A840">
        <v>839</v>
      </c>
      <c r="B840" t="s">
        <v>542</v>
      </c>
      <c r="C840" t="s">
        <v>4053</v>
      </c>
      <c r="D840" t="s">
        <v>3133</v>
      </c>
      <c r="E840" t="s">
        <v>183</v>
      </c>
      <c r="F840" t="s">
        <v>184</v>
      </c>
      <c r="G840" t="s">
        <v>158</v>
      </c>
      <c r="H840" t="s">
        <v>159</v>
      </c>
      <c r="I840" t="s">
        <v>3163</v>
      </c>
      <c r="J840" t="s">
        <v>663</v>
      </c>
      <c r="K840" t="s">
        <v>664</v>
      </c>
      <c r="R840" t="s">
        <v>73</v>
      </c>
      <c r="S840" t="s">
        <v>73</v>
      </c>
      <c r="U840" t="s">
        <v>73</v>
      </c>
      <c r="V840" t="s">
        <v>73</v>
      </c>
      <c r="X840" t="s">
        <v>73</v>
      </c>
      <c r="Y840" t="s">
        <v>73</v>
      </c>
      <c r="AF840">
        <v>318.03012166201631</v>
      </c>
      <c r="AG840">
        <v>5.6</v>
      </c>
      <c r="AH840">
        <v>9</v>
      </c>
      <c r="AI840">
        <v>606</v>
      </c>
      <c r="AJ840">
        <v>96.811246291129279</v>
      </c>
      <c r="AK840">
        <v>561.79999999999995</v>
      </c>
      <c r="AM840">
        <v>135.53574480758098</v>
      </c>
      <c r="AN840">
        <v>0</v>
      </c>
      <c r="AO840" t="s">
        <v>6293</v>
      </c>
      <c r="AP840" t="s">
        <v>3133</v>
      </c>
    </row>
    <row r="841" spans="1:42" x14ac:dyDescent="0.25">
      <c r="A841">
        <v>840</v>
      </c>
      <c r="B841" t="s">
        <v>1607</v>
      </c>
      <c r="C841" t="s">
        <v>1607</v>
      </c>
      <c r="D841" t="s">
        <v>2898</v>
      </c>
      <c r="E841" t="s">
        <v>161</v>
      </c>
      <c r="F841" t="s">
        <v>161</v>
      </c>
      <c r="G841" t="s">
        <v>3167</v>
      </c>
      <c r="H841" t="s">
        <v>3166</v>
      </c>
      <c r="J841" t="s">
        <v>164</v>
      </c>
      <c r="K841" t="s">
        <v>165</v>
      </c>
      <c r="R841" t="s">
        <v>73</v>
      </c>
      <c r="S841" t="s">
        <v>73</v>
      </c>
      <c r="U841" t="s">
        <v>73</v>
      </c>
      <c r="V841" t="s">
        <v>73</v>
      </c>
      <c r="X841" t="s">
        <v>73</v>
      </c>
      <c r="Y841" t="s">
        <v>73</v>
      </c>
      <c r="AA841" t="s">
        <v>73</v>
      </c>
      <c r="AB841" t="s">
        <v>73</v>
      </c>
      <c r="AF841">
        <v>317.99440095841135</v>
      </c>
      <c r="AG841">
        <v>5.8888888888888999</v>
      </c>
      <c r="AH841">
        <v>17</v>
      </c>
      <c r="AI841">
        <v>686</v>
      </c>
      <c r="AJ841">
        <v>79.833285015518172</v>
      </c>
      <c r="AK841">
        <v>592.28888888889003</v>
      </c>
      <c r="AM841">
        <v>111.76659902172543</v>
      </c>
      <c r="AN841">
        <v>0</v>
      </c>
      <c r="AO841" t="s">
        <v>6294</v>
      </c>
      <c r="AP841" t="s">
        <v>2898</v>
      </c>
    </row>
    <row r="842" spans="1:42" x14ac:dyDescent="0.25">
      <c r="A842">
        <v>841</v>
      </c>
      <c r="B842" t="s">
        <v>520</v>
      </c>
      <c r="C842" t="s">
        <v>520</v>
      </c>
      <c r="D842" t="s">
        <v>521</v>
      </c>
      <c r="E842" t="s">
        <v>282</v>
      </c>
      <c r="F842" t="s">
        <v>283</v>
      </c>
      <c r="G842" t="s">
        <v>3167</v>
      </c>
      <c r="H842" t="s">
        <v>3166</v>
      </c>
      <c r="I842" t="s">
        <v>522</v>
      </c>
      <c r="J842" t="s">
        <v>523</v>
      </c>
      <c r="K842" t="s">
        <v>524</v>
      </c>
      <c r="R842" t="s">
        <v>73</v>
      </c>
      <c r="S842" t="s">
        <v>73</v>
      </c>
      <c r="U842" t="s">
        <v>73</v>
      </c>
      <c r="V842" t="s">
        <v>73</v>
      </c>
      <c r="X842" t="s">
        <v>73</v>
      </c>
      <c r="Y842" t="s">
        <v>73</v>
      </c>
      <c r="AF842">
        <v>317.95642098541401</v>
      </c>
      <c r="AG842">
        <v>5.25</v>
      </c>
      <c r="AH842">
        <v>7</v>
      </c>
      <c r="AI842">
        <v>525</v>
      </c>
      <c r="AJ842">
        <v>116.3960233171267</v>
      </c>
      <c r="AK842">
        <v>526.4</v>
      </c>
      <c r="AM842">
        <v>106.95443264397737</v>
      </c>
      <c r="AN842">
        <v>224</v>
      </c>
      <c r="AO842" t="s">
        <v>6295</v>
      </c>
      <c r="AP842" t="s">
        <v>521</v>
      </c>
    </row>
    <row r="843" spans="1:42" x14ac:dyDescent="0.25">
      <c r="A843">
        <v>842</v>
      </c>
      <c r="B843" t="s">
        <v>451</v>
      </c>
      <c r="C843" t="s">
        <v>451</v>
      </c>
      <c r="D843" t="s">
        <v>3099</v>
      </c>
      <c r="E843" t="s">
        <v>5312</v>
      </c>
      <c r="F843" t="s">
        <v>157</v>
      </c>
      <c r="G843" t="s">
        <v>158</v>
      </c>
      <c r="H843" t="s">
        <v>159</v>
      </c>
      <c r="I843" t="s">
        <v>5325</v>
      </c>
      <c r="J843" t="s">
        <v>3087</v>
      </c>
      <c r="K843" t="s">
        <v>3088</v>
      </c>
      <c r="L843" t="s">
        <v>5134</v>
      </c>
      <c r="M843" t="s">
        <v>5135</v>
      </c>
      <c r="R843" t="s">
        <v>73</v>
      </c>
      <c r="S843" t="s">
        <v>73</v>
      </c>
      <c r="U843" t="s">
        <v>73</v>
      </c>
      <c r="V843" t="s">
        <v>73</v>
      </c>
      <c r="X843" t="s">
        <v>73</v>
      </c>
      <c r="Y843" t="s">
        <v>73</v>
      </c>
      <c r="AF843">
        <v>317.76666666666506</v>
      </c>
      <c r="AG843">
        <v>7.3333333333333002</v>
      </c>
      <c r="AH843">
        <v>11</v>
      </c>
      <c r="AI843">
        <v>975</v>
      </c>
      <c r="AJ843">
        <v>0</v>
      </c>
      <c r="AK843">
        <v>735.53333333333012</v>
      </c>
      <c r="AM843">
        <v>0</v>
      </c>
      <c r="AN843">
        <v>0</v>
      </c>
      <c r="AO843" t="s">
        <v>6296</v>
      </c>
      <c r="AP843" t="s">
        <v>3099</v>
      </c>
    </row>
    <row r="844" spans="1:42" x14ac:dyDescent="0.25">
      <c r="A844">
        <v>843</v>
      </c>
      <c r="B844" t="s">
        <v>2054</v>
      </c>
      <c r="C844" t="s">
        <v>2054</v>
      </c>
      <c r="D844" t="s">
        <v>2055</v>
      </c>
      <c r="E844" t="s">
        <v>199</v>
      </c>
      <c r="F844" t="s">
        <v>200</v>
      </c>
      <c r="I844" t="s">
        <v>2056</v>
      </c>
      <c r="J844" t="s">
        <v>303</v>
      </c>
      <c r="K844" t="s">
        <v>304</v>
      </c>
      <c r="L844" t="s">
        <v>4571</v>
      </c>
      <c r="M844" t="s">
        <v>4572</v>
      </c>
      <c r="O844" t="s">
        <v>2641</v>
      </c>
      <c r="P844" t="s">
        <v>2641</v>
      </c>
      <c r="Q844">
        <v>13</v>
      </c>
      <c r="R844" t="s">
        <v>2414</v>
      </c>
      <c r="S844" t="s">
        <v>2415</v>
      </c>
      <c r="T844">
        <v>3</v>
      </c>
      <c r="U844" t="s">
        <v>2432</v>
      </c>
      <c r="V844" t="s">
        <v>2433</v>
      </c>
      <c r="W844">
        <v>7</v>
      </c>
      <c r="X844" t="s">
        <v>2446</v>
      </c>
      <c r="Y844" t="s">
        <v>2447</v>
      </c>
      <c r="Z844">
        <v>4</v>
      </c>
      <c r="AA844" t="s">
        <v>2057</v>
      </c>
      <c r="AB844" t="s">
        <v>2058</v>
      </c>
      <c r="AC844" t="s">
        <v>2059</v>
      </c>
      <c r="AD844" t="s">
        <v>2060</v>
      </c>
      <c r="AF844">
        <v>317.10619891158797</v>
      </c>
      <c r="AG844">
        <v>6.96</v>
      </c>
      <c r="AH844">
        <v>24</v>
      </c>
      <c r="AI844">
        <v>953</v>
      </c>
      <c r="AJ844">
        <v>18.562443235097742</v>
      </c>
      <c r="AK844">
        <v>700.8</v>
      </c>
      <c r="AL844">
        <v>2005</v>
      </c>
      <c r="AM844">
        <v>25.987420529136838</v>
      </c>
      <c r="AN844">
        <v>0</v>
      </c>
      <c r="AO844" t="s">
        <v>6297</v>
      </c>
      <c r="AP844" t="s">
        <v>2055</v>
      </c>
    </row>
    <row r="845" spans="1:42" x14ac:dyDescent="0.25">
      <c r="A845">
        <v>844</v>
      </c>
      <c r="B845" t="s">
        <v>3392</v>
      </c>
      <c r="C845" t="s">
        <v>3392</v>
      </c>
      <c r="D845" t="s">
        <v>3527</v>
      </c>
      <c r="E845" t="s">
        <v>137</v>
      </c>
      <c r="F845" t="s">
        <v>138</v>
      </c>
      <c r="G845" t="s">
        <v>139</v>
      </c>
      <c r="H845" t="s">
        <v>140</v>
      </c>
      <c r="J845" t="s">
        <v>426</v>
      </c>
      <c r="K845" t="s">
        <v>427</v>
      </c>
      <c r="L845" t="s">
        <v>4591</v>
      </c>
      <c r="M845" t="s">
        <v>4592</v>
      </c>
      <c r="Q845">
        <v>13</v>
      </c>
      <c r="R845" t="s">
        <v>2420</v>
      </c>
      <c r="S845" t="s">
        <v>2421</v>
      </c>
      <c r="T845">
        <v>5</v>
      </c>
      <c r="U845" t="s">
        <v>3137</v>
      </c>
      <c r="V845" t="s">
        <v>3136</v>
      </c>
      <c r="W845">
        <v>5</v>
      </c>
      <c r="X845" t="s">
        <v>2446</v>
      </c>
      <c r="Y845" t="s">
        <v>2447</v>
      </c>
      <c r="Z845">
        <v>4</v>
      </c>
      <c r="AA845" t="s">
        <v>73</v>
      </c>
      <c r="AB845" t="s">
        <v>73</v>
      </c>
      <c r="AE845" t="s">
        <v>3526</v>
      </c>
      <c r="AF845">
        <v>316.46717487005071</v>
      </c>
      <c r="AG845">
        <v>5.5714285714285996</v>
      </c>
      <c r="AH845">
        <v>6</v>
      </c>
      <c r="AI845">
        <v>602</v>
      </c>
      <c r="AJ845">
        <v>96.99527366513415</v>
      </c>
      <c r="AK845">
        <v>558.34285714286</v>
      </c>
      <c r="AM845">
        <v>135.7933831311878</v>
      </c>
      <c r="AN845">
        <v>0</v>
      </c>
      <c r="AO845" t="s">
        <v>6298</v>
      </c>
      <c r="AP845" t="s">
        <v>3527</v>
      </c>
    </row>
    <row r="846" spans="1:42" x14ac:dyDescent="0.25">
      <c r="A846">
        <v>845</v>
      </c>
      <c r="B846" t="s">
        <v>3745</v>
      </c>
      <c r="C846" t="s">
        <v>3745</v>
      </c>
      <c r="D846" t="s">
        <v>4800</v>
      </c>
      <c r="E846" t="s">
        <v>556</v>
      </c>
      <c r="F846" t="s">
        <v>557</v>
      </c>
      <c r="G846" t="s">
        <v>60</v>
      </c>
      <c r="H846" t="s">
        <v>61</v>
      </c>
      <c r="J846" t="s">
        <v>3120</v>
      </c>
      <c r="K846" t="s">
        <v>3121</v>
      </c>
      <c r="Q846">
        <v>13</v>
      </c>
      <c r="R846" t="s">
        <v>73</v>
      </c>
      <c r="S846" t="s">
        <v>73</v>
      </c>
      <c r="U846" t="s">
        <v>73</v>
      </c>
      <c r="V846" t="s">
        <v>73</v>
      </c>
      <c r="X846" t="s">
        <v>73</v>
      </c>
      <c r="Y846" t="s">
        <v>73</v>
      </c>
      <c r="AA846" t="s">
        <v>73</v>
      </c>
      <c r="AB846" t="s">
        <v>73</v>
      </c>
      <c r="AF846">
        <v>316.39999999999998</v>
      </c>
      <c r="AG846">
        <v>6.6</v>
      </c>
      <c r="AH846">
        <v>4</v>
      </c>
      <c r="AI846">
        <v>889</v>
      </c>
      <c r="AJ846">
        <v>40</v>
      </c>
      <c r="AK846">
        <v>660.8</v>
      </c>
      <c r="AM846">
        <v>0</v>
      </c>
      <c r="AN846">
        <v>224</v>
      </c>
      <c r="AO846" t="s">
        <v>6299</v>
      </c>
      <c r="AP846" t="s">
        <v>4800</v>
      </c>
    </row>
    <row r="847" spans="1:42" x14ac:dyDescent="0.25">
      <c r="A847">
        <v>846</v>
      </c>
      <c r="B847" t="s">
        <v>3049</v>
      </c>
      <c r="C847" t="s">
        <v>3049</v>
      </c>
      <c r="D847" t="s">
        <v>3503</v>
      </c>
      <c r="E847" t="s">
        <v>672</v>
      </c>
      <c r="F847" t="s">
        <v>672</v>
      </c>
      <c r="G847" t="s">
        <v>79</v>
      </c>
      <c r="H847" t="s">
        <v>80</v>
      </c>
      <c r="R847" t="s">
        <v>73</v>
      </c>
      <c r="S847" t="s">
        <v>73</v>
      </c>
      <c r="U847" t="s">
        <v>73</v>
      </c>
      <c r="V847" t="s">
        <v>73</v>
      </c>
      <c r="X847" t="s">
        <v>73</v>
      </c>
      <c r="Y847" t="s">
        <v>73</v>
      </c>
      <c r="AF847">
        <v>316.39999999999998</v>
      </c>
      <c r="AG847">
        <v>6.6</v>
      </c>
      <c r="AH847">
        <v>4</v>
      </c>
      <c r="AI847">
        <v>890</v>
      </c>
      <c r="AJ847">
        <v>40</v>
      </c>
      <c r="AK847">
        <v>660.8</v>
      </c>
      <c r="AM847">
        <v>0</v>
      </c>
      <c r="AN847">
        <v>224</v>
      </c>
      <c r="AO847" t="s">
        <v>6300</v>
      </c>
      <c r="AP847" t="s">
        <v>3503</v>
      </c>
    </row>
    <row r="848" spans="1:42" x14ac:dyDescent="0.25">
      <c r="A848">
        <v>847</v>
      </c>
      <c r="B848" t="s">
        <v>734</v>
      </c>
      <c r="C848" t="s">
        <v>734</v>
      </c>
      <c r="D848" t="s">
        <v>735</v>
      </c>
      <c r="E848" t="s">
        <v>282</v>
      </c>
      <c r="F848" t="s">
        <v>283</v>
      </c>
      <c r="G848" t="s">
        <v>3167</v>
      </c>
      <c r="H848" t="s">
        <v>3166</v>
      </c>
      <c r="I848" t="s">
        <v>736</v>
      </c>
      <c r="J848" t="s">
        <v>368</v>
      </c>
      <c r="K848" t="s">
        <v>369</v>
      </c>
      <c r="Q848">
        <v>12</v>
      </c>
      <c r="R848" t="s">
        <v>2406</v>
      </c>
      <c r="S848" t="s">
        <v>2407</v>
      </c>
      <c r="T848">
        <v>1</v>
      </c>
      <c r="U848" t="s">
        <v>2424</v>
      </c>
      <c r="V848" t="s">
        <v>2425</v>
      </c>
      <c r="W848">
        <v>1</v>
      </c>
      <c r="X848" t="s">
        <v>2443</v>
      </c>
      <c r="Y848" t="s">
        <v>2444</v>
      </c>
      <c r="Z848">
        <v>3</v>
      </c>
      <c r="AF848">
        <v>315.69286915225933</v>
      </c>
      <c r="AG848">
        <v>4.8333333333333002</v>
      </c>
      <c r="AH848">
        <v>11</v>
      </c>
      <c r="AI848">
        <v>435</v>
      </c>
      <c r="AJ848">
        <v>136.58466942843816</v>
      </c>
      <c r="AK848">
        <v>485.53333333333001</v>
      </c>
      <c r="AL848">
        <v>2009</v>
      </c>
      <c r="AM848">
        <v>135.21853719981343</v>
      </c>
      <c r="AN848">
        <v>224</v>
      </c>
      <c r="AO848" t="s">
        <v>6301</v>
      </c>
      <c r="AP848" t="s">
        <v>735</v>
      </c>
    </row>
    <row r="849" spans="1:42" x14ac:dyDescent="0.25">
      <c r="A849">
        <v>848</v>
      </c>
      <c r="B849" t="s">
        <v>1657</v>
      </c>
      <c r="C849" t="s">
        <v>4063</v>
      </c>
      <c r="D849" t="s">
        <v>5275</v>
      </c>
      <c r="E849" t="s">
        <v>5312</v>
      </c>
      <c r="F849" t="s">
        <v>157</v>
      </c>
      <c r="G849" t="s">
        <v>158</v>
      </c>
      <c r="H849" t="s">
        <v>159</v>
      </c>
      <c r="I849" t="s">
        <v>3895</v>
      </c>
      <c r="J849" t="s">
        <v>3085</v>
      </c>
      <c r="K849" t="s">
        <v>3086</v>
      </c>
      <c r="L849" t="s">
        <v>5276</v>
      </c>
      <c r="M849" t="s">
        <v>5277</v>
      </c>
      <c r="R849" t="s">
        <v>73</v>
      </c>
      <c r="S849" t="s">
        <v>73</v>
      </c>
      <c r="U849" t="s">
        <v>73</v>
      </c>
      <c r="V849" t="s">
        <v>73</v>
      </c>
      <c r="X849" t="s">
        <v>73</v>
      </c>
      <c r="Y849" t="s">
        <v>73</v>
      </c>
      <c r="AA849" t="s">
        <v>73</v>
      </c>
      <c r="AB849" t="s">
        <v>73</v>
      </c>
      <c r="AF849">
        <v>315.40513373541307</v>
      </c>
      <c r="AG849">
        <v>5.8</v>
      </c>
      <c r="AH849">
        <v>9</v>
      </c>
      <c r="AI849">
        <v>658</v>
      </c>
      <c r="AJ849">
        <v>82.783481928236753</v>
      </c>
      <c r="AK849">
        <v>581.79999999999995</v>
      </c>
      <c r="AM849">
        <v>115.89687469953144</v>
      </c>
      <c r="AN849">
        <v>0</v>
      </c>
      <c r="AO849" t="s">
        <v>6302</v>
      </c>
      <c r="AP849" t="s">
        <v>5275</v>
      </c>
    </row>
    <row r="850" spans="1:42" x14ac:dyDescent="0.25">
      <c r="A850">
        <v>849</v>
      </c>
      <c r="B850" t="s">
        <v>110</v>
      </c>
      <c r="C850" t="s">
        <v>110</v>
      </c>
      <c r="D850" t="s">
        <v>111</v>
      </c>
      <c r="E850" t="s">
        <v>91</v>
      </c>
      <c r="F850" t="s">
        <v>92</v>
      </c>
      <c r="G850" t="s">
        <v>3515</v>
      </c>
      <c r="H850" t="s">
        <v>3516</v>
      </c>
      <c r="I850" t="s">
        <v>3078</v>
      </c>
      <c r="J850" t="s">
        <v>3069</v>
      </c>
      <c r="K850" t="s">
        <v>3063</v>
      </c>
      <c r="L850" t="s">
        <v>4518</v>
      </c>
      <c r="M850" t="s">
        <v>4519</v>
      </c>
      <c r="O850" t="s">
        <v>63</v>
      </c>
      <c r="P850" t="s">
        <v>64</v>
      </c>
      <c r="Q850">
        <v>13</v>
      </c>
      <c r="R850" t="s">
        <v>2406</v>
      </c>
      <c r="S850" t="s">
        <v>2407</v>
      </c>
      <c r="T850">
        <v>1</v>
      </c>
      <c r="U850" t="s">
        <v>2430</v>
      </c>
      <c r="V850" t="s">
        <v>2431</v>
      </c>
      <c r="W850">
        <v>6</v>
      </c>
      <c r="X850" t="s">
        <v>2446</v>
      </c>
      <c r="Y850" t="s">
        <v>2447</v>
      </c>
      <c r="Z850">
        <v>4</v>
      </c>
      <c r="AF850">
        <v>315.19593415345349</v>
      </c>
      <c r="AG850">
        <v>6.5714285714285996</v>
      </c>
      <c r="AH850">
        <v>13</v>
      </c>
      <c r="AI850">
        <v>911</v>
      </c>
      <c r="AJ850">
        <v>39.249450646692807</v>
      </c>
      <c r="AK850">
        <v>659.74285714285998</v>
      </c>
      <c r="AL850">
        <v>2010</v>
      </c>
      <c r="AM850">
        <v>40.94923090536993</v>
      </c>
      <c r="AN850">
        <v>56</v>
      </c>
      <c r="AO850" t="s">
        <v>6303</v>
      </c>
      <c r="AP850" t="s">
        <v>111</v>
      </c>
    </row>
    <row r="851" spans="1:42" x14ac:dyDescent="0.25">
      <c r="A851">
        <v>850</v>
      </c>
      <c r="B851" t="s">
        <v>88</v>
      </c>
      <c r="C851" t="s">
        <v>88</v>
      </c>
      <c r="D851" t="s">
        <v>89</v>
      </c>
      <c r="E851" t="s">
        <v>84</v>
      </c>
      <c r="F851" t="s">
        <v>84</v>
      </c>
      <c r="G851" t="s">
        <v>85</v>
      </c>
      <c r="H851" t="s">
        <v>86</v>
      </c>
      <c r="I851" t="s">
        <v>90</v>
      </c>
      <c r="J851" t="s">
        <v>90</v>
      </c>
      <c r="K851" t="s">
        <v>302</v>
      </c>
      <c r="Q851">
        <v>12</v>
      </c>
      <c r="R851" t="s">
        <v>2409</v>
      </c>
      <c r="S851" t="s">
        <v>2410</v>
      </c>
      <c r="T851">
        <v>2</v>
      </c>
      <c r="U851" t="s">
        <v>2430</v>
      </c>
      <c r="V851" t="s">
        <v>2431</v>
      </c>
      <c r="W851">
        <v>6</v>
      </c>
      <c r="X851" t="s">
        <v>2443</v>
      </c>
      <c r="Y851" t="s">
        <v>2444</v>
      </c>
      <c r="Z851">
        <v>3</v>
      </c>
      <c r="AF851">
        <v>315.17142857143</v>
      </c>
      <c r="AG851">
        <v>6.5714285714285996</v>
      </c>
      <c r="AH851">
        <v>6</v>
      </c>
      <c r="AI851">
        <v>891</v>
      </c>
      <c r="AJ851">
        <v>40</v>
      </c>
      <c r="AK851">
        <v>658.34285714286</v>
      </c>
      <c r="AM851">
        <v>0</v>
      </c>
      <c r="AN851">
        <v>224</v>
      </c>
      <c r="AO851" t="s">
        <v>6304</v>
      </c>
      <c r="AP851" t="s">
        <v>89</v>
      </c>
    </row>
    <row r="852" spans="1:42" x14ac:dyDescent="0.25">
      <c r="A852">
        <v>851</v>
      </c>
      <c r="B852" t="s">
        <v>386</v>
      </c>
      <c r="C852" t="s">
        <v>386</v>
      </c>
      <c r="D852" t="s">
        <v>387</v>
      </c>
      <c r="E852" t="s">
        <v>3169</v>
      </c>
      <c r="F852" t="s">
        <v>379</v>
      </c>
      <c r="G852" t="s">
        <v>162</v>
      </c>
      <c r="H852" t="s">
        <v>163</v>
      </c>
      <c r="J852" t="s">
        <v>388</v>
      </c>
      <c r="K852" t="s">
        <v>389</v>
      </c>
      <c r="R852" t="s">
        <v>73</v>
      </c>
      <c r="S852" t="s">
        <v>73</v>
      </c>
      <c r="U852" t="s">
        <v>73</v>
      </c>
      <c r="V852" t="s">
        <v>73</v>
      </c>
      <c r="X852" t="s">
        <v>73</v>
      </c>
      <c r="Y852" t="s">
        <v>73</v>
      </c>
      <c r="AF852">
        <v>314.12687758267037</v>
      </c>
      <c r="AG852">
        <v>4.1818181818182003</v>
      </c>
      <c r="AH852">
        <v>10</v>
      </c>
      <c r="AI852">
        <v>294</v>
      </c>
      <c r="AJ852">
        <v>171.15107610195597</v>
      </c>
      <c r="AK852">
        <v>420.18181818182001</v>
      </c>
      <c r="AM852">
        <v>133.61150654273834</v>
      </c>
      <c r="AN852">
        <v>424</v>
      </c>
      <c r="AO852" t="s">
        <v>6305</v>
      </c>
      <c r="AP852" t="s">
        <v>387</v>
      </c>
    </row>
    <row r="853" spans="1:42" x14ac:dyDescent="0.25">
      <c r="A853">
        <v>852</v>
      </c>
      <c r="B853" t="s">
        <v>2937</v>
      </c>
      <c r="C853" t="s">
        <v>2937</v>
      </c>
      <c r="D853" t="s">
        <v>1163</v>
      </c>
      <c r="E853" t="s">
        <v>199</v>
      </c>
      <c r="F853" t="s">
        <v>200</v>
      </c>
      <c r="I853" t="s">
        <v>1164</v>
      </c>
      <c r="J853" t="s">
        <v>303</v>
      </c>
      <c r="K853" t="s">
        <v>304</v>
      </c>
      <c r="L853" t="s">
        <v>5229</v>
      </c>
      <c r="M853" t="s">
        <v>5230</v>
      </c>
      <c r="O853" t="s">
        <v>1165</v>
      </c>
      <c r="P853" t="s">
        <v>1166</v>
      </c>
      <c r="Q853">
        <v>14</v>
      </c>
      <c r="R853" t="s">
        <v>2406</v>
      </c>
      <c r="S853" t="s">
        <v>2407</v>
      </c>
      <c r="T853">
        <v>1</v>
      </c>
      <c r="U853" t="s">
        <v>3137</v>
      </c>
      <c r="V853" t="s">
        <v>3136</v>
      </c>
      <c r="W853">
        <v>5</v>
      </c>
      <c r="X853" t="s">
        <v>2443</v>
      </c>
      <c r="Y853" t="s">
        <v>2444</v>
      </c>
      <c r="Z853">
        <v>3</v>
      </c>
      <c r="AA853" t="s">
        <v>1167</v>
      </c>
      <c r="AB853" t="s">
        <v>1168</v>
      </c>
      <c r="AC853" t="s">
        <v>1169</v>
      </c>
      <c r="AD853" t="s">
        <v>1170</v>
      </c>
      <c r="AF853">
        <v>314.07167747883142</v>
      </c>
      <c r="AG853">
        <v>6.4545454545455003</v>
      </c>
      <c r="AH853">
        <v>21</v>
      </c>
      <c r="AI853">
        <v>832</v>
      </c>
      <c r="AJ853">
        <v>43.60489416839598</v>
      </c>
      <c r="AK853">
        <v>649.65454545455009</v>
      </c>
      <c r="AL853">
        <v>2005</v>
      </c>
      <c r="AM853">
        <v>61.046851835754367</v>
      </c>
      <c r="AN853">
        <v>0</v>
      </c>
      <c r="AO853" t="s">
        <v>6306</v>
      </c>
      <c r="AP853" t="s">
        <v>1163</v>
      </c>
    </row>
    <row r="854" spans="1:42" x14ac:dyDescent="0.25">
      <c r="A854">
        <v>853</v>
      </c>
      <c r="B854" t="s">
        <v>2853</v>
      </c>
      <c r="C854" t="s">
        <v>2853</v>
      </c>
      <c r="D854" t="s">
        <v>2852</v>
      </c>
      <c r="E854" t="s">
        <v>91</v>
      </c>
      <c r="F854" t="s">
        <v>92</v>
      </c>
      <c r="G854" t="s">
        <v>93</v>
      </c>
      <c r="H854" t="s">
        <v>94</v>
      </c>
      <c r="I854" t="s">
        <v>3053</v>
      </c>
      <c r="J854" t="s">
        <v>3068</v>
      </c>
      <c r="K854" t="s">
        <v>3062</v>
      </c>
      <c r="L854" t="s">
        <v>4534</v>
      </c>
      <c r="M854" t="s">
        <v>4535</v>
      </c>
      <c r="O854" t="s">
        <v>3055</v>
      </c>
      <c r="P854" t="s">
        <v>3054</v>
      </c>
      <c r="Q854">
        <v>14</v>
      </c>
      <c r="R854" t="s">
        <v>2420</v>
      </c>
      <c r="S854" t="s">
        <v>2421</v>
      </c>
      <c r="T854">
        <v>5</v>
      </c>
      <c r="U854" t="s">
        <v>3137</v>
      </c>
      <c r="V854" t="s">
        <v>3136</v>
      </c>
      <c r="W854">
        <v>5</v>
      </c>
      <c r="X854" t="s">
        <v>2446</v>
      </c>
      <c r="Y854" t="s">
        <v>2447</v>
      </c>
      <c r="Z854">
        <v>4</v>
      </c>
      <c r="AC854" t="s">
        <v>3056</v>
      </c>
      <c r="AD854" t="s">
        <v>3056</v>
      </c>
      <c r="AF854">
        <v>312.88157846772458</v>
      </c>
      <c r="AG854">
        <v>4.5714285714285996</v>
      </c>
      <c r="AH854">
        <v>6</v>
      </c>
      <c r="AI854">
        <v>363</v>
      </c>
      <c r="AJ854">
        <v>148.56683321810507</v>
      </c>
      <c r="AK854">
        <v>458.34285714285994</v>
      </c>
      <c r="AM854">
        <v>151.99356650534708</v>
      </c>
      <c r="AN854">
        <v>224</v>
      </c>
      <c r="AO854" t="s">
        <v>6307</v>
      </c>
      <c r="AP854" t="s">
        <v>2852</v>
      </c>
    </row>
    <row r="855" spans="1:42" x14ac:dyDescent="0.25">
      <c r="A855">
        <v>854</v>
      </c>
      <c r="B855" t="s">
        <v>1137</v>
      </c>
      <c r="C855" t="s">
        <v>1137</v>
      </c>
      <c r="D855" t="s">
        <v>1138</v>
      </c>
      <c r="E855" t="s">
        <v>282</v>
      </c>
      <c r="F855" t="s">
        <v>283</v>
      </c>
      <c r="G855" t="s">
        <v>3167</v>
      </c>
      <c r="H855" t="s">
        <v>3166</v>
      </c>
      <c r="I855" t="s">
        <v>1139</v>
      </c>
      <c r="J855" t="s">
        <v>368</v>
      </c>
      <c r="K855" t="s">
        <v>369</v>
      </c>
      <c r="R855" t="s">
        <v>73</v>
      </c>
      <c r="S855" t="s">
        <v>73</v>
      </c>
      <c r="U855" t="s">
        <v>73</v>
      </c>
      <c r="V855" t="s">
        <v>73</v>
      </c>
      <c r="X855" t="s">
        <v>73</v>
      </c>
      <c r="Y855" t="s">
        <v>73</v>
      </c>
      <c r="AF855">
        <v>312.73403252437015</v>
      </c>
      <c r="AG855">
        <v>5.4</v>
      </c>
      <c r="AH855">
        <v>4</v>
      </c>
      <c r="AI855">
        <v>579</v>
      </c>
      <c r="AJ855">
        <v>102.59336947152244</v>
      </c>
      <c r="AK855">
        <v>540.79999999999995</v>
      </c>
      <c r="AM855">
        <v>87.630717260131391</v>
      </c>
      <c r="AN855">
        <v>224</v>
      </c>
      <c r="AO855" t="s">
        <v>6308</v>
      </c>
      <c r="AP855" t="s">
        <v>1138</v>
      </c>
    </row>
    <row r="856" spans="1:42" x14ac:dyDescent="0.25">
      <c r="A856">
        <v>855</v>
      </c>
      <c r="B856" t="s">
        <v>3721</v>
      </c>
      <c r="C856" t="s">
        <v>3721</v>
      </c>
      <c r="D856" t="s">
        <v>3947</v>
      </c>
      <c r="E856" t="s">
        <v>183</v>
      </c>
      <c r="F856" t="s">
        <v>184</v>
      </c>
      <c r="G856" t="s">
        <v>158</v>
      </c>
      <c r="H856" t="s">
        <v>159</v>
      </c>
      <c r="I856" t="s">
        <v>3946</v>
      </c>
      <c r="J856" t="s">
        <v>1205</v>
      </c>
      <c r="K856" t="s">
        <v>1206</v>
      </c>
      <c r="Q856">
        <v>13</v>
      </c>
      <c r="R856" t="s">
        <v>2409</v>
      </c>
      <c r="S856" t="s">
        <v>2410</v>
      </c>
      <c r="T856">
        <v>2</v>
      </c>
      <c r="U856" t="s">
        <v>73</v>
      </c>
      <c r="V856" t="s">
        <v>73</v>
      </c>
      <c r="X856" t="s">
        <v>2440</v>
      </c>
      <c r="Y856" t="s">
        <v>2441</v>
      </c>
      <c r="Z856">
        <v>2</v>
      </c>
      <c r="AA856" t="s">
        <v>3949</v>
      </c>
      <c r="AB856" t="s">
        <v>3950</v>
      </c>
      <c r="AE856" t="s">
        <v>3948</v>
      </c>
      <c r="AF856">
        <v>312.63499922702044</v>
      </c>
      <c r="AG856">
        <v>6.2857142857142998</v>
      </c>
      <c r="AH856">
        <v>6</v>
      </c>
      <c r="AI856">
        <v>811</v>
      </c>
      <c r="AJ856">
        <v>53.054761045894871</v>
      </c>
      <c r="AK856">
        <v>629.77142857143008</v>
      </c>
      <c r="AM856">
        <v>74.276665464252815</v>
      </c>
      <c r="AN856">
        <v>0</v>
      </c>
      <c r="AO856" t="s">
        <v>6309</v>
      </c>
      <c r="AP856" t="s">
        <v>3947</v>
      </c>
    </row>
    <row r="857" spans="1:42" x14ac:dyDescent="0.25">
      <c r="A857">
        <v>856</v>
      </c>
      <c r="B857" t="s">
        <v>3350</v>
      </c>
      <c r="C857" t="s">
        <v>3350</v>
      </c>
      <c r="D857" t="s">
        <v>3702</v>
      </c>
      <c r="E857" t="s">
        <v>229</v>
      </c>
      <c r="F857" t="s">
        <v>229</v>
      </c>
      <c r="G857" t="s">
        <v>69</v>
      </c>
      <c r="H857" t="s">
        <v>70</v>
      </c>
      <c r="I857" t="s">
        <v>4850</v>
      </c>
      <c r="L857" t="s">
        <v>4847</v>
      </c>
      <c r="M857" t="s">
        <v>4848</v>
      </c>
      <c r="R857" t="s">
        <v>73</v>
      </c>
      <c r="S857" t="s">
        <v>73</v>
      </c>
      <c r="U857" t="s">
        <v>73</v>
      </c>
      <c r="V857" t="s">
        <v>73</v>
      </c>
      <c r="X857" t="s">
        <v>73</v>
      </c>
      <c r="Y857" t="s">
        <v>73</v>
      </c>
      <c r="AA857" t="s">
        <v>73</v>
      </c>
      <c r="AB857" t="s">
        <v>73</v>
      </c>
      <c r="AE857" t="s">
        <v>4849</v>
      </c>
      <c r="AF857">
        <v>311.79258425883853</v>
      </c>
      <c r="AG857">
        <v>4.75</v>
      </c>
      <c r="AH857">
        <v>3</v>
      </c>
      <c r="AI857">
        <v>428</v>
      </c>
      <c r="AJ857">
        <v>137.76953806537611</v>
      </c>
      <c r="AK857">
        <v>475.6</v>
      </c>
      <c r="AM857">
        <v>80.87735329152656</v>
      </c>
      <c r="AN857">
        <v>448</v>
      </c>
      <c r="AO857" t="s">
        <v>6310</v>
      </c>
      <c r="AP857" t="s">
        <v>3702</v>
      </c>
    </row>
    <row r="858" spans="1:42" x14ac:dyDescent="0.25">
      <c r="A858">
        <v>857</v>
      </c>
      <c r="B858" t="s">
        <v>1069</v>
      </c>
      <c r="C858" t="s">
        <v>4058</v>
      </c>
      <c r="D858" t="s">
        <v>3219</v>
      </c>
      <c r="E858" t="s">
        <v>471</v>
      </c>
      <c r="F858" t="s">
        <v>472</v>
      </c>
      <c r="G858" t="s">
        <v>93</v>
      </c>
      <c r="H858" t="s">
        <v>94</v>
      </c>
      <c r="I858" t="s">
        <v>3217</v>
      </c>
      <c r="J858" t="s">
        <v>3246</v>
      </c>
      <c r="K858" t="s">
        <v>3203</v>
      </c>
      <c r="O858" t="s">
        <v>3218</v>
      </c>
      <c r="P858" t="s">
        <v>3218</v>
      </c>
      <c r="Q858">
        <v>13</v>
      </c>
      <c r="R858" t="s">
        <v>2409</v>
      </c>
      <c r="S858" t="s">
        <v>2410</v>
      </c>
      <c r="T858">
        <v>2</v>
      </c>
      <c r="U858" t="s">
        <v>3139</v>
      </c>
      <c r="V858" t="s">
        <v>3140</v>
      </c>
      <c r="W858">
        <v>4</v>
      </c>
      <c r="X858" t="s">
        <v>2446</v>
      </c>
      <c r="Y858" t="s">
        <v>2447</v>
      </c>
      <c r="Z858">
        <v>4</v>
      </c>
      <c r="AF858">
        <v>311.63329927230711</v>
      </c>
      <c r="AG858">
        <v>5.5</v>
      </c>
      <c r="AH858">
        <v>7</v>
      </c>
      <c r="AI858">
        <v>610</v>
      </c>
      <c r="AJ858">
        <v>95.481443635896795</v>
      </c>
      <c r="AK858">
        <v>551.4</v>
      </c>
      <c r="AM858">
        <v>105.67402109025552</v>
      </c>
      <c r="AN858">
        <v>112</v>
      </c>
      <c r="AO858" t="s">
        <v>6311</v>
      </c>
      <c r="AP858" t="s">
        <v>3219</v>
      </c>
    </row>
    <row r="859" spans="1:42" x14ac:dyDescent="0.25">
      <c r="A859">
        <v>858</v>
      </c>
      <c r="B859" t="s">
        <v>82</v>
      </c>
      <c r="C859" t="s">
        <v>82</v>
      </c>
      <c r="D859" t="s">
        <v>83</v>
      </c>
      <c r="E859" t="s">
        <v>84</v>
      </c>
      <c r="F859" t="s">
        <v>84</v>
      </c>
      <c r="G859" t="s">
        <v>85</v>
      </c>
      <c r="H859" t="s">
        <v>86</v>
      </c>
      <c r="J859" t="s">
        <v>87</v>
      </c>
      <c r="Q859">
        <v>14</v>
      </c>
      <c r="R859" t="s">
        <v>2409</v>
      </c>
      <c r="S859" t="s">
        <v>2410</v>
      </c>
      <c r="T859">
        <v>2</v>
      </c>
      <c r="U859" t="s">
        <v>2430</v>
      </c>
      <c r="V859" t="s">
        <v>2431</v>
      </c>
      <c r="W859">
        <v>6</v>
      </c>
      <c r="X859" t="s">
        <v>2443</v>
      </c>
      <c r="Y859" t="s">
        <v>2444</v>
      </c>
      <c r="Z859">
        <v>3</v>
      </c>
      <c r="AF859">
        <v>311.3</v>
      </c>
      <c r="AG859">
        <v>6.5</v>
      </c>
      <c r="AH859">
        <v>3</v>
      </c>
      <c r="AI859">
        <v>892</v>
      </c>
      <c r="AJ859">
        <v>40</v>
      </c>
      <c r="AK859">
        <v>650.6</v>
      </c>
      <c r="AM859">
        <v>0</v>
      </c>
      <c r="AN859">
        <v>224</v>
      </c>
      <c r="AO859" t="s">
        <v>6312</v>
      </c>
      <c r="AP859" t="s">
        <v>83</v>
      </c>
    </row>
    <row r="860" spans="1:42" x14ac:dyDescent="0.25">
      <c r="A860">
        <v>859</v>
      </c>
      <c r="B860" t="s">
        <v>1439</v>
      </c>
      <c r="C860" t="s">
        <v>1439</v>
      </c>
      <c r="D860" t="s">
        <v>4804</v>
      </c>
      <c r="E860" t="s">
        <v>556</v>
      </c>
      <c r="F860" t="s">
        <v>557</v>
      </c>
      <c r="G860" t="s">
        <v>60</v>
      </c>
      <c r="H860" t="s">
        <v>61</v>
      </c>
      <c r="J860" t="s">
        <v>3754</v>
      </c>
      <c r="K860" t="s">
        <v>3755</v>
      </c>
      <c r="R860" t="s">
        <v>73</v>
      </c>
      <c r="S860" t="s">
        <v>73</v>
      </c>
      <c r="U860" t="s">
        <v>73</v>
      </c>
      <c r="V860" t="s">
        <v>73</v>
      </c>
      <c r="X860" t="s">
        <v>73</v>
      </c>
      <c r="Y860" t="s">
        <v>73</v>
      </c>
      <c r="AA860" t="s">
        <v>73</v>
      </c>
      <c r="AB860" t="s">
        <v>73</v>
      </c>
      <c r="AF860">
        <v>311.3</v>
      </c>
      <c r="AG860">
        <v>6.5</v>
      </c>
      <c r="AH860">
        <v>3</v>
      </c>
      <c r="AI860">
        <v>893</v>
      </c>
      <c r="AJ860">
        <v>40</v>
      </c>
      <c r="AK860">
        <v>650.6</v>
      </c>
      <c r="AM860">
        <v>0</v>
      </c>
      <c r="AN860">
        <v>224</v>
      </c>
      <c r="AO860" t="s">
        <v>6313</v>
      </c>
      <c r="AP860" t="s">
        <v>4804</v>
      </c>
    </row>
    <row r="861" spans="1:42" x14ac:dyDescent="0.25">
      <c r="A861">
        <v>860</v>
      </c>
      <c r="B861" t="s">
        <v>3324</v>
      </c>
      <c r="C861" t="s">
        <v>3324</v>
      </c>
      <c r="D861" t="s">
        <v>3550</v>
      </c>
      <c r="E861" t="s">
        <v>672</v>
      </c>
      <c r="F861" t="s">
        <v>672</v>
      </c>
      <c r="G861" t="s">
        <v>79</v>
      </c>
      <c r="H861" t="s">
        <v>80</v>
      </c>
      <c r="I861" t="s">
        <v>3551</v>
      </c>
      <c r="Q861">
        <v>15</v>
      </c>
      <c r="R861" t="s">
        <v>2420</v>
      </c>
      <c r="S861" t="s">
        <v>2421</v>
      </c>
      <c r="T861">
        <v>5</v>
      </c>
      <c r="U861" t="s">
        <v>3139</v>
      </c>
      <c r="V861" t="s">
        <v>3140</v>
      </c>
      <c r="W861">
        <v>4</v>
      </c>
      <c r="X861" t="s">
        <v>2443</v>
      </c>
      <c r="Y861" t="s">
        <v>2444</v>
      </c>
      <c r="Z861">
        <v>3</v>
      </c>
      <c r="AA861" t="s">
        <v>73</v>
      </c>
      <c r="AB861" t="s">
        <v>73</v>
      </c>
      <c r="AF861">
        <v>311.3</v>
      </c>
      <c r="AG861">
        <v>6.5</v>
      </c>
      <c r="AH861">
        <v>3</v>
      </c>
      <c r="AI861">
        <v>894</v>
      </c>
      <c r="AJ861">
        <v>40</v>
      </c>
      <c r="AK861">
        <v>650.6</v>
      </c>
      <c r="AM861">
        <v>0</v>
      </c>
      <c r="AN861">
        <v>224</v>
      </c>
      <c r="AO861" t="s">
        <v>6314</v>
      </c>
      <c r="AP861" t="s">
        <v>3550</v>
      </c>
    </row>
    <row r="862" spans="1:42" x14ac:dyDescent="0.25">
      <c r="A862">
        <v>861</v>
      </c>
      <c r="B862" t="s">
        <v>2734</v>
      </c>
      <c r="C862" t="s">
        <v>2734</v>
      </c>
      <c r="D862" t="s">
        <v>871</v>
      </c>
      <c r="E862" t="s">
        <v>199</v>
      </c>
      <c r="F862" t="s">
        <v>200</v>
      </c>
      <c r="J862" t="s">
        <v>649</v>
      </c>
      <c r="K862" t="s">
        <v>650</v>
      </c>
      <c r="L862" t="s">
        <v>5221</v>
      </c>
      <c r="M862" t="s">
        <v>5222</v>
      </c>
      <c r="R862" t="s">
        <v>73</v>
      </c>
      <c r="S862" t="s">
        <v>73</v>
      </c>
      <c r="U862" t="s">
        <v>73</v>
      </c>
      <c r="V862" t="s">
        <v>73</v>
      </c>
      <c r="X862" t="s">
        <v>73</v>
      </c>
      <c r="Y862" t="s">
        <v>73</v>
      </c>
      <c r="AF862">
        <v>310.97369268739561</v>
      </c>
      <c r="AG862">
        <v>6.0666666666667002</v>
      </c>
      <c r="AH862">
        <v>14</v>
      </c>
      <c r="AI862">
        <v>760</v>
      </c>
      <c r="AJ862">
        <v>62.489288171178487</v>
      </c>
      <c r="AK862">
        <v>609.46666666666999</v>
      </c>
      <c r="AM862">
        <v>87.485003439649873</v>
      </c>
      <c r="AN862">
        <v>0</v>
      </c>
      <c r="AO862" t="s">
        <v>6315</v>
      </c>
      <c r="AP862" t="s">
        <v>871</v>
      </c>
    </row>
    <row r="863" spans="1:42" x14ac:dyDescent="0.25">
      <c r="A863">
        <v>862</v>
      </c>
      <c r="B863" t="s">
        <v>1436</v>
      </c>
      <c r="C863" t="s">
        <v>1436</v>
      </c>
      <c r="D863" t="s">
        <v>3216</v>
      </c>
      <c r="E863" t="s">
        <v>471</v>
      </c>
      <c r="F863" t="s">
        <v>472</v>
      </c>
      <c r="G863" t="s">
        <v>93</v>
      </c>
      <c r="H863" t="s">
        <v>94</v>
      </c>
      <c r="I863" t="s">
        <v>3231</v>
      </c>
      <c r="J863" t="s">
        <v>3246</v>
      </c>
      <c r="K863" t="s">
        <v>3203</v>
      </c>
      <c r="Q863">
        <v>15</v>
      </c>
      <c r="R863" t="s">
        <v>2409</v>
      </c>
      <c r="S863" t="s">
        <v>2410</v>
      </c>
      <c r="T863">
        <v>2</v>
      </c>
      <c r="U863" t="s">
        <v>2430</v>
      </c>
      <c r="V863" t="s">
        <v>2431</v>
      </c>
      <c r="W863">
        <v>6</v>
      </c>
      <c r="X863" t="s">
        <v>2449</v>
      </c>
      <c r="Y863" t="s">
        <v>2450</v>
      </c>
      <c r="Z863">
        <v>5</v>
      </c>
      <c r="AA863" t="s">
        <v>73</v>
      </c>
      <c r="AB863" t="s">
        <v>73</v>
      </c>
      <c r="AF863">
        <v>310.96047036486254</v>
      </c>
      <c r="AG863">
        <v>5.0833333333333002</v>
      </c>
      <c r="AH863">
        <v>11</v>
      </c>
      <c r="AI863">
        <v>521</v>
      </c>
      <c r="AJ863">
        <v>117.43755966466394</v>
      </c>
      <c r="AK863">
        <v>510.53333333333001</v>
      </c>
      <c r="AM863">
        <v>136.4125835305295</v>
      </c>
      <c r="AN863">
        <v>112</v>
      </c>
      <c r="AO863" t="s">
        <v>6316</v>
      </c>
      <c r="AP863" t="s">
        <v>3216</v>
      </c>
    </row>
    <row r="864" spans="1:42" x14ac:dyDescent="0.25">
      <c r="A864">
        <v>863</v>
      </c>
      <c r="B864" t="s">
        <v>2305</v>
      </c>
      <c r="C864" t="s">
        <v>2305</v>
      </c>
      <c r="D864" t="s">
        <v>3835</v>
      </c>
      <c r="E864" t="s">
        <v>67</v>
      </c>
      <c r="F864" t="s">
        <v>68</v>
      </c>
      <c r="G864" t="s">
        <v>3845</v>
      </c>
      <c r="H864" t="s">
        <v>3846</v>
      </c>
      <c r="I864" t="s">
        <v>2306</v>
      </c>
      <c r="J864" t="s">
        <v>71</v>
      </c>
      <c r="K864" t="s">
        <v>72</v>
      </c>
      <c r="L864" t="s">
        <v>5367</v>
      </c>
      <c r="M864" t="s">
        <v>5368</v>
      </c>
      <c r="R864" t="s">
        <v>73</v>
      </c>
      <c r="S864" t="s">
        <v>73</v>
      </c>
      <c r="U864" t="s">
        <v>73</v>
      </c>
      <c r="V864" t="s">
        <v>73</v>
      </c>
      <c r="X864" t="s">
        <v>73</v>
      </c>
      <c r="Y864" t="s">
        <v>73</v>
      </c>
      <c r="AA864" t="s">
        <v>73</v>
      </c>
      <c r="AB864" t="s">
        <v>73</v>
      </c>
      <c r="AE864" t="s">
        <v>5366</v>
      </c>
      <c r="AF864">
        <v>310.68979757492946</v>
      </c>
      <c r="AG864">
        <v>6.3333333333333002</v>
      </c>
      <c r="AH864">
        <v>8</v>
      </c>
      <c r="AI864">
        <v>820</v>
      </c>
      <c r="AJ864">
        <v>48.025701009182683</v>
      </c>
      <c r="AK864">
        <v>634.9333333333301</v>
      </c>
      <c r="AM864">
        <v>39.23598141285575</v>
      </c>
      <c r="AN864">
        <v>112</v>
      </c>
      <c r="AO864" t="s">
        <v>6317</v>
      </c>
      <c r="AP864" t="s">
        <v>3835</v>
      </c>
    </row>
    <row r="865" spans="1:42" x14ac:dyDescent="0.25">
      <c r="A865">
        <v>864</v>
      </c>
      <c r="B865" t="s">
        <v>3329</v>
      </c>
      <c r="C865" t="s">
        <v>3329</v>
      </c>
      <c r="D865" t="s">
        <v>3517</v>
      </c>
      <c r="E865" t="s">
        <v>282</v>
      </c>
      <c r="F865" t="s">
        <v>283</v>
      </c>
      <c r="G865" t="s">
        <v>3167</v>
      </c>
      <c r="H865" t="s">
        <v>3166</v>
      </c>
      <c r="I865" t="s">
        <v>3853</v>
      </c>
      <c r="J865" t="s">
        <v>368</v>
      </c>
      <c r="K865" t="s">
        <v>369</v>
      </c>
      <c r="R865" t="s">
        <v>73</v>
      </c>
      <c r="S865" t="s">
        <v>73</v>
      </c>
      <c r="U865" t="s">
        <v>73</v>
      </c>
      <c r="V865" t="s">
        <v>73</v>
      </c>
      <c r="X865" t="s">
        <v>2440</v>
      </c>
      <c r="Y865" t="s">
        <v>2441</v>
      </c>
      <c r="Z865">
        <v>2</v>
      </c>
      <c r="AA865" t="s">
        <v>73</v>
      </c>
      <c r="AB865" t="s">
        <v>73</v>
      </c>
      <c r="AF865">
        <v>310.01201402324511</v>
      </c>
      <c r="AG865">
        <v>5.6666666666666998</v>
      </c>
      <c r="AH865">
        <v>5</v>
      </c>
      <c r="AI865">
        <v>649</v>
      </c>
      <c r="AJ865">
        <v>84.642978544344601</v>
      </c>
      <c r="AK865">
        <v>567.66666666666993</v>
      </c>
      <c r="AM865">
        <v>62.500169962082438</v>
      </c>
      <c r="AN865">
        <v>224</v>
      </c>
      <c r="AO865" t="s">
        <v>6318</v>
      </c>
      <c r="AP865" t="s">
        <v>3517</v>
      </c>
    </row>
    <row r="866" spans="1:42" x14ac:dyDescent="0.25">
      <c r="A866">
        <v>865</v>
      </c>
      <c r="B866" t="s">
        <v>1410</v>
      </c>
      <c r="C866" t="s">
        <v>4174</v>
      </c>
      <c r="D866" t="s">
        <v>3878</v>
      </c>
      <c r="E866" t="s">
        <v>137</v>
      </c>
      <c r="F866" t="s">
        <v>138</v>
      </c>
      <c r="G866" t="s">
        <v>139</v>
      </c>
      <c r="H866" t="s">
        <v>140</v>
      </c>
      <c r="I866" t="s">
        <v>1411</v>
      </c>
      <c r="J866" t="s">
        <v>142</v>
      </c>
      <c r="K866" t="s">
        <v>143</v>
      </c>
      <c r="L866" t="s">
        <v>4721</v>
      </c>
      <c r="M866" t="s">
        <v>4722</v>
      </c>
      <c r="R866" t="s">
        <v>2414</v>
      </c>
      <c r="S866" t="s">
        <v>2415</v>
      </c>
      <c r="T866">
        <v>3</v>
      </c>
      <c r="U866" t="s">
        <v>73</v>
      </c>
      <c r="V866" t="s">
        <v>73</v>
      </c>
      <c r="X866" t="s">
        <v>73</v>
      </c>
      <c r="Y866" t="s">
        <v>73</v>
      </c>
      <c r="AA866" t="s">
        <v>73</v>
      </c>
      <c r="AB866" t="s">
        <v>73</v>
      </c>
      <c r="AE866" t="s">
        <v>1412</v>
      </c>
      <c r="AF866">
        <v>309.6715472812769</v>
      </c>
      <c r="AG866">
        <v>6.7333333333332996</v>
      </c>
      <c r="AH866">
        <v>14</v>
      </c>
      <c r="AI866">
        <v>939</v>
      </c>
      <c r="AJ866">
        <v>24.00542290512438</v>
      </c>
      <c r="AK866">
        <v>676.13333333332992</v>
      </c>
      <c r="AM866">
        <v>33.607592067174132</v>
      </c>
      <c r="AN866">
        <v>0</v>
      </c>
      <c r="AO866" t="s">
        <v>6319</v>
      </c>
      <c r="AP866" t="s">
        <v>3878</v>
      </c>
    </row>
    <row r="867" spans="1:42" x14ac:dyDescent="0.25">
      <c r="A867">
        <v>866</v>
      </c>
      <c r="B867" t="s">
        <v>1420</v>
      </c>
      <c r="C867" t="s">
        <v>1420</v>
      </c>
      <c r="D867" t="s">
        <v>2494</v>
      </c>
      <c r="E867" t="s">
        <v>415</v>
      </c>
      <c r="F867" t="s">
        <v>415</v>
      </c>
      <c r="G867" t="s">
        <v>85</v>
      </c>
      <c r="H867" t="s">
        <v>86</v>
      </c>
      <c r="O867" t="s">
        <v>2571</v>
      </c>
      <c r="P867" t="s">
        <v>2571</v>
      </c>
      <c r="Q867">
        <v>17</v>
      </c>
      <c r="R867" t="s">
        <v>2406</v>
      </c>
      <c r="S867" t="s">
        <v>2407</v>
      </c>
      <c r="T867">
        <v>1</v>
      </c>
      <c r="U867" t="s">
        <v>3139</v>
      </c>
      <c r="V867" t="s">
        <v>3140</v>
      </c>
      <c r="W867">
        <v>4</v>
      </c>
      <c r="X867" t="s">
        <v>2437</v>
      </c>
      <c r="Y867" t="s">
        <v>2438</v>
      </c>
      <c r="Z867">
        <v>1</v>
      </c>
      <c r="AA867" t="s">
        <v>73</v>
      </c>
      <c r="AB867" t="s">
        <v>73</v>
      </c>
      <c r="AF867">
        <v>309.48179785755281</v>
      </c>
      <c r="AG867">
        <v>5.8571428571429003</v>
      </c>
      <c r="AH867">
        <v>6</v>
      </c>
      <c r="AI867">
        <v>721</v>
      </c>
      <c r="AJ867">
        <v>73.360727778230853</v>
      </c>
      <c r="AK867">
        <v>586.91428571429003</v>
      </c>
      <c r="AM867">
        <v>46.705018889523181</v>
      </c>
      <c r="AN867">
        <v>224</v>
      </c>
      <c r="AO867" t="s">
        <v>6320</v>
      </c>
      <c r="AP867" t="s">
        <v>2494</v>
      </c>
    </row>
    <row r="868" spans="1:42" x14ac:dyDescent="0.25">
      <c r="A868">
        <v>867</v>
      </c>
      <c r="B868" t="s">
        <v>1289</v>
      </c>
      <c r="C868" t="s">
        <v>5082</v>
      </c>
      <c r="D868" t="s">
        <v>3135</v>
      </c>
      <c r="E868" t="s">
        <v>67</v>
      </c>
      <c r="F868" t="s">
        <v>68</v>
      </c>
      <c r="G868" t="s">
        <v>69</v>
      </c>
      <c r="H868" t="s">
        <v>70</v>
      </c>
      <c r="I868" t="s">
        <v>1290</v>
      </c>
      <c r="J868" t="s">
        <v>1291</v>
      </c>
      <c r="K868" t="s">
        <v>1292</v>
      </c>
      <c r="L868" t="s">
        <v>5430</v>
      </c>
      <c r="M868" t="s">
        <v>5431</v>
      </c>
      <c r="R868" t="s">
        <v>73</v>
      </c>
      <c r="S868" t="s">
        <v>73</v>
      </c>
      <c r="U868" t="s">
        <v>73</v>
      </c>
      <c r="V868" t="s">
        <v>73</v>
      </c>
      <c r="X868" t="s">
        <v>73</v>
      </c>
      <c r="Y868" t="s">
        <v>73</v>
      </c>
      <c r="AA868" t="s">
        <v>73</v>
      </c>
      <c r="AB868" t="s">
        <v>73</v>
      </c>
      <c r="AF868">
        <v>309.39999999999998</v>
      </c>
      <c r="AG868">
        <v>6.8</v>
      </c>
      <c r="AH868">
        <v>14</v>
      </c>
      <c r="AI868">
        <v>944</v>
      </c>
      <c r="AJ868">
        <v>20</v>
      </c>
      <c r="AK868">
        <v>682.8</v>
      </c>
      <c r="AM868">
        <v>0</v>
      </c>
      <c r="AN868">
        <v>112</v>
      </c>
      <c r="AO868" t="s">
        <v>6321</v>
      </c>
      <c r="AP868" t="s">
        <v>3135</v>
      </c>
    </row>
    <row r="869" spans="1:42" x14ac:dyDescent="0.25">
      <c r="A869">
        <v>868</v>
      </c>
      <c r="B869" t="s">
        <v>2671</v>
      </c>
      <c r="C869" t="s">
        <v>2670</v>
      </c>
      <c r="D869" t="s">
        <v>2670</v>
      </c>
      <c r="E869" t="s">
        <v>300</v>
      </c>
      <c r="F869" t="s">
        <v>301</v>
      </c>
      <c r="G869" t="s">
        <v>151</v>
      </c>
      <c r="H869" t="s">
        <v>152</v>
      </c>
      <c r="I869" t="s">
        <v>3309</v>
      </c>
      <c r="J869" t="s">
        <v>3254</v>
      </c>
      <c r="K869" t="s">
        <v>3255</v>
      </c>
      <c r="Q869">
        <v>12</v>
      </c>
      <c r="R869" t="s">
        <v>2417</v>
      </c>
      <c r="S869" t="s">
        <v>2418</v>
      </c>
      <c r="T869">
        <v>4</v>
      </c>
      <c r="U869" t="s">
        <v>3137</v>
      </c>
      <c r="V869" t="s">
        <v>3136</v>
      </c>
      <c r="W869">
        <v>5</v>
      </c>
      <c r="X869" t="s">
        <v>2446</v>
      </c>
      <c r="Y869" t="s">
        <v>2447</v>
      </c>
      <c r="Z869">
        <v>4</v>
      </c>
      <c r="AA869" t="s">
        <v>3308</v>
      </c>
      <c r="AB869" t="s">
        <v>3307</v>
      </c>
      <c r="AF869">
        <v>309.36363636363501</v>
      </c>
      <c r="AG869">
        <v>5.7272727272727</v>
      </c>
      <c r="AH869">
        <v>10</v>
      </c>
      <c r="AI869">
        <v>680</v>
      </c>
      <c r="AJ869">
        <v>80</v>
      </c>
      <c r="AK869">
        <v>574.72727272727002</v>
      </c>
      <c r="AM869">
        <v>0</v>
      </c>
      <c r="AN869">
        <v>448</v>
      </c>
      <c r="AO869" t="s">
        <v>6322</v>
      </c>
      <c r="AP869" t="s">
        <v>2670</v>
      </c>
    </row>
    <row r="870" spans="1:42" x14ac:dyDescent="0.25">
      <c r="A870">
        <v>869</v>
      </c>
      <c r="B870" t="s">
        <v>3451</v>
      </c>
      <c r="C870" t="s">
        <v>3451</v>
      </c>
      <c r="D870" t="s">
        <v>3452</v>
      </c>
      <c r="E870" t="s">
        <v>471</v>
      </c>
      <c r="F870" t="s">
        <v>472</v>
      </c>
      <c r="G870" t="s">
        <v>93</v>
      </c>
      <c r="H870" t="s">
        <v>94</v>
      </c>
      <c r="I870" t="s">
        <v>3454</v>
      </c>
      <c r="J870" t="s">
        <v>3245</v>
      </c>
      <c r="K870" t="s">
        <v>3170</v>
      </c>
      <c r="Q870">
        <v>14</v>
      </c>
      <c r="R870" t="s">
        <v>2409</v>
      </c>
      <c r="S870" t="s">
        <v>2410</v>
      </c>
      <c r="T870">
        <v>2</v>
      </c>
      <c r="U870" t="s">
        <v>3137</v>
      </c>
      <c r="V870" t="s">
        <v>3136</v>
      </c>
      <c r="W870">
        <v>5</v>
      </c>
      <c r="X870" t="s">
        <v>2440</v>
      </c>
      <c r="Y870" t="s">
        <v>2441</v>
      </c>
      <c r="Z870">
        <v>2</v>
      </c>
      <c r="AA870" t="s">
        <v>3455</v>
      </c>
      <c r="AB870" t="s">
        <v>3456</v>
      </c>
      <c r="AE870" t="s">
        <v>3453</v>
      </c>
      <c r="AF870">
        <v>308.92797205900126</v>
      </c>
      <c r="AG870">
        <v>5.7142857142857002</v>
      </c>
      <c r="AH870">
        <v>6</v>
      </c>
      <c r="AI870">
        <v>666</v>
      </c>
      <c r="AJ870">
        <v>80.681873716351419</v>
      </c>
      <c r="AK870">
        <v>572.62857142857001</v>
      </c>
      <c r="AM870">
        <v>84.95462320289198</v>
      </c>
      <c r="AN870">
        <v>112</v>
      </c>
      <c r="AO870" t="s">
        <v>6323</v>
      </c>
      <c r="AP870" t="s">
        <v>3452</v>
      </c>
    </row>
    <row r="871" spans="1:42" x14ac:dyDescent="0.25">
      <c r="A871">
        <v>870</v>
      </c>
      <c r="B871" t="s">
        <v>3608</v>
      </c>
      <c r="C871" t="s">
        <v>3608</v>
      </c>
      <c r="D871" t="s">
        <v>3662</v>
      </c>
      <c r="E871" t="s">
        <v>666</v>
      </c>
      <c r="F871" t="s">
        <v>667</v>
      </c>
      <c r="G871" t="s">
        <v>60</v>
      </c>
      <c r="H871" t="s">
        <v>61</v>
      </c>
      <c r="I871" t="s">
        <v>3609</v>
      </c>
      <c r="J871" t="s">
        <v>3629</v>
      </c>
      <c r="K871" t="s">
        <v>3630</v>
      </c>
      <c r="L871" t="s">
        <v>4470</v>
      </c>
      <c r="M871" t="s">
        <v>4471</v>
      </c>
      <c r="R871" t="s">
        <v>73</v>
      </c>
      <c r="S871" t="s">
        <v>73</v>
      </c>
      <c r="U871" t="s">
        <v>73</v>
      </c>
      <c r="V871" t="s">
        <v>73</v>
      </c>
      <c r="X871" t="s">
        <v>73</v>
      </c>
      <c r="Y871" t="s">
        <v>73</v>
      </c>
      <c r="AA871" t="s">
        <v>73</v>
      </c>
      <c r="AB871" t="s">
        <v>73</v>
      </c>
      <c r="AF871">
        <v>308.69357134836116</v>
      </c>
      <c r="AG871">
        <v>5.1666666666666998</v>
      </c>
      <c r="AH871">
        <v>5</v>
      </c>
      <c r="AI871">
        <v>552</v>
      </c>
      <c r="AJ871">
        <v>110.95582001669578</v>
      </c>
      <c r="AK871">
        <v>517.66666666666993</v>
      </c>
      <c r="AM871">
        <v>71.338148023374089</v>
      </c>
      <c r="AN871">
        <v>336</v>
      </c>
      <c r="AO871" t="s">
        <v>6324</v>
      </c>
      <c r="AP871" t="s">
        <v>3662</v>
      </c>
    </row>
    <row r="872" spans="1:42" x14ac:dyDescent="0.25">
      <c r="A872">
        <v>871</v>
      </c>
      <c r="B872" t="s">
        <v>1312</v>
      </c>
      <c r="C872" t="s">
        <v>1312</v>
      </c>
      <c r="D872" t="s">
        <v>1313</v>
      </c>
      <c r="E872" t="s">
        <v>5312</v>
      </c>
      <c r="F872" t="s">
        <v>157</v>
      </c>
      <c r="G872" t="s">
        <v>158</v>
      </c>
      <c r="H872" t="s">
        <v>159</v>
      </c>
      <c r="I872" t="s">
        <v>3096</v>
      </c>
      <c r="J872" t="s">
        <v>3085</v>
      </c>
      <c r="K872" t="s">
        <v>3086</v>
      </c>
      <c r="L872" t="s">
        <v>5294</v>
      </c>
      <c r="M872" t="s">
        <v>5295</v>
      </c>
      <c r="R872" t="s">
        <v>73</v>
      </c>
      <c r="S872" t="s">
        <v>73</v>
      </c>
      <c r="U872" t="s">
        <v>73</v>
      </c>
      <c r="V872" t="s">
        <v>73</v>
      </c>
      <c r="X872" t="s">
        <v>73</v>
      </c>
      <c r="Y872" t="s">
        <v>73</v>
      </c>
      <c r="AA872" t="s">
        <v>73</v>
      </c>
      <c r="AB872" t="s">
        <v>73</v>
      </c>
      <c r="AF872">
        <v>308.59657520414237</v>
      </c>
      <c r="AG872">
        <v>5.5</v>
      </c>
      <c r="AH872">
        <v>7</v>
      </c>
      <c r="AI872">
        <v>622</v>
      </c>
      <c r="AJ872">
        <v>92.107305782380408</v>
      </c>
      <c r="AK872">
        <v>551.4</v>
      </c>
      <c r="AM872">
        <v>128.95022809533256</v>
      </c>
      <c r="AN872">
        <v>0</v>
      </c>
      <c r="AO872" t="s">
        <v>6325</v>
      </c>
      <c r="AP872" t="s">
        <v>1313</v>
      </c>
    </row>
    <row r="873" spans="1:42" x14ac:dyDescent="0.25">
      <c r="A873">
        <v>872</v>
      </c>
      <c r="B873" t="s">
        <v>3325</v>
      </c>
      <c r="C873" t="s">
        <v>3325</v>
      </c>
      <c r="D873" t="s">
        <v>3486</v>
      </c>
      <c r="E873" t="s">
        <v>229</v>
      </c>
      <c r="F873" t="s">
        <v>229</v>
      </c>
      <c r="G873" t="s">
        <v>69</v>
      </c>
      <c r="H873" t="s">
        <v>70</v>
      </c>
      <c r="I873" t="s">
        <v>3487</v>
      </c>
      <c r="R873" t="s">
        <v>73</v>
      </c>
      <c r="S873" t="s">
        <v>73</v>
      </c>
      <c r="U873" t="s">
        <v>73</v>
      </c>
      <c r="V873" t="s">
        <v>73</v>
      </c>
      <c r="X873" t="s">
        <v>73</v>
      </c>
      <c r="Y873" t="s">
        <v>73</v>
      </c>
      <c r="AA873" t="s">
        <v>73</v>
      </c>
      <c r="AB873" t="s">
        <v>73</v>
      </c>
      <c r="AF873">
        <v>308.21834057782678</v>
      </c>
      <c r="AG873">
        <v>5</v>
      </c>
      <c r="AH873">
        <v>5</v>
      </c>
      <c r="AI873">
        <v>504</v>
      </c>
      <c r="AJ873">
        <v>119.68704508647421</v>
      </c>
      <c r="AK873">
        <v>501</v>
      </c>
      <c r="AM873">
        <v>55.561863121063887</v>
      </c>
      <c r="AN873">
        <v>448</v>
      </c>
      <c r="AO873" t="s">
        <v>6326</v>
      </c>
      <c r="AP873" t="s">
        <v>3486</v>
      </c>
    </row>
    <row r="874" spans="1:42" x14ac:dyDescent="0.25">
      <c r="A874">
        <v>873</v>
      </c>
      <c r="B874" t="s">
        <v>3386</v>
      </c>
      <c r="C874" t="s">
        <v>3386</v>
      </c>
      <c r="D874" t="s">
        <v>3868</v>
      </c>
      <c r="E874" t="s">
        <v>5312</v>
      </c>
      <c r="F874" t="s">
        <v>157</v>
      </c>
      <c r="G874" t="s">
        <v>158</v>
      </c>
      <c r="H874" t="s">
        <v>159</v>
      </c>
      <c r="I874" t="s">
        <v>3910</v>
      </c>
      <c r="J874" t="s">
        <v>3085</v>
      </c>
      <c r="K874" t="s">
        <v>3086</v>
      </c>
      <c r="L874" t="s">
        <v>5273</v>
      </c>
      <c r="M874" t="s">
        <v>5274</v>
      </c>
      <c r="Q874">
        <v>11</v>
      </c>
      <c r="R874" t="s">
        <v>2409</v>
      </c>
      <c r="S874" t="s">
        <v>2410</v>
      </c>
      <c r="T874">
        <v>2</v>
      </c>
      <c r="U874" t="s">
        <v>2432</v>
      </c>
      <c r="V874" t="s">
        <v>2433</v>
      </c>
      <c r="W874">
        <v>7</v>
      </c>
      <c r="X874" t="s">
        <v>2440</v>
      </c>
      <c r="Y874" t="s">
        <v>2441</v>
      </c>
      <c r="Z874">
        <v>2</v>
      </c>
      <c r="AA874" t="s">
        <v>73</v>
      </c>
      <c r="AB874" t="s">
        <v>73</v>
      </c>
      <c r="AF874">
        <v>306.62873214030276</v>
      </c>
      <c r="AG874">
        <v>4.1666666666666998</v>
      </c>
      <c r="AH874">
        <v>5</v>
      </c>
      <c r="AI874">
        <v>309</v>
      </c>
      <c r="AJ874">
        <v>164.21710978551971</v>
      </c>
      <c r="AK874">
        <v>417.66666666666998</v>
      </c>
      <c r="AM874">
        <v>229.90395369972757</v>
      </c>
      <c r="AN874">
        <v>0</v>
      </c>
      <c r="AO874" t="s">
        <v>6327</v>
      </c>
      <c r="AP874" t="s">
        <v>3868</v>
      </c>
    </row>
    <row r="875" spans="1:42" x14ac:dyDescent="0.25">
      <c r="A875">
        <v>874</v>
      </c>
      <c r="B875" t="s">
        <v>441</v>
      </c>
      <c r="C875" t="s">
        <v>441</v>
      </c>
      <c r="D875" t="s">
        <v>442</v>
      </c>
      <c r="E875" t="s">
        <v>282</v>
      </c>
      <c r="F875" t="s">
        <v>283</v>
      </c>
      <c r="G875" t="s">
        <v>3167</v>
      </c>
      <c r="H875" t="s">
        <v>3166</v>
      </c>
      <c r="I875" t="s">
        <v>443</v>
      </c>
      <c r="J875" t="s">
        <v>285</v>
      </c>
      <c r="K875" t="s">
        <v>286</v>
      </c>
      <c r="R875" t="s">
        <v>73</v>
      </c>
      <c r="S875" t="s">
        <v>73</v>
      </c>
      <c r="U875" t="s">
        <v>73</v>
      </c>
      <c r="V875" t="s">
        <v>73</v>
      </c>
      <c r="X875" t="s">
        <v>73</v>
      </c>
      <c r="Y875" t="s">
        <v>73</v>
      </c>
      <c r="AA875" t="s">
        <v>73</v>
      </c>
      <c r="AB875" t="s">
        <v>73</v>
      </c>
      <c r="AF875">
        <v>306.39443819412884</v>
      </c>
      <c r="AG875">
        <v>5.6</v>
      </c>
      <c r="AH875">
        <v>14</v>
      </c>
      <c r="AI875">
        <v>655</v>
      </c>
      <c r="AJ875">
        <v>83.32715354903209</v>
      </c>
      <c r="AK875">
        <v>562.79999999999995</v>
      </c>
      <c r="AM875">
        <v>60.65801496864492</v>
      </c>
      <c r="AN875">
        <v>224</v>
      </c>
      <c r="AO875" t="s">
        <v>6328</v>
      </c>
      <c r="AP875" t="s">
        <v>442</v>
      </c>
    </row>
    <row r="876" spans="1:42" x14ac:dyDescent="0.25">
      <c r="A876">
        <v>875</v>
      </c>
      <c r="B876" t="s">
        <v>2938</v>
      </c>
      <c r="C876" t="s">
        <v>4123</v>
      </c>
      <c r="D876" t="s">
        <v>558</v>
      </c>
      <c r="E876" t="s">
        <v>199</v>
      </c>
      <c r="F876" t="s">
        <v>200</v>
      </c>
      <c r="I876" t="s">
        <v>559</v>
      </c>
      <c r="J876" t="s">
        <v>447</v>
      </c>
      <c r="K876" t="s">
        <v>448</v>
      </c>
      <c r="L876" t="s">
        <v>5246</v>
      </c>
      <c r="M876" t="s">
        <v>5247</v>
      </c>
      <c r="R876" t="s">
        <v>2420</v>
      </c>
      <c r="S876" t="s">
        <v>2421</v>
      </c>
      <c r="T876">
        <v>5</v>
      </c>
      <c r="U876" t="s">
        <v>2432</v>
      </c>
      <c r="V876" t="s">
        <v>2433</v>
      </c>
      <c r="W876">
        <v>7</v>
      </c>
      <c r="X876" t="s">
        <v>2443</v>
      </c>
      <c r="Y876" t="s">
        <v>2444</v>
      </c>
      <c r="Z876">
        <v>3</v>
      </c>
      <c r="AA876" t="s">
        <v>73</v>
      </c>
      <c r="AB876" t="s">
        <v>73</v>
      </c>
      <c r="AE876" t="s">
        <v>560</v>
      </c>
      <c r="AF876">
        <v>306.35555555555499</v>
      </c>
      <c r="AG876">
        <v>7.1111111111111001</v>
      </c>
      <c r="AH876">
        <v>8</v>
      </c>
      <c r="AI876">
        <v>976</v>
      </c>
      <c r="AJ876">
        <v>0</v>
      </c>
      <c r="AK876">
        <v>712.71111111110997</v>
      </c>
      <c r="AM876">
        <v>0</v>
      </c>
      <c r="AN876">
        <v>0</v>
      </c>
      <c r="AO876" t="s">
        <v>6329</v>
      </c>
      <c r="AP876" t="s">
        <v>558</v>
      </c>
    </row>
    <row r="877" spans="1:42" x14ac:dyDescent="0.25">
      <c r="A877">
        <v>876</v>
      </c>
      <c r="B877" t="s">
        <v>3543</v>
      </c>
      <c r="C877" t="s">
        <v>4179</v>
      </c>
      <c r="D877" t="s">
        <v>3542</v>
      </c>
      <c r="E877" t="s">
        <v>3643</v>
      </c>
      <c r="F877" t="s">
        <v>786</v>
      </c>
      <c r="G877" t="s">
        <v>60</v>
      </c>
      <c r="H877" t="s">
        <v>61</v>
      </c>
      <c r="I877" t="s">
        <v>4180</v>
      </c>
      <c r="Q877">
        <v>13</v>
      </c>
      <c r="R877" t="s">
        <v>2409</v>
      </c>
      <c r="S877" t="s">
        <v>2410</v>
      </c>
      <c r="T877">
        <v>2</v>
      </c>
      <c r="U877" t="s">
        <v>2432</v>
      </c>
      <c r="V877" t="s">
        <v>2433</v>
      </c>
      <c r="W877">
        <v>7</v>
      </c>
      <c r="X877" t="s">
        <v>2446</v>
      </c>
      <c r="Y877" t="s">
        <v>2447</v>
      </c>
      <c r="Z877">
        <v>4</v>
      </c>
      <c r="AA877" t="s">
        <v>73</v>
      </c>
      <c r="AB877" t="s">
        <v>73</v>
      </c>
      <c r="AF877">
        <v>305.83333333333496</v>
      </c>
      <c r="AG877">
        <v>5.6666666666666998</v>
      </c>
      <c r="AH877">
        <v>5</v>
      </c>
      <c r="AI877">
        <v>681</v>
      </c>
      <c r="AJ877">
        <v>80</v>
      </c>
      <c r="AK877">
        <v>567.66666666666993</v>
      </c>
      <c r="AM877">
        <v>0</v>
      </c>
      <c r="AN877">
        <v>448</v>
      </c>
      <c r="AO877" t="s">
        <v>6330</v>
      </c>
      <c r="AP877" t="s">
        <v>3542</v>
      </c>
    </row>
    <row r="878" spans="1:42" x14ac:dyDescent="0.25">
      <c r="A878">
        <v>877</v>
      </c>
      <c r="B878" t="s">
        <v>743</v>
      </c>
      <c r="C878" t="s">
        <v>743</v>
      </c>
      <c r="D878" t="s">
        <v>744</v>
      </c>
      <c r="E878" t="s">
        <v>161</v>
      </c>
      <c r="F878" t="s">
        <v>161</v>
      </c>
      <c r="G878" t="s">
        <v>3167</v>
      </c>
      <c r="H878" t="s">
        <v>3166</v>
      </c>
      <c r="I878" t="s">
        <v>745</v>
      </c>
      <c r="J878" t="s">
        <v>164</v>
      </c>
      <c r="K878" t="s">
        <v>165</v>
      </c>
      <c r="O878" t="s">
        <v>746</v>
      </c>
      <c r="P878" t="s">
        <v>746</v>
      </c>
      <c r="Q878">
        <v>13</v>
      </c>
      <c r="R878" t="s">
        <v>2417</v>
      </c>
      <c r="S878" t="s">
        <v>2418</v>
      </c>
      <c r="T878">
        <v>4</v>
      </c>
      <c r="U878" t="s">
        <v>3137</v>
      </c>
      <c r="V878" t="s">
        <v>3136</v>
      </c>
      <c r="W878">
        <v>5</v>
      </c>
      <c r="X878" t="s">
        <v>2443</v>
      </c>
      <c r="Y878" t="s">
        <v>2444</v>
      </c>
      <c r="Z878">
        <v>3</v>
      </c>
      <c r="AA878" t="s">
        <v>73</v>
      </c>
      <c r="AB878" t="s">
        <v>73</v>
      </c>
      <c r="AE878" t="s">
        <v>747</v>
      </c>
      <c r="AF878">
        <v>305.77904824368125</v>
      </c>
      <c r="AG878">
        <v>6.1666666666666998</v>
      </c>
      <c r="AH878">
        <v>17</v>
      </c>
      <c r="AI878">
        <v>816</v>
      </c>
      <c r="AJ878">
        <v>50.828572122607021</v>
      </c>
      <c r="AK878">
        <v>620.0666666666699</v>
      </c>
      <c r="AM878">
        <v>71.160000971649822</v>
      </c>
      <c r="AN878">
        <v>0</v>
      </c>
      <c r="AO878" t="s">
        <v>6331</v>
      </c>
      <c r="AP878" t="s">
        <v>744</v>
      </c>
    </row>
    <row r="879" spans="1:42" x14ac:dyDescent="0.25">
      <c r="A879">
        <v>878</v>
      </c>
      <c r="B879" t="s">
        <v>2755</v>
      </c>
      <c r="C879" t="s">
        <v>2755</v>
      </c>
      <c r="D879" t="s">
        <v>1973</v>
      </c>
      <c r="E879" t="s">
        <v>199</v>
      </c>
      <c r="F879" t="s">
        <v>200</v>
      </c>
      <c r="I879" t="s">
        <v>1974</v>
      </c>
      <c r="J879" t="s">
        <v>360</v>
      </c>
      <c r="K879" t="s">
        <v>361</v>
      </c>
      <c r="L879" t="s">
        <v>5206</v>
      </c>
      <c r="M879" t="s">
        <v>5207</v>
      </c>
      <c r="N879" t="s">
        <v>4272</v>
      </c>
      <c r="O879" t="s">
        <v>73</v>
      </c>
      <c r="P879" t="s">
        <v>73</v>
      </c>
      <c r="R879" t="s">
        <v>73</v>
      </c>
      <c r="S879" t="s">
        <v>73</v>
      </c>
      <c r="U879" t="s">
        <v>73</v>
      </c>
      <c r="V879" t="s">
        <v>73</v>
      </c>
      <c r="X879" t="s">
        <v>73</v>
      </c>
      <c r="Y879" t="s">
        <v>73</v>
      </c>
      <c r="AA879" t="s">
        <v>73</v>
      </c>
      <c r="AB879" t="s">
        <v>73</v>
      </c>
      <c r="AF879">
        <v>305.64288338880709</v>
      </c>
      <c r="AG879">
        <v>5.4375</v>
      </c>
      <c r="AH879">
        <v>15</v>
      </c>
      <c r="AI879">
        <v>626</v>
      </c>
      <c r="AJ879">
        <v>91.408759320896777</v>
      </c>
      <c r="AK879">
        <v>546.75</v>
      </c>
      <c r="AL879">
        <v>2004</v>
      </c>
      <c r="AM879">
        <v>127.97226304925549</v>
      </c>
      <c r="AN879">
        <v>0</v>
      </c>
      <c r="AO879" t="s">
        <v>6332</v>
      </c>
      <c r="AP879" t="s">
        <v>1973</v>
      </c>
    </row>
    <row r="880" spans="1:42" x14ac:dyDescent="0.25">
      <c r="A880">
        <v>879</v>
      </c>
      <c r="B880" t="s">
        <v>3559</v>
      </c>
      <c r="C880" t="s">
        <v>3559</v>
      </c>
      <c r="D880" t="s">
        <v>3562</v>
      </c>
      <c r="E880" t="s">
        <v>218</v>
      </c>
      <c r="F880" t="s">
        <v>219</v>
      </c>
      <c r="G880" t="s">
        <v>69</v>
      </c>
      <c r="H880" t="s">
        <v>70</v>
      </c>
      <c r="I880" t="s">
        <v>3570</v>
      </c>
      <c r="J880" t="s">
        <v>241</v>
      </c>
      <c r="K880" t="s">
        <v>242</v>
      </c>
      <c r="L880" t="s">
        <v>4960</v>
      </c>
      <c r="M880" t="s">
        <v>4961</v>
      </c>
      <c r="R880" t="s">
        <v>73</v>
      </c>
      <c r="S880" t="s">
        <v>73</v>
      </c>
      <c r="U880" t="s">
        <v>73</v>
      </c>
      <c r="V880" t="s">
        <v>73</v>
      </c>
      <c r="X880" t="s">
        <v>73</v>
      </c>
      <c r="Y880" t="s">
        <v>73</v>
      </c>
      <c r="AA880" t="s">
        <v>73</v>
      </c>
      <c r="AB880" t="s">
        <v>73</v>
      </c>
      <c r="AF880">
        <v>305.45</v>
      </c>
      <c r="AG880">
        <v>6.375</v>
      </c>
      <c r="AH880">
        <v>7</v>
      </c>
      <c r="AI880">
        <v>895</v>
      </c>
      <c r="AJ880">
        <v>40</v>
      </c>
      <c r="AK880">
        <v>638.9</v>
      </c>
      <c r="AM880">
        <v>0</v>
      </c>
      <c r="AN880">
        <v>224</v>
      </c>
      <c r="AO880" t="s">
        <v>6333</v>
      </c>
      <c r="AP880" t="s">
        <v>3562</v>
      </c>
    </row>
    <row r="881" spans="1:42" x14ac:dyDescent="0.25">
      <c r="A881">
        <v>880</v>
      </c>
      <c r="B881" t="s">
        <v>1443</v>
      </c>
      <c r="C881" t="s">
        <v>1443</v>
      </c>
      <c r="D881" t="s">
        <v>2958</v>
      </c>
      <c r="E881" t="s">
        <v>169</v>
      </c>
      <c r="F881" t="s">
        <v>170</v>
      </c>
      <c r="G881" t="s">
        <v>79</v>
      </c>
      <c r="H881" t="s">
        <v>80</v>
      </c>
      <c r="J881" t="s">
        <v>171</v>
      </c>
      <c r="K881" t="s">
        <v>172</v>
      </c>
      <c r="R881" t="s">
        <v>73</v>
      </c>
      <c r="S881" t="s">
        <v>73</v>
      </c>
      <c r="U881" t="s">
        <v>73</v>
      </c>
      <c r="V881" t="s">
        <v>73</v>
      </c>
      <c r="X881" t="s">
        <v>73</v>
      </c>
      <c r="Y881" t="s">
        <v>73</v>
      </c>
      <c r="AA881" t="s">
        <v>73</v>
      </c>
      <c r="AB881" t="s">
        <v>73</v>
      </c>
      <c r="AF881">
        <v>304.60000000000002</v>
      </c>
      <c r="AG881">
        <v>6</v>
      </c>
      <c r="AH881">
        <v>6</v>
      </c>
      <c r="AI881">
        <v>775</v>
      </c>
      <c r="AJ881">
        <v>60.000000000000007</v>
      </c>
      <c r="AK881">
        <v>601.20000000000005</v>
      </c>
      <c r="AM881">
        <v>0</v>
      </c>
      <c r="AN881">
        <v>336</v>
      </c>
      <c r="AO881" t="s">
        <v>6334</v>
      </c>
      <c r="AP881" t="s">
        <v>2958</v>
      </c>
    </row>
    <row r="882" spans="1:42" x14ac:dyDescent="0.25">
      <c r="A882">
        <v>881</v>
      </c>
      <c r="B882" t="s">
        <v>1522</v>
      </c>
      <c r="C882" t="s">
        <v>1522</v>
      </c>
      <c r="D882" t="s">
        <v>2528</v>
      </c>
      <c r="E882" t="s">
        <v>199</v>
      </c>
      <c r="F882" t="s">
        <v>200</v>
      </c>
      <c r="I882" t="s">
        <v>1523</v>
      </c>
      <c r="J882" t="s">
        <v>3164</v>
      </c>
      <c r="K882" t="s">
        <v>309</v>
      </c>
      <c r="L882" t="s">
        <v>5237</v>
      </c>
      <c r="M882" t="s">
        <v>5238</v>
      </c>
      <c r="R882" t="s">
        <v>73</v>
      </c>
      <c r="S882" t="s">
        <v>73</v>
      </c>
      <c r="U882" t="s">
        <v>73</v>
      </c>
      <c r="V882" t="s">
        <v>73</v>
      </c>
      <c r="X882" t="s">
        <v>73</v>
      </c>
      <c r="Y882" t="s">
        <v>73</v>
      </c>
      <c r="AA882" t="s">
        <v>73</v>
      </c>
      <c r="AB882" t="s">
        <v>73</v>
      </c>
      <c r="AF882">
        <v>304.30117021015104</v>
      </c>
      <c r="AG882">
        <v>6.2941176470588003</v>
      </c>
      <c r="AH882">
        <v>16</v>
      </c>
      <c r="AI882">
        <v>836</v>
      </c>
      <c r="AJ882">
        <v>42.216986508012191</v>
      </c>
      <c r="AK882">
        <v>632.61176470588009</v>
      </c>
      <c r="AM882">
        <v>59.103781111217067</v>
      </c>
      <c r="AN882">
        <v>0</v>
      </c>
      <c r="AO882" t="s">
        <v>6335</v>
      </c>
      <c r="AP882" t="s">
        <v>2528</v>
      </c>
    </row>
    <row r="883" spans="1:42" x14ac:dyDescent="0.25">
      <c r="A883">
        <v>882</v>
      </c>
      <c r="B883" t="s">
        <v>3717</v>
      </c>
      <c r="C883" t="s">
        <v>3717</v>
      </c>
      <c r="D883" t="s">
        <v>3718</v>
      </c>
      <c r="E883" t="s">
        <v>183</v>
      </c>
      <c r="F883" t="s">
        <v>184</v>
      </c>
      <c r="G883" t="s">
        <v>158</v>
      </c>
      <c r="H883" t="s">
        <v>159</v>
      </c>
      <c r="I883" t="s">
        <v>3983</v>
      </c>
      <c r="J883" t="s">
        <v>185</v>
      </c>
      <c r="K883" t="s">
        <v>3021</v>
      </c>
      <c r="Q883">
        <v>12</v>
      </c>
      <c r="R883" t="s">
        <v>2409</v>
      </c>
      <c r="S883" t="s">
        <v>2410</v>
      </c>
      <c r="T883">
        <v>2</v>
      </c>
      <c r="U883" t="s">
        <v>2430</v>
      </c>
      <c r="V883" t="s">
        <v>2431</v>
      </c>
      <c r="W883">
        <v>6</v>
      </c>
      <c r="X883" t="s">
        <v>2440</v>
      </c>
      <c r="Y883" t="s">
        <v>2441</v>
      </c>
      <c r="Z883">
        <v>2</v>
      </c>
      <c r="AA883" t="s">
        <v>73</v>
      </c>
      <c r="AB883" t="s">
        <v>73</v>
      </c>
      <c r="AC883" t="s">
        <v>3985</v>
      </c>
      <c r="AD883" t="s">
        <v>3986</v>
      </c>
      <c r="AE883" t="s">
        <v>3984</v>
      </c>
      <c r="AF883">
        <v>302.68361305713745</v>
      </c>
      <c r="AG883">
        <v>6.6</v>
      </c>
      <c r="AH883">
        <v>9</v>
      </c>
      <c r="AI883">
        <v>937</v>
      </c>
      <c r="AJ883">
        <v>24.204014507930495</v>
      </c>
      <c r="AK883">
        <v>661.8</v>
      </c>
      <c r="AM883">
        <v>33.885620311102691</v>
      </c>
      <c r="AN883">
        <v>0</v>
      </c>
      <c r="AO883" t="s">
        <v>6336</v>
      </c>
      <c r="AP883" t="s">
        <v>3718</v>
      </c>
    </row>
    <row r="884" spans="1:42" x14ac:dyDescent="0.25">
      <c r="A884">
        <v>883</v>
      </c>
      <c r="B884" t="s">
        <v>1368</v>
      </c>
      <c r="C884" t="s">
        <v>1368</v>
      </c>
      <c r="D884" t="s">
        <v>2480</v>
      </c>
      <c r="E884" t="s">
        <v>415</v>
      </c>
      <c r="F884" t="s">
        <v>415</v>
      </c>
      <c r="G884" t="s">
        <v>85</v>
      </c>
      <c r="H884" t="s">
        <v>86</v>
      </c>
      <c r="R884" t="s">
        <v>2417</v>
      </c>
      <c r="S884" t="s">
        <v>2418</v>
      </c>
      <c r="T884">
        <v>4</v>
      </c>
      <c r="U884" t="s">
        <v>73</v>
      </c>
      <c r="V884" t="s">
        <v>73</v>
      </c>
      <c r="X884" t="s">
        <v>2440</v>
      </c>
      <c r="Y884" t="s">
        <v>2441</v>
      </c>
      <c r="Z884">
        <v>2</v>
      </c>
      <c r="AA884" t="s">
        <v>73</v>
      </c>
      <c r="AB884" t="s">
        <v>73</v>
      </c>
      <c r="AF884">
        <v>302.3389407146928</v>
      </c>
      <c r="AG884">
        <v>5.7142857142857002</v>
      </c>
      <c r="AH884">
        <v>6</v>
      </c>
      <c r="AI884">
        <v>722</v>
      </c>
      <c r="AJ884">
        <v>73.360727778230853</v>
      </c>
      <c r="AK884">
        <v>572.62857142857001</v>
      </c>
      <c r="AM884">
        <v>46.705018889523181</v>
      </c>
      <c r="AN884">
        <v>224</v>
      </c>
      <c r="AO884" t="s">
        <v>6337</v>
      </c>
      <c r="AP884" t="s">
        <v>2480</v>
      </c>
    </row>
    <row r="885" spans="1:42" x14ac:dyDescent="0.25">
      <c r="A885">
        <v>884</v>
      </c>
      <c r="B885" t="s">
        <v>2921</v>
      </c>
      <c r="C885" t="s">
        <v>2921</v>
      </c>
      <c r="D885" t="s">
        <v>5435</v>
      </c>
      <c r="E885" t="s">
        <v>67</v>
      </c>
      <c r="F885" t="s">
        <v>68</v>
      </c>
      <c r="G885" t="s">
        <v>3845</v>
      </c>
      <c r="H885" t="s">
        <v>3846</v>
      </c>
      <c r="I885" t="s">
        <v>1608</v>
      </c>
      <c r="J885" t="s">
        <v>3841</v>
      </c>
      <c r="K885" t="s">
        <v>775</v>
      </c>
      <c r="L885" t="s">
        <v>5436</v>
      </c>
      <c r="M885" t="s">
        <v>5437</v>
      </c>
      <c r="Q885">
        <v>14</v>
      </c>
      <c r="R885" t="s">
        <v>2414</v>
      </c>
      <c r="S885" t="s">
        <v>2415</v>
      </c>
      <c r="T885">
        <v>3</v>
      </c>
      <c r="U885" t="s">
        <v>3137</v>
      </c>
      <c r="V885" t="s">
        <v>3136</v>
      </c>
      <c r="W885">
        <v>5</v>
      </c>
      <c r="X885" t="s">
        <v>2437</v>
      </c>
      <c r="Y885" t="s">
        <v>2438</v>
      </c>
      <c r="Z885">
        <v>1</v>
      </c>
      <c r="AF885">
        <v>302.28010410345382</v>
      </c>
      <c r="AG885">
        <v>5.5</v>
      </c>
      <c r="AH885">
        <v>11</v>
      </c>
      <c r="AI885">
        <v>648</v>
      </c>
      <c r="AJ885">
        <v>84.644560114948632</v>
      </c>
      <c r="AK885">
        <v>552.20000000000005</v>
      </c>
      <c r="AM885">
        <v>90.502384160928074</v>
      </c>
      <c r="AN885">
        <v>112</v>
      </c>
      <c r="AO885" t="s">
        <v>6338</v>
      </c>
      <c r="AP885" t="s">
        <v>5435</v>
      </c>
    </row>
    <row r="886" spans="1:42" x14ac:dyDescent="0.25">
      <c r="A886">
        <v>885</v>
      </c>
      <c r="B886" t="s">
        <v>156</v>
      </c>
      <c r="C886" t="s">
        <v>156</v>
      </c>
      <c r="D886" t="s">
        <v>3744</v>
      </c>
      <c r="E886" t="s">
        <v>5312</v>
      </c>
      <c r="F886" t="s">
        <v>157</v>
      </c>
      <c r="G886" t="s">
        <v>158</v>
      </c>
      <c r="H886" t="s">
        <v>159</v>
      </c>
      <c r="J886" t="s">
        <v>3094</v>
      </c>
      <c r="K886" t="s">
        <v>3095</v>
      </c>
      <c r="L886" t="s">
        <v>5298</v>
      </c>
      <c r="M886" t="s">
        <v>5299</v>
      </c>
      <c r="R886" t="s">
        <v>73</v>
      </c>
      <c r="S886" t="s">
        <v>73</v>
      </c>
      <c r="U886" t="s">
        <v>73</v>
      </c>
      <c r="V886" t="s">
        <v>73</v>
      </c>
      <c r="X886" t="s">
        <v>73</v>
      </c>
      <c r="Y886" t="s">
        <v>73</v>
      </c>
      <c r="AA886" t="s">
        <v>73</v>
      </c>
      <c r="AB886" t="s">
        <v>73</v>
      </c>
      <c r="AF886">
        <v>302.17534776441948</v>
      </c>
      <c r="AG886">
        <v>5.8888888888888999</v>
      </c>
      <c r="AH886">
        <v>8</v>
      </c>
      <c r="AI886">
        <v>757</v>
      </c>
      <c r="AJ886">
        <v>63.256559244416039</v>
      </c>
      <c r="AK886">
        <v>590.48888888889007</v>
      </c>
      <c r="AM886">
        <v>88.559182942182446</v>
      </c>
      <c r="AN886">
        <v>0</v>
      </c>
      <c r="AO886" t="s">
        <v>6339</v>
      </c>
      <c r="AP886" t="s">
        <v>3744</v>
      </c>
    </row>
    <row r="887" spans="1:42" x14ac:dyDescent="0.25">
      <c r="A887">
        <v>886</v>
      </c>
      <c r="B887" t="s">
        <v>3357</v>
      </c>
      <c r="C887" t="s">
        <v>3357</v>
      </c>
      <c r="D887" t="s">
        <v>3358</v>
      </c>
      <c r="E887" t="s">
        <v>169</v>
      </c>
      <c r="F887" t="s">
        <v>170</v>
      </c>
      <c r="G887" t="s">
        <v>79</v>
      </c>
      <c r="H887" t="s">
        <v>80</v>
      </c>
      <c r="I887" t="s">
        <v>4834</v>
      </c>
      <c r="J887" t="s">
        <v>171</v>
      </c>
      <c r="K887" t="s">
        <v>172</v>
      </c>
      <c r="L887" t="s">
        <v>4835</v>
      </c>
      <c r="M887" t="s">
        <v>4836</v>
      </c>
      <c r="R887" t="s">
        <v>2420</v>
      </c>
      <c r="S887" t="s">
        <v>2421</v>
      </c>
      <c r="T887">
        <v>5</v>
      </c>
      <c r="U887" t="s">
        <v>73</v>
      </c>
      <c r="V887" t="s">
        <v>73</v>
      </c>
      <c r="X887" t="s">
        <v>73</v>
      </c>
      <c r="Y887" t="s">
        <v>73</v>
      </c>
      <c r="AA887" t="s">
        <v>73</v>
      </c>
      <c r="AB887" t="s">
        <v>73</v>
      </c>
      <c r="AF887">
        <v>301.5179999037457</v>
      </c>
      <c r="AG887">
        <v>5</v>
      </c>
      <c r="AH887">
        <v>2</v>
      </c>
      <c r="AI887">
        <v>543</v>
      </c>
      <c r="AJ887">
        <v>112.57555544860635</v>
      </c>
      <c r="AK887">
        <v>500.4</v>
      </c>
      <c r="AM887">
        <v>73.605777628048898</v>
      </c>
      <c r="AN887">
        <v>336</v>
      </c>
      <c r="AO887" t="s">
        <v>6340</v>
      </c>
      <c r="AP887" t="s">
        <v>3358</v>
      </c>
    </row>
    <row r="888" spans="1:42" x14ac:dyDescent="0.25">
      <c r="A888">
        <v>887</v>
      </c>
      <c r="B888" t="s">
        <v>1501</v>
      </c>
      <c r="C888" t="s">
        <v>1501</v>
      </c>
      <c r="D888" t="s">
        <v>2715</v>
      </c>
      <c r="E888" t="s">
        <v>471</v>
      </c>
      <c r="F888" t="s">
        <v>472</v>
      </c>
      <c r="G888" t="s">
        <v>93</v>
      </c>
      <c r="H888" t="s">
        <v>94</v>
      </c>
      <c r="I888" t="s">
        <v>3236</v>
      </c>
      <c r="J888" t="s">
        <v>3243</v>
      </c>
      <c r="K888" t="s">
        <v>3235</v>
      </c>
      <c r="Q888">
        <v>14</v>
      </c>
      <c r="R888" t="s">
        <v>2409</v>
      </c>
      <c r="S888" t="s">
        <v>2410</v>
      </c>
      <c r="T888">
        <v>2</v>
      </c>
      <c r="U888" t="s">
        <v>3137</v>
      </c>
      <c r="V888" t="s">
        <v>3136</v>
      </c>
      <c r="W888">
        <v>5</v>
      </c>
      <c r="X888" t="s">
        <v>2440</v>
      </c>
      <c r="Y888" t="s">
        <v>2441</v>
      </c>
      <c r="Z888">
        <v>2</v>
      </c>
      <c r="AF888">
        <v>301.48263094946049</v>
      </c>
      <c r="AG888">
        <v>5.875</v>
      </c>
      <c r="AH888">
        <v>7</v>
      </c>
      <c r="AI888">
        <v>756</v>
      </c>
      <c r="AJ888">
        <v>63.369589943844993</v>
      </c>
      <c r="AK888">
        <v>588.9</v>
      </c>
      <c r="AM888">
        <v>60.71742592138299</v>
      </c>
      <c r="AN888">
        <v>112</v>
      </c>
      <c r="AO888" t="s">
        <v>6341</v>
      </c>
      <c r="AP888" t="s">
        <v>2715</v>
      </c>
    </row>
    <row r="889" spans="1:42" x14ac:dyDescent="0.25">
      <c r="A889">
        <v>888</v>
      </c>
      <c r="B889" t="s">
        <v>2051</v>
      </c>
      <c r="C889" t="s">
        <v>2051</v>
      </c>
      <c r="D889" t="s">
        <v>2052</v>
      </c>
      <c r="E889" t="s">
        <v>199</v>
      </c>
      <c r="F889" t="s">
        <v>200</v>
      </c>
      <c r="I889" t="s">
        <v>2053</v>
      </c>
      <c r="J889" t="s">
        <v>303</v>
      </c>
      <c r="K889" t="s">
        <v>304</v>
      </c>
      <c r="L889" t="s">
        <v>5225</v>
      </c>
      <c r="M889" t="s">
        <v>5226</v>
      </c>
      <c r="R889" t="s">
        <v>73</v>
      </c>
      <c r="S889" t="s">
        <v>73</v>
      </c>
      <c r="U889" t="s">
        <v>73</v>
      </c>
      <c r="V889" t="s">
        <v>73</v>
      </c>
      <c r="X889" t="s">
        <v>73</v>
      </c>
      <c r="Y889" t="s">
        <v>73</v>
      </c>
      <c r="AA889" t="s">
        <v>73</v>
      </c>
      <c r="AB889" t="s">
        <v>73</v>
      </c>
      <c r="AF889">
        <v>301.13281902437905</v>
      </c>
      <c r="AG889">
        <v>5.9166666666666998</v>
      </c>
      <c r="AH889">
        <v>11</v>
      </c>
      <c r="AI889">
        <v>765</v>
      </c>
      <c r="AJ889">
        <v>60.221650767826738</v>
      </c>
      <c r="AK889">
        <v>593.86666666666997</v>
      </c>
      <c r="AL889">
        <v>2005</v>
      </c>
      <c r="AM889">
        <v>84.310311074957426</v>
      </c>
      <c r="AN889">
        <v>0</v>
      </c>
      <c r="AO889" t="s">
        <v>6342</v>
      </c>
      <c r="AP889" t="s">
        <v>2052</v>
      </c>
    </row>
    <row r="890" spans="1:42" x14ac:dyDescent="0.25">
      <c r="A890">
        <v>889</v>
      </c>
      <c r="B890" t="s">
        <v>875</v>
      </c>
      <c r="C890" t="s">
        <v>875</v>
      </c>
      <c r="D890" t="s">
        <v>3013</v>
      </c>
      <c r="E890" t="s">
        <v>199</v>
      </c>
      <c r="F890" t="s">
        <v>200</v>
      </c>
      <c r="J890" t="s">
        <v>452</v>
      </c>
      <c r="K890" t="s">
        <v>453</v>
      </c>
      <c r="L890" t="s">
        <v>5250</v>
      </c>
      <c r="M890" t="s">
        <v>5265</v>
      </c>
      <c r="R890" t="s">
        <v>73</v>
      </c>
      <c r="S890" t="s">
        <v>73</v>
      </c>
      <c r="U890" t="s">
        <v>73</v>
      </c>
      <c r="V890" t="s">
        <v>73</v>
      </c>
      <c r="X890" t="s">
        <v>73</v>
      </c>
      <c r="Y890" t="s">
        <v>73</v>
      </c>
      <c r="AA890" t="s">
        <v>73</v>
      </c>
      <c r="AB890" t="s">
        <v>73</v>
      </c>
      <c r="AF890">
        <v>301</v>
      </c>
      <c r="AG890">
        <v>7</v>
      </c>
      <c r="AH890">
        <v>10</v>
      </c>
      <c r="AI890">
        <v>977</v>
      </c>
      <c r="AJ890">
        <v>0</v>
      </c>
      <c r="AK890">
        <v>702</v>
      </c>
      <c r="AM890">
        <v>0</v>
      </c>
      <c r="AN890">
        <v>0</v>
      </c>
      <c r="AO890" t="s">
        <v>6343</v>
      </c>
      <c r="AP890" t="s">
        <v>3013</v>
      </c>
    </row>
    <row r="891" spans="1:42" x14ac:dyDescent="0.25">
      <c r="A891">
        <v>890</v>
      </c>
      <c r="B891" t="s">
        <v>3785</v>
      </c>
      <c r="C891" t="s">
        <v>3785</v>
      </c>
      <c r="D891" t="s">
        <v>4271</v>
      </c>
      <c r="E891" t="s">
        <v>351</v>
      </c>
      <c r="F891" t="s">
        <v>352</v>
      </c>
      <c r="G891" t="s">
        <v>257</v>
      </c>
      <c r="H891" t="s">
        <v>258</v>
      </c>
      <c r="J891" t="s">
        <v>459</v>
      </c>
      <c r="K891" t="s">
        <v>612</v>
      </c>
      <c r="L891">
        <v>50.186207944099998</v>
      </c>
      <c r="M891">
        <v>5.3135978323800002</v>
      </c>
      <c r="R891" t="s">
        <v>73</v>
      </c>
      <c r="S891" t="s">
        <v>73</v>
      </c>
      <c r="U891" t="s">
        <v>73</v>
      </c>
      <c r="V891" t="s">
        <v>73</v>
      </c>
      <c r="X891" t="s">
        <v>73</v>
      </c>
      <c r="Y891" t="s">
        <v>73</v>
      </c>
      <c r="AA891" t="s">
        <v>73</v>
      </c>
      <c r="AB891" t="s">
        <v>73</v>
      </c>
      <c r="AF891">
        <v>300.89999999999998</v>
      </c>
      <c r="AG891">
        <v>7</v>
      </c>
      <c r="AH891">
        <v>9</v>
      </c>
      <c r="AI891">
        <v>978</v>
      </c>
      <c r="AJ891">
        <v>0</v>
      </c>
      <c r="AK891">
        <v>701.8</v>
      </c>
      <c r="AM891">
        <v>0</v>
      </c>
      <c r="AN891">
        <v>0</v>
      </c>
      <c r="AO891" t="s">
        <v>6344</v>
      </c>
      <c r="AP891" t="s">
        <v>4271</v>
      </c>
    </row>
    <row r="892" spans="1:42" x14ac:dyDescent="0.25">
      <c r="A892">
        <v>891</v>
      </c>
      <c r="B892" t="s">
        <v>3311</v>
      </c>
      <c r="C892" t="s">
        <v>3311</v>
      </c>
      <c r="D892" t="s">
        <v>3312</v>
      </c>
      <c r="E892" t="s">
        <v>199</v>
      </c>
      <c r="F892" t="s">
        <v>200</v>
      </c>
      <c r="I892" t="s">
        <v>3313</v>
      </c>
      <c r="J892" t="s">
        <v>411</v>
      </c>
      <c r="K892" t="s">
        <v>412</v>
      </c>
      <c r="L892" t="s">
        <v>5257</v>
      </c>
      <c r="M892" t="s">
        <v>5258</v>
      </c>
      <c r="R892" t="s">
        <v>73</v>
      </c>
      <c r="S892" t="s">
        <v>73</v>
      </c>
      <c r="U892" t="s">
        <v>73</v>
      </c>
      <c r="V892" t="s">
        <v>73</v>
      </c>
      <c r="X892" t="s">
        <v>73</v>
      </c>
      <c r="Y892" t="s">
        <v>73</v>
      </c>
      <c r="AA892" t="s">
        <v>73</v>
      </c>
      <c r="AB892" t="s">
        <v>73</v>
      </c>
      <c r="AF892">
        <v>300.7</v>
      </c>
      <c r="AG892">
        <v>7</v>
      </c>
      <c r="AH892">
        <v>7</v>
      </c>
      <c r="AI892">
        <v>979</v>
      </c>
      <c r="AJ892">
        <v>0</v>
      </c>
      <c r="AK892">
        <v>701.4</v>
      </c>
      <c r="AM892">
        <v>0</v>
      </c>
      <c r="AN892">
        <v>0</v>
      </c>
      <c r="AO892" t="s">
        <v>6345</v>
      </c>
      <c r="AP892" t="s">
        <v>3312</v>
      </c>
    </row>
    <row r="893" spans="1:42" x14ac:dyDescent="0.25">
      <c r="A893">
        <v>892</v>
      </c>
      <c r="B893" t="s">
        <v>3712</v>
      </c>
      <c r="C893" t="s">
        <v>3712</v>
      </c>
      <c r="D893" t="s">
        <v>3769</v>
      </c>
      <c r="E893" t="s">
        <v>351</v>
      </c>
      <c r="F893" t="s">
        <v>352</v>
      </c>
      <c r="G893" t="s">
        <v>257</v>
      </c>
      <c r="H893" t="s">
        <v>258</v>
      </c>
      <c r="I893" t="s">
        <v>3793</v>
      </c>
      <c r="J893" t="s">
        <v>353</v>
      </c>
      <c r="K893" t="s">
        <v>354</v>
      </c>
      <c r="L893">
        <v>50.048800188400001</v>
      </c>
      <c r="M893">
        <v>4.31297943659</v>
      </c>
      <c r="R893" t="s">
        <v>73</v>
      </c>
      <c r="S893" t="s">
        <v>73</v>
      </c>
      <c r="U893" t="s">
        <v>73</v>
      </c>
      <c r="V893" t="s">
        <v>73</v>
      </c>
      <c r="X893" t="s">
        <v>73</v>
      </c>
      <c r="Y893" t="s">
        <v>73</v>
      </c>
      <c r="AA893" t="s">
        <v>73</v>
      </c>
      <c r="AB893" t="s">
        <v>73</v>
      </c>
      <c r="AF893">
        <v>300.5335307498849</v>
      </c>
      <c r="AG893">
        <v>6.375</v>
      </c>
      <c r="AH893">
        <v>7</v>
      </c>
      <c r="AI893">
        <v>918</v>
      </c>
      <c r="AJ893">
        <v>34.537256388761001</v>
      </c>
      <c r="AK893">
        <v>638.9</v>
      </c>
      <c r="AM893">
        <v>48.352158944265398</v>
      </c>
      <c r="AN893">
        <v>0</v>
      </c>
      <c r="AO893" t="s">
        <v>6346</v>
      </c>
      <c r="AP893" t="s">
        <v>3769</v>
      </c>
    </row>
    <row r="894" spans="1:42" x14ac:dyDescent="0.25">
      <c r="A894">
        <v>893</v>
      </c>
      <c r="B894" t="s">
        <v>1697</v>
      </c>
      <c r="C894" t="s">
        <v>4108</v>
      </c>
      <c r="D894" t="s">
        <v>1698</v>
      </c>
      <c r="E894" t="s">
        <v>282</v>
      </c>
      <c r="F894" t="s">
        <v>283</v>
      </c>
      <c r="G894" t="s">
        <v>3167</v>
      </c>
      <c r="H894" t="s">
        <v>3166</v>
      </c>
      <c r="I894" t="s">
        <v>1631</v>
      </c>
      <c r="J894" t="s">
        <v>518</v>
      </c>
      <c r="K894" t="s">
        <v>519</v>
      </c>
      <c r="Q894">
        <v>14</v>
      </c>
      <c r="R894" t="s">
        <v>2414</v>
      </c>
      <c r="S894" t="s">
        <v>2415</v>
      </c>
      <c r="T894">
        <v>3</v>
      </c>
      <c r="U894" t="s">
        <v>73</v>
      </c>
      <c r="V894" t="s">
        <v>73</v>
      </c>
      <c r="X894" t="s">
        <v>2437</v>
      </c>
      <c r="Y894" t="s">
        <v>2438</v>
      </c>
      <c r="Z894">
        <v>1</v>
      </c>
      <c r="AA894" t="s">
        <v>73</v>
      </c>
      <c r="AB894" t="s">
        <v>73</v>
      </c>
      <c r="AF894">
        <v>299.2</v>
      </c>
      <c r="AG894">
        <v>6.25</v>
      </c>
      <c r="AH894">
        <v>7</v>
      </c>
      <c r="AI894">
        <v>896</v>
      </c>
      <c r="AJ894">
        <v>40</v>
      </c>
      <c r="AK894">
        <v>626.4</v>
      </c>
      <c r="AM894">
        <v>0</v>
      </c>
      <c r="AN894">
        <v>224</v>
      </c>
      <c r="AO894" t="s">
        <v>6347</v>
      </c>
      <c r="AP894" t="s">
        <v>1698</v>
      </c>
    </row>
    <row r="895" spans="1:42" x14ac:dyDescent="0.25">
      <c r="A895">
        <v>894</v>
      </c>
      <c r="B895" t="s">
        <v>2750</v>
      </c>
      <c r="C895" t="s">
        <v>5240</v>
      </c>
      <c r="D895" t="s">
        <v>5239</v>
      </c>
      <c r="E895" t="s">
        <v>199</v>
      </c>
      <c r="F895" t="s">
        <v>200</v>
      </c>
      <c r="J895" t="s">
        <v>912</v>
      </c>
      <c r="K895" t="s">
        <v>913</v>
      </c>
      <c r="L895" t="s">
        <v>5241</v>
      </c>
      <c r="M895" t="s">
        <v>5242</v>
      </c>
      <c r="R895" t="s">
        <v>73</v>
      </c>
      <c r="S895" t="s">
        <v>73</v>
      </c>
      <c r="U895" t="s">
        <v>73</v>
      </c>
      <c r="V895" t="s">
        <v>73</v>
      </c>
      <c r="X895" t="s">
        <v>73</v>
      </c>
      <c r="Y895" t="s">
        <v>73</v>
      </c>
      <c r="AA895" t="s">
        <v>73</v>
      </c>
      <c r="AB895" t="s">
        <v>73</v>
      </c>
      <c r="AF895">
        <v>298.06446674465815</v>
      </c>
      <c r="AG895">
        <v>6.4</v>
      </c>
      <c r="AH895">
        <v>9</v>
      </c>
      <c r="AI895">
        <v>926</v>
      </c>
      <c r="AJ895">
        <v>30.182740827397939</v>
      </c>
      <c r="AK895">
        <v>641.79999999999995</v>
      </c>
      <c r="AM895">
        <v>42.25583715835711</v>
      </c>
      <c r="AN895">
        <v>0</v>
      </c>
      <c r="AO895" t="s">
        <v>6348</v>
      </c>
      <c r="AP895" t="s">
        <v>5239</v>
      </c>
    </row>
    <row r="896" spans="1:42" x14ac:dyDescent="0.25">
      <c r="A896">
        <v>895</v>
      </c>
      <c r="B896" t="s">
        <v>1100</v>
      </c>
      <c r="C896" t="s">
        <v>1100</v>
      </c>
      <c r="D896" t="s">
        <v>1101</v>
      </c>
      <c r="E896" t="s">
        <v>137</v>
      </c>
      <c r="F896" t="s">
        <v>138</v>
      </c>
      <c r="G896" t="s">
        <v>139</v>
      </c>
      <c r="H896" t="s">
        <v>140</v>
      </c>
      <c r="I896" t="s">
        <v>1102</v>
      </c>
      <c r="J896" t="s">
        <v>651</v>
      </c>
      <c r="K896" t="s">
        <v>652</v>
      </c>
      <c r="L896" t="s">
        <v>4638</v>
      </c>
      <c r="M896" t="s">
        <v>4639</v>
      </c>
      <c r="Q896">
        <v>12</v>
      </c>
      <c r="R896" t="s">
        <v>2406</v>
      </c>
      <c r="S896" t="s">
        <v>2407</v>
      </c>
      <c r="T896">
        <v>1</v>
      </c>
      <c r="U896" t="s">
        <v>2430</v>
      </c>
      <c r="V896" t="s">
        <v>2431</v>
      </c>
      <c r="W896">
        <v>6</v>
      </c>
      <c r="X896" t="s">
        <v>2446</v>
      </c>
      <c r="Y896" t="s">
        <v>2447</v>
      </c>
      <c r="Z896">
        <v>4</v>
      </c>
      <c r="AF896">
        <v>298.03694984779497</v>
      </c>
      <c r="AG896">
        <v>5.8666666666667</v>
      </c>
      <c r="AH896">
        <v>14</v>
      </c>
      <c r="AI896">
        <v>795</v>
      </c>
      <c r="AJ896">
        <v>59.226240571622192</v>
      </c>
      <c r="AK896">
        <v>589.46666666666999</v>
      </c>
      <c r="AM896">
        <v>82.916736800271067</v>
      </c>
      <c r="AN896">
        <v>0</v>
      </c>
      <c r="AO896" t="s">
        <v>6349</v>
      </c>
      <c r="AP896" t="s">
        <v>1101</v>
      </c>
    </row>
    <row r="897" spans="1:42" x14ac:dyDescent="0.25">
      <c r="A897">
        <v>896</v>
      </c>
      <c r="B897" t="s">
        <v>647</v>
      </c>
      <c r="C897" t="s">
        <v>647</v>
      </c>
      <c r="D897" t="s">
        <v>648</v>
      </c>
      <c r="E897" t="s">
        <v>199</v>
      </c>
      <c r="F897" t="s">
        <v>200</v>
      </c>
      <c r="J897" t="s">
        <v>649</v>
      </c>
      <c r="K897" t="s">
        <v>650</v>
      </c>
      <c r="L897" t="s">
        <v>4566</v>
      </c>
      <c r="M897" t="s">
        <v>4567</v>
      </c>
      <c r="R897" t="s">
        <v>73</v>
      </c>
      <c r="S897" t="s">
        <v>73</v>
      </c>
      <c r="U897" t="s">
        <v>73</v>
      </c>
      <c r="V897" t="s">
        <v>73</v>
      </c>
      <c r="X897" t="s">
        <v>73</v>
      </c>
      <c r="Y897" t="s">
        <v>73</v>
      </c>
      <c r="AA897" t="s">
        <v>73</v>
      </c>
      <c r="AB897" t="s">
        <v>73</v>
      </c>
      <c r="AF897">
        <v>297.95329292805394</v>
      </c>
      <c r="AG897">
        <v>5.875</v>
      </c>
      <c r="AH897">
        <v>7</v>
      </c>
      <c r="AI897">
        <v>793</v>
      </c>
      <c r="AJ897">
        <v>59.448103253393292</v>
      </c>
      <c r="AK897">
        <v>588.9</v>
      </c>
      <c r="AM897">
        <v>83.227344554750601</v>
      </c>
      <c r="AN897">
        <v>0</v>
      </c>
      <c r="AO897" t="s">
        <v>6350</v>
      </c>
      <c r="AP897" t="s">
        <v>648</v>
      </c>
    </row>
    <row r="898" spans="1:42" x14ac:dyDescent="0.25">
      <c r="A898">
        <v>897</v>
      </c>
      <c r="B898" t="s">
        <v>3323</v>
      </c>
      <c r="C898" t="s">
        <v>4062</v>
      </c>
      <c r="D898" t="s">
        <v>3932</v>
      </c>
      <c r="E898" t="s">
        <v>137</v>
      </c>
      <c r="F898" t="s">
        <v>138</v>
      </c>
      <c r="G898" t="s">
        <v>139</v>
      </c>
      <c r="H898" t="s">
        <v>140</v>
      </c>
      <c r="I898" t="s">
        <v>3933</v>
      </c>
      <c r="J898" t="s">
        <v>142</v>
      </c>
      <c r="K898" t="s">
        <v>143</v>
      </c>
      <c r="L898" t="s">
        <v>4585</v>
      </c>
      <c r="M898" t="s">
        <v>4586</v>
      </c>
      <c r="R898" t="s">
        <v>2420</v>
      </c>
      <c r="S898" t="s">
        <v>2421</v>
      </c>
      <c r="T898">
        <v>5</v>
      </c>
      <c r="U898" t="s">
        <v>2432</v>
      </c>
      <c r="V898" t="s">
        <v>2433</v>
      </c>
      <c r="W898">
        <v>7</v>
      </c>
      <c r="X898" t="s">
        <v>2440</v>
      </c>
      <c r="Y898" t="s">
        <v>2441</v>
      </c>
      <c r="Z898">
        <v>2</v>
      </c>
      <c r="AA898" t="s">
        <v>73</v>
      </c>
      <c r="AB898" t="s">
        <v>73</v>
      </c>
      <c r="AF898">
        <v>297.32813186496838</v>
      </c>
      <c r="AG898">
        <v>5.7142857142857002</v>
      </c>
      <c r="AH898">
        <v>6</v>
      </c>
      <c r="AI898">
        <v>746</v>
      </c>
      <c r="AJ898">
        <v>67.793162389648202</v>
      </c>
      <c r="AK898">
        <v>572.62857142857001</v>
      </c>
      <c r="AM898">
        <v>94.910427345507486</v>
      </c>
      <c r="AN898">
        <v>0</v>
      </c>
      <c r="AO898" t="s">
        <v>6351</v>
      </c>
      <c r="AP898" t="s">
        <v>3932</v>
      </c>
    </row>
    <row r="899" spans="1:42" x14ac:dyDescent="0.25">
      <c r="A899">
        <v>898</v>
      </c>
      <c r="B899" t="s">
        <v>5040</v>
      </c>
      <c r="C899" t="s">
        <v>5040</v>
      </c>
      <c r="D899" t="s">
        <v>5041</v>
      </c>
      <c r="E899" t="s">
        <v>830</v>
      </c>
      <c r="F899" t="s">
        <v>831</v>
      </c>
      <c r="G899" t="s">
        <v>632</v>
      </c>
      <c r="H899" t="s">
        <v>633</v>
      </c>
      <c r="R899" t="s">
        <v>73</v>
      </c>
      <c r="S899" t="s">
        <v>73</v>
      </c>
      <c r="U899" t="s">
        <v>73</v>
      </c>
      <c r="V899" t="s">
        <v>73</v>
      </c>
      <c r="X899" t="s">
        <v>73</v>
      </c>
      <c r="Y899" t="s">
        <v>73</v>
      </c>
      <c r="AA899" t="s">
        <v>73</v>
      </c>
      <c r="AB899" t="s">
        <v>73</v>
      </c>
      <c r="AF899">
        <v>297.10000000000002</v>
      </c>
      <c r="AG899">
        <v>5.5</v>
      </c>
      <c r="AH899">
        <v>1</v>
      </c>
      <c r="AI899">
        <v>682</v>
      </c>
      <c r="AJ899">
        <v>80</v>
      </c>
      <c r="AK899">
        <v>550.20000000000005</v>
      </c>
      <c r="AM899">
        <v>0</v>
      </c>
      <c r="AN899">
        <v>448</v>
      </c>
      <c r="AO899" t="s">
        <v>6352</v>
      </c>
      <c r="AP899" t="s">
        <v>5041</v>
      </c>
    </row>
    <row r="900" spans="1:42" x14ac:dyDescent="0.25">
      <c r="A900">
        <v>899</v>
      </c>
      <c r="B900" t="s">
        <v>5043</v>
      </c>
      <c r="C900" t="s">
        <v>5043</v>
      </c>
      <c r="D900" t="s">
        <v>5044</v>
      </c>
      <c r="E900" t="s">
        <v>830</v>
      </c>
      <c r="F900" t="s">
        <v>831</v>
      </c>
      <c r="G900" t="s">
        <v>632</v>
      </c>
      <c r="H900" t="s">
        <v>633</v>
      </c>
      <c r="R900" t="s">
        <v>73</v>
      </c>
      <c r="S900" t="s">
        <v>73</v>
      </c>
      <c r="U900" t="s">
        <v>73</v>
      </c>
      <c r="V900" t="s">
        <v>73</v>
      </c>
      <c r="X900" t="s">
        <v>73</v>
      </c>
      <c r="Y900" t="s">
        <v>73</v>
      </c>
      <c r="AA900" t="s">
        <v>73</v>
      </c>
      <c r="AB900" t="s">
        <v>73</v>
      </c>
      <c r="AF900">
        <v>297.10000000000002</v>
      </c>
      <c r="AG900">
        <v>5.5</v>
      </c>
      <c r="AH900">
        <v>1</v>
      </c>
      <c r="AI900">
        <v>683</v>
      </c>
      <c r="AJ900">
        <v>80</v>
      </c>
      <c r="AK900">
        <v>550.20000000000005</v>
      </c>
      <c r="AM900">
        <v>0</v>
      </c>
      <c r="AN900">
        <v>448</v>
      </c>
      <c r="AO900" t="s">
        <v>6353</v>
      </c>
      <c r="AP900" t="s">
        <v>5044</v>
      </c>
    </row>
    <row r="901" spans="1:42" x14ac:dyDescent="0.25">
      <c r="A901">
        <v>900</v>
      </c>
      <c r="B901" t="s">
        <v>4050</v>
      </c>
      <c r="C901" t="s">
        <v>4050</v>
      </c>
      <c r="D901" t="s">
        <v>4871</v>
      </c>
      <c r="E901" t="s">
        <v>3643</v>
      </c>
      <c r="F901" t="s">
        <v>786</v>
      </c>
      <c r="G901" t="s">
        <v>60</v>
      </c>
      <c r="H901" t="s">
        <v>61</v>
      </c>
      <c r="I901" t="s">
        <v>4049</v>
      </c>
      <c r="R901" t="s">
        <v>2420</v>
      </c>
      <c r="S901" t="s">
        <v>2421</v>
      </c>
      <c r="T901">
        <v>5</v>
      </c>
      <c r="U901" t="s">
        <v>73</v>
      </c>
      <c r="V901" t="s">
        <v>73</v>
      </c>
      <c r="X901" t="s">
        <v>73</v>
      </c>
      <c r="Y901" t="s">
        <v>73</v>
      </c>
      <c r="AA901" t="s">
        <v>73</v>
      </c>
      <c r="AB901" t="s">
        <v>73</v>
      </c>
      <c r="AF901">
        <v>297.04792572228348</v>
      </c>
      <c r="AG901">
        <v>4.5999999999999996</v>
      </c>
      <c r="AH901">
        <v>4</v>
      </c>
      <c r="AI901">
        <v>459</v>
      </c>
      <c r="AJ901">
        <v>129.60880635809275</v>
      </c>
      <c r="AK901">
        <v>460.79999999999995</v>
      </c>
      <c r="AM901">
        <v>69.452328901329864</v>
      </c>
      <c r="AN901">
        <v>448</v>
      </c>
      <c r="AO901" t="s">
        <v>6354</v>
      </c>
      <c r="AP901" t="s">
        <v>4871</v>
      </c>
    </row>
    <row r="902" spans="1:42" x14ac:dyDescent="0.25">
      <c r="A902">
        <v>901</v>
      </c>
      <c r="B902" t="s">
        <v>3346</v>
      </c>
      <c r="C902" t="s">
        <v>3346</v>
      </c>
      <c r="D902" t="s">
        <v>4837</v>
      </c>
      <c r="E902" t="s">
        <v>169</v>
      </c>
      <c r="F902" t="s">
        <v>170</v>
      </c>
      <c r="G902" t="s">
        <v>79</v>
      </c>
      <c r="H902" t="s">
        <v>80</v>
      </c>
      <c r="I902" t="s">
        <v>4837</v>
      </c>
      <c r="L902" t="s">
        <v>4838</v>
      </c>
      <c r="M902" t="s">
        <v>4839</v>
      </c>
      <c r="Q902">
        <v>13</v>
      </c>
      <c r="R902" t="s">
        <v>73</v>
      </c>
      <c r="S902" t="s">
        <v>73</v>
      </c>
      <c r="U902" t="s">
        <v>73</v>
      </c>
      <c r="V902" t="s">
        <v>73</v>
      </c>
      <c r="X902" t="s">
        <v>73</v>
      </c>
      <c r="Y902" t="s">
        <v>73</v>
      </c>
      <c r="AA902" t="s">
        <v>73</v>
      </c>
      <c r="AB902" t="s">
        <v>73</v>
      </c>
      <c r="AE902" t="s">
        <v>4840</v>
      </c>
      <c r="AF902">
        <v>296.1121082865763</v>
      </c>
      <c r="AG902">
        <v>5</v>
      </c>
      <c r="AH902">
        <v>1</v>
      </c>
      <c r="AI902">
        <v>565</v>
      </c>
      <c r="AJ902">
        <v>106.68012031841812</v>
      </c>
      <c r="AK902">
        <v>500.2</v>
      </c>
      <c r="AM902">
        <v>65.352168445785381</v>
      </c>
      <c r="AN902">
        <v>336</v>
      </c>
      <c r="AO902" t="s">
        <v>6355</v>
      </c>
      <c r="AP902" t="s">
        <v>4837</v>
      </c>
    </row>
    <row r="903" spans="1:42" x14ac:dyDescent="0.25">
      <c r="A903">
        <v>902</v>
      </c>
      <c r="B903" t="s">
        <v>761</v>
      </c>
      <c r="C903" t="s">
        <v>761</v>
      </c>
      <c r="D903" t="s">
        <v>762</v>
      </c>
      <c r="E903" t="s">
        <v>3169</v>
      </c>
      <c r="F903" t="s">
        <v>379</v>
      </c>
      <c r="G903" t="s">
        <v>162</v>
      </c>
      <c r="H903" t="s">
        <v>163</v>
      </c>
      <c r="J903" t="s">
        <v>380</v>
      </c>
      <c r="K903" t="s">
        <v>381</v>
      </c>
      <c r="R903" t="s">
        <v>73</v>
      </c>
      <c r="S903" t="s">
        <v>73</v>
      </c>
      <c r="U903" t="s">
        <v>73</v>
      </c>
      <c r="V903" t="s">
        <v>73</v>
      </c>
      <c r="X903" t="s">
        <v>73</v>
      </c>
      <c r="Y903" t="s">
        <v>73</v>
      </c>
      <c r="AF903">
        <v>295.14009143923346</v>
      </c>
      <c r="AG903">
        <v>4.3333333333333002</v>
      </c>
      <c r="AH903">
        <v>8</v>
      </c>
      <c r="AI903">
        <v>401</v>
      </c>
      <c r="AJ903">
        <v>141.85936085840939</v>
      </c>
      <c r="AK903">
        <v>434.93333333333004</v>
      </c>
      <c r="AM903">
        <v>92.603105201773147</v>
      </c>
      <c r="AN903">
        <v>424</v>
      </c>
      <c r="AO903" t="s">
        <v>6356</v>
      </c>
      <c r="AP903" t="s">
        <v>762</v>
      </c>
    </row>
    <row r="904" spans="1:42" x14ac:dyDescent="0.25">
      <c r="A904">
        <v>903</v>
      </c>
      <c r="B904" t="s">
        <v>3318</v>
      </c>
      <c r="C904" t="s">
        <v>3318</v>
      </c>
      <c r="D904" t="s">
        <v>3528</v>
      </c>
      <c r="E904" t="s">
        <v>137</v>
      </c>
      <c r="F904" t="s">
        <v>138</v>
      </c>
      <c r="G904" t="s">
        <v>139</v>
      </c>
      <c r="H904" t="s">
        <v>140</v>
      </c>
      <c r="I904" t="s">
        <v>3540</v>
      </c>
      <c r="J904" t="s">
        <v>689</v>
      </c>
      <c r="K904" t="s">
        <v>690</v>
      </c>
      <c r="L904" t="s">
        <v>4628</v>
      </c>
      <c r="M904" t="s">
        <v>4629</v>
      </c>
      <c r="Q904">
        <v>12</v>
      </c>
      <c r="R904" t="s">
        <v>2409</v>
      </c>
      <c r="S904" t="s">
        <v>2410</v>
      </c>
      <c r="T904">
        <v>2</v>
      </c>
      <c r="U904" t="s">
        <v>2430</v>
      </c>
      <c r="V904" t="s">
        <v>2431</v>
      </c>
      <c r="W904">
        <v>6</v>
      </c>
      <c r="X904" t="s">
        <v>2440</v>
      </c>
      <c r="Y904" t="s">
        <v>2441</v>
      </c>
      <c r="Z904">
        <v>2</v>
      </c>
      <c r="AA904" t="s">
        <v>73</v>
      </c>
      <c r="AB904" t="s">
        <v>73</v>
      </c>
      <c r="AE904" t="s">
        <v>3541</v>
      </c>
      <c r="AF904">
        <v>294.30102865471599</v>
      </c>
      <c r="AG904">
        <v>6.3076923076923004</v>
      </c>
      <c r="AH904">
        <v>12</v>
      </c>
      <c r="AI904">
        <v>923</v>
      </c>
      <c r="AJ904">
        <v>30.79601474455664</v>
      </c>
      <c r="AK904">
        <v>633.16923076923001</v>
      </c>
      <c r="AM904">
        <v>43.114420642379294</v>
      </c>
      <c r="AN904">
        <v>0</v>
      </c>
      <c r="AO904" t="s">
        <v>6357</v>
      </c>
      <c r="AP904" t="s">
        <v>3528</v>
      </c>
    </row>
    <row r="905" spans="1:42" x14ac:dyDescent="0.25">
      <c r="A905">
        <v>904</v>
      </c>
      <c r="B905" t="s">
        <v>1008</v>
      </c>
      <c r="C905" t="s">
        <v>4107</v>
      </c>
      <c r="D905" t="s">
        <v>1009</v>
      </c>
      <c r="E905" t="s">
        <v>199</v>
      </c>
      <c r="F905" t="s">
        <v>200</v>
      </c>
      <c r="J905" t="s">
        <v>396</v>
      </c>
      <c r="K905" t="s">
        <v>397</v>
      </c>
      <c r="L905" t="s">
        <v>5142</v>
      </c>
      <c r="M905" t="s">
        <v>5143</v>
      </c>
      <c r="R905" t="s">
        <v>73</v>
      </c>
      <c r="S905" t="s">
        <v>73</v>
      </c>
      <c r="U905" t="s">
        <v>73</v>
      </c>
      <c r="V905" t="s">
        <v>73</v>
      </c>
      <c r="X905" t="s">
        <v>73</v>
      </c>
      <c r="Y905" t="s">
        <v>73</v>
      </c>
      <c r="AA905" t="s">
        <v>73</v>
      </c>
      <c r="AB905" t="s">
        <v>73</v>
      </c>
      <c r="AF905">
        <v>292.57044044009677</v>
      </c>
      <c r="AG905">
        <v>6.4166666666666998</v>
      </c>
      <c r="AH905">
        <v>11</v>
      </c>
      <c r="AI905">
        <v>940</v>
      </c>
      <c r="AJ905">
        <v>22.930119007513099</v>
      </c>
      <c r="AK905">
        <v>643.86666666666997</v>
      </c>
      <c r="AM905">
        <v>32.102166610518339</v>
      </c>
      <c r="AN905">
        <v>0</v>
      </c>
      <c r="AO905" t="s">
        <v>6358</v>
      </c>
      <c r="AP905" t="s">
        <v>1009</v>
      </c>
    </row>
    <row r="906" spans="1:42" x14ac:dyDescent="0.25">
      <c r="A906">
        <v>905</v>
      </c>
      <c r="B906" t="s">
        <v>1418</v>
      </c>
      <c r="C906" t="s">
        <v>1418</v>
      </c>
      <c r="D906" t="s">
        <v>5369</v>
      </c>
      <c r="E906" t="s">
        <v>67</v>
      </c>
      <c r="F906" t="s">
        <v>68</v>
      </c>
      <c r="G906" t="s">
        <v>3845</v>
      </c>
      <c r="H906" t="s">
        <v>3846</v>
      </c>
      <c r="J906" t="s">
        <v>71</v>
      </c>
      <c r="K906" t="s">
        <v>72</v>
      </c>
      <c r="L906" t="s">
        <v>5370</v>
      </c>
      <c r="M906" t="s">
        <v>5371</v>
      </c>
      <c r="R906" t="s">
        <v>73</v>
      </c>
      <c r="S906" t="s">
        <v>73</v>
      </c>
      <c r="U906" t="s">
        <v>73</v>
      </c>
      <c r="V906" t="s">
        <v>73</v>
      </c>
      <c r="X906" t="s">
        <v>73</v>
      </c>
      <c r="Y906" t="s">
        <v>73</v>
      </c>
      <c r="AA906" t="s">
        <v>73</v>
      </c>
      <c r="AB906" t="s">
        <v>73</v>
      </c>
      <c r="AF906">
        <v>291.82818003253027</v>
      </c>
      <c r="AG906">
        <v>6</v>
      </c>
      <c r="AH906">
        <v>5</v>
      </c>
      <c r="AI906">
        <v>822</v>
      </c>
      <c r="AJ906">
        <v>45.920200036144756</v>
      </c>
      <c r="AK906">
        <v>601</v>
      </c>
      <c r="AM906">
        <v>36.288280050602644</v>
      </c>
      <c r="AN906">
        <v>112</v>
      </c>
      <c r="AO906" t="s">
        <v>6359</v>
      </c>
      <c r="AP906" t="s">
        <v>5369</v>
      </c>
    </row>
    <row r="907" spans="1:42" x14ac:dyDescent="0.25">
      <c r="A907">
        <v>906</v>
      </c>
      <c r="B907" t="s">
        <v>1868</v>
      </c>
      <c r="C907" t="s">
        <v>1868</v>
      </c>
      <c r="D907" t="s">
        <v>3830</v>
      </c>
      <c r="E907" t="s">
        <v>67</v>
      </c>
      <c r="F907" t="s">
        <v>68</v>
      </c>
      <c r="G907" t="s">
        <v>3843</v>
      </c>
      <c r="H907" t="s">
        <v>3844</v>
      </c>
      <c r="J907" t="s">
        <v>580</v>
      </c>
      <c r="K907" t="s">
        <v>581</v>
      </c>
      <c r="L907" t="s">
        <v>5124</v>
      </c>
      <c r="M907" t="s">
        <v>5125</v>
      </c>
      <c r="R907" t="s">
        <v>2406</v>
      </c>
      <c r="S907" t="s">
        <v>2407</v>
      </c>
      <c r="T907">
        <v>1</v>
      </c>
      <c r="U907" t="s">
        <v>73</v>
      </c>
      <c r="V907" t="s">
        <v>73</v>
      </c>
      <c r="X907" t="s">
        <v>73</v>
      </c>
      <c r="Y907" t="s">
        <v>73</v>
      </c>
      <c r="AF907">
        <v>291.45857515522357</v>
      </c>
      <c r="AG907">
        <v>6.0833333333333002</v>
      </c>
      <c r="AH907">
        <v>11</v>
      </c>
      <c r="AI907">
        <v>844</v>
      </c>
      <c r="AJ907">
        <v>40.213231653953926</v>
      </c>
      <c r="AK907">
        <v>610.53333333333012</v>
      </c>
      <c r="AM907">
        <v>56.298524315535495</v>
      </c>
      <c r="AN907">
        <v>0</v>
      </c>
      <c r="AO907" t="s">
        <v>6360</v>
      </c>
      <c r="AP907" t="s">
        <v>3830</v>
      </c>
    </row>
    <row r="908" spans="1:42" x14ac:dyDescent="0.25">
      <c r="A908">
        <v>907</v>
      </c>
      <c r="B908" t="s">
        <v>2941</v>
      </c>
      <c r="C908" t="s">
        <v>2941</v>
      </c>
      <c r="D908" t="s">
        <v>2525</v>
      </c>
      <c r="E908" t="s">
        <v>199</v>
      </c>
      <c r="F908" t="s">
        <v>200</v>
      </c>
      <c r="J908" t="s">
        <v>649</v>
      </c>
      <c r="K908" t="s">
        <v>650</v>
      </c>
      <c r="L908" t="s">
        <v>5219</v>
      </c>
      <c r="M908" t="s">
        <v>5220</v>
      </c>
      <c r="R908" t="s">
        <v>73</v>
      </c>
      <c r="S908" t="s">
        <v>73</v>
      </c>
      <c r="U908" t="s">
        <v>73</v>
      </c>
      <c r="V908" t="s">
        <v>73</v>
      </c>
      <c r="X908" t="s">
        <v>73</v>
      </c>
      <c r="Y908" t="s">
        <v>73</v>
      </c>
      <c r="AA908" t="s">
        <v>73</v>
      </c>
      <c r="AB908" t="s">
        <v>73</v>
      </c>
      <c r="AF908">
        <v>291.0726710885931</v>
      </c>
      <c r="AG908">
        <v>5.25</v>
      </c>
      <c r="AH908">
        <v>7</v>
      </c>
      <c r="AI908">
        <v>643</v>
      </c>
      <c r="AJ908">
        <v>86.525190098436809</v>
      </c>
      <c r="AK908">
        <v>526.4</v>
      </c>
      <c r="AM908">
        <v>121.13526613781153</v>
      </c>
      <c r="AN908">
        <v>0</v>
      </c>
      <c r="AO908" t="s">
        <v>6361</v>
      </c>
      <c r="AP908" t="s">
        <v>2525</v>
      </c>
    </row>
    <row r="909" spans="1:42" x14ac:dyDescent="0.25">
      <c r="A909">
        <v>908</v>
      </c>
      <c r="B909" t="s">
        <v>3611</v>
      </c>
      <c r="C909" t="s">
        <v>3611</v>
      </c>
      <c r="D909" t="s">
        <v>4451</v>
      </c>
      <c r="E909" t="s">
        <v>666</v>
      </c>
      <c r="F909" t="s">
        <v>667</v>
      </c>
      <c r="G909" t="s">
        <v>60</v>
      </c>
      <c r="H909" t="s">
        <v>61</v>
      </c>
      <c r="J909" t="s">
        <v>3619</v>
      </c>
      <c r="K909" t="s">
        <v>3616</v>
      </c>
      <c r="L909" t="s">
        <v>4449</v>
      </c>
      <c r="M909" t="s">
        <v>4450</v>
      </c>
      <c r="Q909">
        <v>13</v>
      </c>
      <c r="R909" t="s">
        <v>2409</v>
      </c>
      <c r="S909" t="s">
        <v>2410</v>
      </c>
      <c r="T909">
        <v>2</v>
      </c>
      <c r="U909" t="s">
        <v>73</v>
      </c>
      <c r="V909" t="s">
        <v>73</v>
      </c>
      <c r="X909" t="s">
        <v>2446</v>
      </c>
      <c r="Y909" t="s">
        <v>2447</v>
      </c>
      <c r="Z909">
        <v>4</v>
      </c>
      <c r="AA909" t="s">
        <v>73</v>
      </c>
      <c r="AB909" t="s">
        <v>73</v>
      </c>
      <c r="AD909" t="s">
        <v>3631</v>
      </c>
      <c r="AF909">
        <v>290.31428571428501</v>
      </c>
      <c r="AG909">
        <v>5.7142857142857002</v>
      </c>
      <c r="AH909">
        <v>6</v>
      </c>
      <c r="AI909">
        <v>776</v>
      </c>
      <c r="AJ909">
        <v>60.000000000000007</v>
      </c>
      <c r="AK909">
        <v>572.62857142857001</v>
      </c>
      <c r="AM909">
        <v>0</v>
      </c>
      <c r="AN909">
        <v>336</v>
      </c>
      <c r="AO909" t="s">
        <v>6362</v>
      </c>
      <c r="AP909" t="s">
        <v>4451</v>
      </c>
    </row>
    <row r="910" spans="1:42" x14ac:dyDescent="0.25">
      <c r="A910">
        <v>909</v>
      </c>
      <c r="B910" t="s">
        <v>3319</v>
      </c>
      <c r="C910" t="s">
        <v>4099</v>
      </c>
      <c r="D910" t="s">
        <v>3708</v>
      </c>
      <c r="E910" t="s">
        <v>183</v>
      </c>
      <c r="F910" t="s">
        <v>184</v>
      </c>
      <c r="G910" t="s">
        <v>158</v>
      </c>
      <c r="H910" t="s">
        <v>159</v>
      </c>
      <c r="J910" t="s">
        <v>185</v>
      </c>
      <c r="K910" t="s">
        <v>3021</v>
      </c>
      <c r="R910" t="s">
        <v>73</v>
      </c>
      <c r="S910" t="s">
        <v>73</v>
      </c>
      <c r="U910" t="s">
        <v>73</v>
      </c>
      <c r="V910" t="s">
        <v>73</v>
      </c>
      <c r="X910" t="s">
        <v>73</v>
      </c>
      <c r="Y910" t="s">
        <v>73</v>
      </c>
      <c r="AA910" t="s">
        <v>73</v>
      </c>
      <c r="AB910" t="s">
        <v>73</v>
      </c>
      <c r="AF910">
        <v>290.11484175948226</v>
      </c>
      <c r="AG910">
        <v>5</v>
      </c>
      <c r="AH910">
        <v>5</v>
      </c>
      <c r="AI910">
        <v>593</v>
      </c>
      <c r="AJ910">
        <v>99.572046399424721</v>
      </c>
      <c r="AK910">
        <v>501</v>
      </c>
      <c r="AM910">
        <v>139.40086495919459</v>
      </c>
      <c r="AN910">
        <v>0</v>
      </c>
      <c r="AO910" t="s">
        <v>6363</v>
      </c>
      <c r="AP910" t="s">
        <v>3708</v>
      </c>
    </row>
    <row r="911" spans="1:42" x14ac:dyDescent="0.25">
      <c r="A911">
        <v>910</v>
      </c>
      <c r="B911" t="s">
        <v>2050</v>
      </c>
      <c r="C911" t="s">
        <v>2050</v>
      </c>
      <c r="D911" t="s">
        <v>5415</v>
      </c>
      <c r="E911" t="s">
        <v>67</v>
      </c>
      <c r="F911" t="s">
        <v>68</v>
      </c>
      <c r="G911" t="s">
        <v>69</v>
      </c>
      <c r="H911" t="s">
        <v>70</v>
      </c>
      <c r="I911" t="s">
        <v>5394</v>
      </c>
      <c r="J911" t="s">
        <v>2003</v>
      </c>
      <c r="K911" t="s">
        <v>2004</v>
      </c>
      <c r="L911" t="s">
        <v>5396</v>
      </c>
      <c r="M911" t="s">
        <v>5397</v>
      </c>
      <c r="R911" t="s">
        <v>73</v>
      </c>
      <c r="S911" t="s">
        <v>73</v>
      </c>
      <c r="U911" t="s">
        <v>73</v>
      </c>
      <c r="V911" t="s">
        <v>73</v>
      </c>
      <c r="X911" t="s">
        <v>73</v>
      </c>
      <c r="Y911" t="s">
        <v>73</v>
      </c>
      <c r="AA911" t="s">
        <v>73</v>
      </c>
      <c r="AB911" t="s">
        <v>73</v>
      </c>
      <c r="AF911">
        <v>289.89824289808968</v>
      </c>
      <c r="AG911">
        <v>4.625</v>
      </c>
      <c r="AH911">
        <v>7</v>
      </c>
      <c r="AI911">
        <v>501</v>
      </c>
      <c r="AJ911">
        <v>119.94249210898855</v>
      </c>
      <c r="AK911">
        <v>463.9</v>
      </c>
      <c r="AM911">
        <v>139.91948895258395</v>
      </c>
      <c r="AN911">
        <v>112</v>
      </c>
      <c r="AO911" t="s">
        <v>6364</v>
      </c>
      <c r="AP911" t="s">
        <v>5415</v>
      </c>
    </row>
    <row r="912" spans="1:42" x14ac:dyDescent="0.25">
      <c r="A912">
        <v>911</v>
      </c>
      <c r="B912" t="s">
        <v>3715</v>
      </c>
      <c r="C912" t="s">
        <v>3715</v>
      </c>
      <c r="D912" t="s">
        <v>3795</v>
      </c>
      <c r="E912" t="s">
        <v>351</v>
      </c>
      <c r="F912" t="s">
        <v>352</v>
      </c>
      <c r="G912" t="s">
        <v>257</v>
      </c>
      <c r="H912" t="s">
        <v>258</v>
      </c>
      <c r="I912" t="s">
        <v>3794</v>
      </c>
      <c r="J912" t="s">
        <v>467</v>
      </c>
      <c r="K912" t="s">
        <v>468</v>
      </c>
      <c r="L912">
        <v>50.926499362100003</v>
      </c>
      <c r="M912">
        <v>3.1373697311600002</v>
      </c>
      <c r="N912" t="s">
        <v>4270</v>
      </c>
      <c r="R912" t="s">
        <v>73</v>
      </c>
      <c r="S912" t="s">
        <v>73</v>
      </c>
      <c r="U912" t="s">
        <v>73</v>
      </c>
      <c r="V912" t="s">
        <v>73</v>
      </c>
      <c r="X912" t="s">
        <v>73</v>
      </c>
      <c r="Y912" t="s">
        <v>73</v>
      </c>
      <c r="AA912" t="s">
        <v>73</v>
      </c>
      <c r="AB912" t="s">
        <v>73</v>
      </c>
      <c r="AF912">
        <v>287.36363636363501</v>
      </c>
      <c r="AG912">
        <v>6.7272727272727</v>
      </c>
      <c r="AH912">
        <v>10</v>
      </c>
      <c r="AI912">
        <v>980</v>
      </c>
      <c r="AJ912">
        <v>0</v>
      </c>
      <c r="AK912">
        <v>674.72727272727002</v>
      </c>
      <c r="AM912">
        <v>0</v>
      </c>
      <c r="AN912">
        <v>0</v>
      </c>
      <c r="AO912" t="s">
        <v>6365</v>
      </c>
      <c r="AP912" t="s">
        <v>3795</v>
      </c>
    </row>
    <row r="913" spans="1:42" x14ac:dyDescent="0.25">
      <c r="A913">
        <v>912</v>
      </c>
      <c r="B913" t="s">
        <v>3561</v>
      </c>
      <c r="C913" t="s">
        <v>4173</v>
      </c>
      <c r="D913" t="s">
        <v>4991</v>
      </c>
      <c r="E913" t="s">
        <v>218</v>
      </c>
      <c r="F913" t="s">
        <v>219</v>
      </c>
      <c r="G913" t="s">
        <v>69</v>
      </c>
      <c r="H913" t="s">
        <v>70</v>
      </c>
      <c r="I913" t="s">
        <v>3593</v>
      </c>
      <c r="J913" t="s">
        <v>251</v>
      </c>
      <c r="K913" t="s">
        <v>252</v>
      </c>
      <c r="L913" t="s">
        <v>4989</v>
      </c>
      <c r="M913" t="s">
        <v>4990</v>
      </c>
      <c r="R913" t="s">
        <v>73</v>
      </c>
      <c r="S913" t="s">
        <v>73</v>
      </c>
      <c r="U913" t="s">
        <v>73</v>
      </c>
      <c r="V913" t="s">
        <v>73</v>
      </c>
      <c r="X913" t="s">
        <v>73</v>
      </c>
      <c r="Y913" t="s">
        <v>73</v>
      </c>
      <c r="AA913" t="s">
        <v>73</v>
      </c>
      <c r="AB913" t="s">
        <v>73</v>
      </c>
      <c r="AF913">
        <v>286.7</v>
      </c>
      <c r="AG913">
        <v>6</v>
      </c>
      <c r="AH913">
        <v>7</v>
      </c>
      <c r="AI913">
        <v>897</v>
      </c>
      <c r="AJ913">
        <v>40</v>
      </c>
      <c r="AK913">
        <v>601.4</v>
      </c>
      <c r="AM913">
        <v>0</v>
      </c>
      <c r="AN913">
        <v>224</v>
      </c>
      <c r="AO913" t="s">
        <v>6366</v>
      </c>
      <c r="AP913" t="s">
        <v>4991</v>
      </c>
    </row>
    <row r="914" spans="1:42" x14ac:dyDescent="0.25">
      <c r="A914">
        <v>913</v>
      </c>
      <c r="B914" t="s">
        <v>1215</v>
      </c>
      <c r="C914" t="s">
        <v>1215</v>
      </c>
      <c r="D914" t="s">
        <v>1216</v>
      </c>
      <c r="E914" t="s">
        <v>415</v>
      </c>
      <c r="F914" t="s">
        <v>415</v>
      </c>
      <c r="G914" t="s">
        <v>85</v>
      </c>
      <c r="H914" t="s">
        <v>86</v>
      </c>
      <c r="O914" t="s">
        <v>1217</v>
      </c>
      <c r="P914" t="s">
        <v>1217</v>
      </c>
      <c r="Q914">
        <v>16</v>
      </c>
      <c r="R914" t="s">
        <v>2414</v>
      </c>
      <c r="S914" t="s">
        <v>2415</v>
      </c>
      <c r="T914">
        <v>3</v>
      </c>
      <c r="U914" t="s">
        <v>2430</v>
      </c>
      <c r="V914" t="s">
        <v>2431</v>
      </c>
      <c r="W914">
        <v>6</v>
      </c>
      <c r="X914" t="s">
        <v>2440</v>
      </c>
      <c r="Y914" t="s">
        <v>2441</v>
      </c>
      <c r="Z914">
        <v>2</v>
      </c>
      <c r="AA914" t="s">
        <v>73</v>
      </c>
      <c r="AB914" t="s">
        <v>73</v>
      </c>
      <c r="AF914">
        <v>286.60000000000002</v>
      </c>
      <c r="AG914">
        <v>6</v>
      </c>
      <c r="AH914">
        <v>6</v>
      </c>
      <c r="AI914">
        <v>898</v>
      </c>
      <c r="AJ914">
        <v>40</v>
      </c>
      <c r="AK914">
        <v>601.20000000000005</v>
      </c>
      <c r="AM914">
        <v>0</v>
      </c>
      <c r="AN914">
        <v>224</v>
      </c>
      <c r="AO914" t="s">
        <v>6367</v>
      </c>
      <c r="AP914" t="s">
        <v>1216</v>
      </c>
    </row>
    <row r="915" spans="1:42" x14ac:dyDescent="0.25">
      <c r="A915">
        <v>914</v>
      </c>
      <c r="B915" t="s">
        <v>3565</v>
      </c>
      <c r="C915" t="s">
        <v>4178</v>
      </c>
      <c r="D915" t="s">
        <v>3567</v>
      </c>
      <c r="E915" t="s">
        <v>218</v>
      </c>
      <c r="F915" t="s">
        <v>219</v>
      </c>
      <c r="G915" t="s">
        <v>69</v>
      </c>
      <c r="H915" t="s">
        <v>70</v>
      </c>
      <c r="I915" t="s">
        <v>3590</v>
      </c>
      <c r="J915" t="s">
        <v>233</v>
      </c>
      <c r="K915" t="s">
        <v>234</v>
      </c>
      <c r="L915" t="s">
        <v>5004</v>
      </c>
      <c r="M915" t="s">
        <v>5005</v>
      </c>
      <c r="R915" t="s">
        <v>73</v>
      </c>
      <c r="S915" t="s">
        <v>73</v>
      </c>
      <c r="U915" t="s">
        <v>73</v>
      </c>
      <c r="V915" t="s">
        <v>73</v>
      </c>
      <c r="X915" t="s">
        <v>73</v>
      </c>
      <c r="Y915" t="s">
        <v>73</v>
      </c>
      <c r="AA915" t="s">
        <v>73</v>
      </c>
      <c r="AB915" t="s">
        <v>73</v>
      </c>
      <c r="AF915">
        <v>286.39999999999998</v>
      </c>
      <c r="AG915">
        <v>6</v>
      </c>
      <c r="AH915">
        <v>4</v>
      </c>
      <c r="AI915">
        <v>899</v>
      </c>
      <c r="AJ915">
        <v>40</v>
      </c>
      <c r="AK915">
        <v>600.79999999999995</v>
      </c>
      <c r="AM915">
        <v>0</v>
      </c>
      <c r="AN915">
        <v>224</v>
      </c>
      <c r="AO915" t="s">
        <v>6368</v>
      </c>
      <c r="AP915" t="s">
        <v>3567</v>
      </c>
    </row>
    <row r="916" spans="1:42" x14ac:dyDescent="0.25">
      <c r="A916">
        <v>915</v>
      </c>
      <c r="B916" t="s">
        <v>1370</v>
      </c>
      <c r="C916" t="s">
        <v>1370</v>
      </c>
      <c r="D916" t="s">
        <v>3122</v>
      </c>
      <c r="E916" t="s">
        <v>556</v>
      </c>
      <c r="F916" t="s">
        <v>557</v>
      </c>
      <c r="G916" t="s">
        <v>60</v>
      </c>
      <c r="H916" t="s">
        <v>61</v>
      </c>
      <c r="J916" t="s">
        <v>3764</v>
      </c>
      <c r="K916" t="s">
        <v>3765</v>
      </c>
      <c r="R916" t="s">
        <v>73</v>
      </c>
      <c r="S916" t="s">
        <v>73</v>
      </c>
      <c r="U916" t="s">
        <v>73</v>
      </c>
      <c r="V916" t="s">
        <v>73</v>
      </c>
      <c r="X916" t="s">
        <v>73</v>
      </c>
      <c r="Y916" t="s">
        <v>73</v>
      </c>
      <c r="AA916" t="s">
        <v>73</v>
      </c>
      <c r="AB916" t="s">
        <v>73</v>
      </c>
      <c r="AF916">
        <v>286.3</v>
      </c>
      <c r="AG916">
        <v>6</v>
      </c>
      <c r="AH916">
        <v>3</v>
      </c>
      <c r="AI916">
        <v>900</v>
      </c>
      <c r="AJ916">
        <v>40</v>
      </c>
      <c r="AK916">
        <v>600.6</v>
      </c>
      <c r="AM916">
        <v>0</v>
      </c>
      <c r="AN916">
        <v>224</v>
      </c>
      <c r="AO916" t="s">
        <v>6369</v>
      </c>
      <c r="AP916" t="s">
        <v>3122</v>
      </c>
    </row>
    <row r="917" spans="1:42" x14ac:dyDescent="0.25">
      <c r="A917">
        <v>916</v>
      </c>
      <c r="B917" t="s">
        <v>3751</v>
      </c>
      <c r="C917" t="s">
        <v>3751</v>
      </c>
      <c r="D917" t="s">
        <v>4797</v>
      </c>
      <c r="E917" t="s">
        <v>556</v>
      </c>
      <c r="F917" t="s">
        <v>557</v>
      </c>
      <c r="G917" t="s">
        <v>60</v>
      </c>
      <c r="H917" t="s">
        <v>61</v>
      </c>
      <c r="I917" t="s">
        <v>4796</v>
      </c>
      <c r="J917" t="s">
        <v>3756</v>
      </c>
      <c r="K917" t="s">
        <v>3757</v>
      </c>
      <c r="L917" t="s">
        <v>4813</v>
      </c>
      <c r="M917" t="s">
        <v>4814</v>
      </c>
      <c r="Q917">
        <v>13</v>
      </c>
      <c r="R917" t="s">
        <v>73</v>
      </c>
      <c r="S917" t="s">
        <v>73</v>
      </c>
      <c r="U917" t="s">
        <v>73</v>
      </c>
      <c r="V917" t="s">
        <v>73</v>
      </c>
      <c r="X917" t="s">
        <v>2446</v>
      </c>
      <c r="Y917" t="s">
        <v>2447</v>
      </c>
      <c r="Z917">
        <v>4</v>
      </c>
      <c r="AA917" t="s">
        <v>73</v>
      </c>
      <c r="AB917" t="s">
        <v>73</v>
      </c>
      <c r="AF917">
        <v>286.3</v>
      </c>
      <c r="AG917">
        <v>6</v>
      </c>
      <c r="AH917">
        <v>3</v>
      </c>
      <c r="AI917">
        <v>901</v>
      </c>
      <c r="AJ917">
        <v>40</v>
      </c>
      <c r="AK917">
        <v>600.6</v>
      </c>
      <c r="AM917">
        <v>0</v>
      </c>
      <c r="AN917">
        <v>224</v>
      </c>
      <c r="AO917" t="s">
        <v>6370</v>
      </c>
      <c r="AP917" t="s">
        <v>4797</v>
      </c>
    </row>
    <row r="918" spans="1:42" x14ac:dyDescent="0.25">
      <c r="A918">
        <v>917</v>
      </c>
      <c r="B918" t="s">
        <v>2400</v>
      </c>
      <c r="C918" t="s">
        <v>2400</v>
      </c>
      <c r="D918" t="s">
        <v>4803</v>
      </c>
      <c r="E918" t="s">
        <v>556</v>
      </c>
      <c r="F918" t="s">
        <v>557</v>
      </c>
      <c r="G918" t="s">
        <v>60</v>
      </c>
      <c r="H918" t="s">
        <v>61</v>
      </c>
      <c r="I918" t="s">
        <v>3119</v>
      </c>
      <c r="J918" t="s">
        <v>3120</v>
      </c>
      <c r="K918" t="s">
        <v>3121</v>
      </c>
      <c r="R918" t="s">
        <v>73</v>
      </c>
      <c r="S918" t="s">
        <v>73</v>
      </c>
      <c r="U918" t="s">
        <v>73</v>
      </c>
      <c r="V918" t="s">
        <v>73</v>
      </c>
      <c r="X918" t="s">
        <v>73</v>
      </c>
      <c r="Y918" t="s">
        <v>73</v>
      </c>
      <c r="AA918" t="s">
        <v>73</v>
      </c>
      <c r="AB918" t="s">
        <v>73</v>
      </c>
      <c r="AF918">
        <v>286.3</v>
      </c>
      <c r="AG918">
        <v>6</v>
      </c>
      <c r="AH918">
        <v>3</v>
      </c>
      <c r="AI918">
        <v>902</v>
      </c>
      <c r="AJ918">
        <v>40</v>
      </c>
      <c r="AK918">
        <v>600.6</v>
      </c>
      <c r="AM918">
        <v>0</v>
      </c>
      <c r="AN918">
        <v>224</v>
      </c>
      <c r="AO918" t="s">
        <v>6371</v>
      </c>
      <c r="AP918" t="s">
        <v>4803</v>
      </c>
    </row>
    <row r="919" spans="1:42" x14ac:dyDescent="0.25">
      <c r="A919">
        <v>918</v>
      </c>
      <c r="B919" t="s">
        <v>2149</v>
      </c>
      <c r="C919" t="s">
        <v>2149</v>
      </c>
      <c r="D919" t="s">
        <v>2150</v>
      </c>
      <c r="E919" t="s">
        <v>199</v>
      </c>
      <c r="F919" t="s">
        <v>200</v>
      </c>
      <c r="I919" t="s">
        <v>2151</v>
      </c>
      <c r="J919" t="s">
        <v>649</v>
      </c>
      <c r="K919" t="s">
        <v>650</v>
      </c>
      <c r="L919" t="s">
        <v>5235</v>
      </c>
      <c r="M919" t="s">
        <v>5236</v>
      </c>
      <c r="R919" t="s">
        <v>73</v>
      </c>
      <c r="S919" t="s">
        <v>73</v>
      </c>
      <c r="U919" t="s">
        <v>73</v>
      </c>
      <c r="V919" t="s">
        <v>73</v>
      </c>
      <c r="X919" t="s">
        <v>73</v>
      </c>
      <c r="Y919" t="s">
        <v>73</v>
      </c>
      <c r="AA919" t="s">
        <v>73</v>
      </c>
      <c r="AB919" t="s">
        <v>73</v>
      </c>
      <c r="AF919">
        <v>285.95325773511803</v>
      </c>
      <c r="AG919">
        <v>6.3529411764706003</v>
      </c>
      <c r="AH919">
        <v>16</v>
      </c>
      <c r="AI919">
        <v>954</v>
      </c>
      <c r="AJ919">
        <v>18.562443235097742</v>
      </c>
      <c r="AK919">
        <v>638.49411764706008</v>
      </c>
      <c r="AL919">
        <v>1999</v>
      </c>
      <c r="AM919">
        <v>25.987420529136838</v>
      </c>
      <c r="AN919">
        <v>0</v>
      </c>
      <c r="AO919" t="s">
        <v>6372</v>
      </c>
      <c r="AP919" t="s">
        <v>2150</v>
      </c>
    </row>
    <row r="920" spans="1:42" x14ac:dyDescent="0.25">
      <c r="A920">
        <v>919</v>
      </c>
      <c r="B920" t="s">
        <v>3776</v>
      </c>
      <c r="C920" t="s">
        <v>3776</v>
      </c>
      <c r="D920" t="s">
        <v>3857</v>
      </c>
      <c r="E920" t="s">
        <v>161</v>
      </c>
      <c r="F920" t="s">
        <v>161</v>
      </c>
      <c r="G920" t="s">
        <v>3167</v>
      </c>
      <c r="H920" t="s">
        <v>3166</v>
      </c>
      <c r="I920" t="s">
        <v>4000</v>
      </c>
      <c r="J920" t="s">
        <v>811</v>
      </c>
      <c r="K920" t="s">
        <v>812</v>
      </c>
      <c r="L920" t="s">
        <v>5020</v>
      </c>
      <c r="M920" t="s">
        <v>5021</v>
      </c>
      <c r="Q920">
        <v>11</v>
      </c>
      <c r="R920" t="s">
        <v>2409</v>
      </c>
      <c r="S920" t="s">
        <v>2410</v>
      </c>
      <c r="T920">
        <v>2</v>
      </c>
      <c r="U920" t="s">
        <v>3137</v>
      </c>
      <c r="V920" t="s">
        <v>3136</v>
      </c>
      <c r="W920">
        <v>5</v>
      </c>
      <c r="X920" t="s">
        <v>2446</v>
      </c>
      <c r="Y920" t="s">
        <v>2447</v>
      </c>
      <c r="Z920">
        <v>4</v>
      </c>
      <c r="AA920" t="s">
        <v>73</v>
      </c>
      <c r="AB920" t="s">
        <v>73</v>
      </c>
      <c r="AF920">
        <v>285.51009023881363</v>
      </c>
      <c r="AG920">
        <v>6</v>
      </c>
      <c r="AH920">
        <v>5</v>
      </c>
      <c r="AI920">
        <v>912</v>
      </c>
      <c r="AJ920">
        <v>38.900100265348449</v>
      </c>
      <c r="AK920">
        <v>601</v>
      </c>
      <c r="AM920">
        <v>54.460140371487824</v>
      </c>
      <c r="AN920">
        <v>0</v>
      </c>
      <c r="AO920" t="s">
        <v>6373</v>
      </c>
      <c r="AP920" t="s">
        <v>3857</v>
      </c>
    </row>
    <row r="921" spans="1:42" x14ac:dyDescent="0.25">
      <c r="A921">
        <v>920</v>
      </c>
      <c r="B921" t="s">
        <v>1627</v>
      </c>
      <c r="C921" t="s">
        <v>1627</v>
      </c>
      <c r="D921" t="s">
        <v>1628</v>
      </c>
      <c r="E921" t="s">
        <v>415</v>
      </c>
      <c r="F921" t="s">
        <v>415</v>
      </c>
      <c r="G921" t="s">
        <v>85</v>
      </c>
      <c r="H921" t="s">
        <v>86</v>
      </c>
      <c r="O921" t="s">
        <v>2579</v>
      </c>
      <c r="P921" t="s">
        <v>2579</v>
      </c>
      <c r="Q921">
        <v>16</v>
      </c>
      <c r="R921" t="s">
        <v>2409</v>
      </c>
      <c r="S921" t="s">
        <v>2410</v>
      </c>
      <c r="T921">
        <v>2</v>
      </c>
      <c r="U921" t="s">
        <v>3139</v>
      </c>
      <c r="V921" t="s">
        <v>3140</v>
      </c>
      <c r="W921">
        <v>4</v>
      </c>
      <c r="X921" t="s">
        <v>2440</v>
      </c>
      <c r="Y921" t="s">
        <v>2441</v>
      </c>
      <c r="Z921">
        <v>2</v>
      </c>
      <c r="AA921" t="s">
        <v>73</v>
      </c>
      <c r="AB921" t="s">
        <v>73</v>
      </c>
      <c r="AF921">
        <v>285.47465500040778</v>
      </c>
      <c r="AG921">
        <v>5.375</v>
      </c>
      <c r="AH921">
        <v>7</v>
      </c>
      <c r="AI921">
        <v>723</v>
      </c>
      <c r="AJ921">
        <v>73.360727778230853</v>
      </c>
      <c r="AK921">
        <v>538.9</v>
      </c>
      <c r="AM921">
        <v>46.705018889523181</v>
      </c>
      <c r="AN921">
        <v>224</v>
      </c>
      <c r="AO921" t="s">
        <v>6374</v>
      </c>
      <c r="AP921" t="s">
        <v>1628</v>
      </c>
    </row>
    <row r="922" spans="1:42" x14ac:dyDescent="0.25">
      <c r="A922">
        <v>921</v>
      </c>
      <c r="B922" t="s">
        <v>1742</v>
      </c>
      <c r="C922" t="s">
        <v>1742</v>
      </c>
      <c r="D922" t="s">
        <v>1743</v>
      </c>
      <c r="E922" t="s">
        <v>415</v>
      </c>
      <c r="F922" t="s">
        <v>415</v>
      </c>
      <c r="G922" t="s">
        <v>85</v>
      </c>
      <c r="H922" t="s">
        <v>86</v>
      </c>
      <c r="I922" t="s">
        <v>1744</v>
      </c>
      <c r="O922" t="s">
        <v>2598</v>
      </c>
      <c r="P922" t="s">
        <v>2598</v>
      </c>
      <c r="Q922">
        <v>17</v>
      </c>
      <c r="R922" t="s">
        <v>2420</v>
      </c>
      <c r="S922" t="s">
        <v>2421</v>
      </c>
      <c r="T922">
        <v>5</v>
      </c>
      <c r="U922" t="s">
        <v>2430</v>
      </c>
      <c r="V922" t="s">
        <v>2431</v>
      </c>
      <c r="W922">
        <v>6</v>
      </c>
      <c r="X922" t="s">
        <v>2437</v>
      </c>
      <c r="Y922" t="s">
        <v>2438</v>
      </c>
      <c r="Z922">
        <v>1</v>
      </c>
      <c r="AA922" t="s">
        <v>73</v>
      </c>
      <c r="AB922" t="s">
        <v>73</v>
      </c>
      <c r="AF922">
        <v>285.18179785755279</v>
      </c>
      <c r="AG922">
        <v>5.3571428571429003</v>
      </c>
      <c r="AH922">
        <v>13</v>
      </c>
      <c r="AI922">
        <v>724</v>
      </c>
      <c r="AJ922">
        <v>73.360727778230853</v>
      </c>
      <c r="AK922">
        <v>538.31428571429001</v>
      </c>
      <c r="AM922">
        <v>46.705018889523181</v>
      </c>
      <c r="AN922">
        <v>224</v>
      </c>
      <c r="AO922" t="s">
        <v>6375</v>
      </c>
      <c r="AP922" t="s">
        <v>1743</v>
      </c>
    </row>
    <row r="923" spans="1:42" x14ac:dyDescent="0.25">
      <c r="A923">
        <v>922</v>
      </c>
      <c r="B923" t="s">
        <v>616</v>
      </c>
      <c r="C923" t="s">
        <v>616</v>
      </c>
      <c r="D923" t="s">
        <v>617</v>
      </c>
      <c r="E923" t="s">
        <v>459</v>
      </c>
      <c r="F923" t="s">
        <v>459</v>
      </c>
      <c r="G923" t="s">
        <v>257</v>
      </c>
      <c r="H923" t="s">
        <v>258</v>
      </c>
      <c r="R923" t="s">
        <v>73</v>
      </c>
      <c r="S923" t="s">
        <v>73</v>
      </c>
      <c r="U923" t="s">
        <v>73</v>
      </c>
      <c r="V923" t="s">
        <v>73</v>
      </c>
      <c r="X923" t="s">
        <v>73</v>
      </c>
      <c r="Y923" t="s">
        <v>73</v>
      </c>
      <c r="AA923" t="s">
        <v>73</v>
      </c>
      <c r="AB923" t="s">
        <v>73</v>
      </c>
      <c r="AF923">
        <v>283.89999999999998</v>
      </c>
      <c r="AG923">
        <v>6.3</v>
      </c>
      <c r="AH923">
        <v>9</v>
      </c>
      <c r="AI923">
        <v>945</v>
      </c>
      <c r="AJ923">
        <v>20</v>
      </c>
      <c r="AK923">
        <v>631.79999999999995</v>
      </c>
      <c r="AL923">
        <v>2004</v>
      </c>
      <c r="AM923">
        <v>0</v>
      </c>
      <c r="AN923">
        <v>112</v>
      </c>
      <c r="AO923" t="s">
        <v>6376</v>
      </c>
      <c r="AP923" t="s">
        <v>617</v>
      </c>
    </row>
    <row r="924" spans="1:42" x14ac:dyDescent="0.25">
      <c r="A924">
        <v>923</v>
      </c>
      <c r="B924" t="s">
        <v>1212</v>
      </c>
      <c r="C924" t="s">
        <v>1212</v>
      </c>
      <c r="D924" t="s">
        <v>1213</v>
      </c>
      <c r="E924" t="s">
        <v>137</v>
      </c>
      <c r="F924" t="s">
        <v>138</v>
      </c>
      <c r="G924" t="s">
        <v>139</v>
      </c>
      <c r="H924" t="s">
        <v>140</v>
      </c>
      <c r="I924" t="s">
        <v>1214</v>
      </c>
      <c r="J924" t="s">
        <v>426</v>
      </c>
      <c r="K924" t="s">
        <v>427</v>
      </c>
      <c r="L924" t="s">
        <v>4690</v>
      </c>
      <c r="M924" t="s">
        <v>4691</v>
      </c>
      <c r="R924" t="s">
        <v>73</v>
      </c>
      <c r="S924" t="s">
        <v>73</v>
      </c>
      <c r="U924" t="s">
        <v>73</v>
      </c>
      <c r="V924" t="s">
        <v>73</v>
      </c>
      <c r="X924" t="s">
        <v>73</v>
      </c>
      <c r="Y924" t="s">
        <v>73</v>
      </c>
      <c r="AA924" t="s">
        <v>73</v>
      </c>
      <c r="AB924" t="s">
        <v>73</v>
      </c>
      <c r="AF924">
        <v>283.37567558490338</v>
      </c>
      <c r="AG924">
        <v>5.5</v>
      </c>
      <c r="AH924">
        <v>13</v>
      </c>
      <c r="AI924">
        <v>755</v>
      </c>
      <c r="AJ924">
        <v>63.41741731655928</v>
      </c>
      <c r="AK924">
        <v>552.6</v>
      </c>
      <c r="AL924">
        <v>2004</v>
      </c>
      <c r="AM924">
        <v>88.784384243182984</v>
      </c>
      <c r="AN924">
        <v>0</v>
      </c>
      <c r="AO924" t="s">
        <v>6377</v>
      </c>
      <c r="AP924" t="s">
        <v>1213</v>
      </c>
    </row>
    <row r="925" spans="1:42" x14ac:dyDescent="0.25">
      <c r="A925">
        <v>924</v>
      </c>
      <c r="B925" t="s">
        <v>1150</v>
      </c>
      <c r="C925" t="s">
        <v>1150</v>
      </c>
      <c r="D925" t="s">
        <v>3435</v>
      </c>
      <c r="E925" t="s">
        <v>199</v>
      </c>
      <c r="F925" t="s">
        <v>200</v>
      </c>
      <c r="I925" t="s">
        <v>1151</v>
      </c>
      <c r="J925" t="s">
        <v>303</v>
      </c>
      <c r="K925" t="s">
        <v>304</v>
      </c>
      <c r="L925" t="s">
        <v>5233</v>
      </c>
      <c r="M925" t="s">
        <v>5234</v>
      </c>
      <c r="O925" t="s">
        <v>1152</v>
      </c>
      <c r="P925" t="s">
        <v>1153</v>
      </c>
      <c r="Q925">
        <v>12</v>
      </c>
      <c r="R925" t="s">
        <v>2406</v>
      </c>
      <c r="S925" t="s">
        <v>2407</v>
      </c>
      <c r="T925">
        <v>1</v>
      </c>
      <c r="U925" t="s">
        <v>3137</v>
      </c>
      <c r="V925" t="s">
        <v>3136</v>
      </c>
      <c r="W925">
        <v>5</v>
      </c>
      <c r="X925" t="s">
        <v>2443</v>
      </c>
      <c r="Y925" t="s">
        <v>2444</v>
      </c>
      <c r="Z925">
        <v>3</v>
      </c>
      <c r="AC925" t="s">
        <v>1154</v>
      </c>
      <c r="AD925" t="s">
        <v>1155</v>
      </c>
      <c r="AE925" t="s">
        <v>1156</v>
      </c>
      <c r="AF925">
        <v>283.18007624421193</v>
      </c>
      <c r="AG925">
        <v>5.875</v>
      </c>
      <c r="AH925">
        <v>15</v>
      </c>
      <c r="AI925">
        <v>837</v>
      </c>
      <c r="AJ925">
        <v>42.144529160235464</v>
      </c>
      <c r="AK925">
        <v>590.5</v>
      </c>
      <c r="AL925">
        <v>2005</v>
      </c>
      <c r="AM925">
        <v>59.00234082432965</v>
      </c>
      <c r="AN925">
        <v>0</v>
      </c>
      <c r="AO925" t="s">
        <v>6378</v>
      </c>
      <c r="AP925" t="s">
        <v>3435</v>
      </c>
    </row>
    <row r="926" spans="1:42" x14ac:dyDescent="0.25">
      <c r="A926">
        <v>925</v>
      </c>
      <c r="B926" t="s">
        <v>1424</v>
      </c>
      <c r="C926" t="s">
        <v>1424</v>
      </c>
      <c r="D926" t="s">
        <v>2496</v>
      </c>
      <c r="E926" t="s">
        <v>67</v>
      </c>
      <c r="F926" t="s">
        <v>68</v>
      </c>
      <c r="G926" t="s">
        <v>3845</v>
      </c>
      <c r="H926" t="s">
        <v>3844</v>
      </c>
      <c r="I926" t="s">
        <v>1425</v>
      </c>
      <c r="J926" t="s">
        <v>796</v>
      </c>
      <c r="K926" t="s">
        <v>797</v>
      </c>
      <c r="L926" t="s">
        <v>5159</v>
      </c>
      <c r="M926" t="s">
        <v>5160</v>
      </c>
      <c r="R926" t="s">
        <v>73</v>
      </c>
      <c r="S926" t="s">
        <v>73</v>
      </c>
      <c r="U926" t="s">
        <v>73</v>
      </c>
      <c r="V926" t="s">
        <v>73</v>
      </c>
      <c r="X926" t="s">
        <v>73</v>
      </c>
      <c r="Y926" t="s">
        <v>73</v>
      </c>
      <c r="AA926" t="s">
        <v>73</v>
      </c>
      <c r="AB926" t="s">
        <v>73</v>
      </c>
      <c r="AF926">
        <v>282.88571428571504</v>
      </c>
      <c r="AG926">
        <v>6.2857142857142998</v>
      </c>
      <c r="AH926">
        <v>6</v>
      </c>
      <c r="AI926">
        <v>946</v>
      </c>
      <c r="AJ926">
        <v>20</v>
      </c>
      <c r="AK926">
        <v>629.77142857143008</v>
      </c>
      <c r="AL926">
        <v>2012</v>
      </c>
      <c r="AM926">
        <v>0</v>
      </c>
      <c r="AN926">
        <v>112</v>
      </c>
      <c r="AO926" t="s">
        <v>6379</v>
      </c>
      <c r="AP926" t="s">
        <v>2496</v>
      </c>
    </row>
    <row r="927" spans="1:42" x14ac:dyDescent="0.25">
      <c r="A927">
        <v>926</v>
      </c>
      <c r="B927" t="s">
        <v>3727</v>
      </c>
      <c r="C927" t="s">
        <v>3727</v>
      </c>
      <c r="D927" t="s">
        <v>3944</v>
      </c>
      <c r="E927" t="s">
        <v>183</v>
      </c>
      <c r="F927" t="s">
        <v>184</v>
      </c>
      <c r="G927" t="s">
        <v>158</v>
      </c>
      <c r="H927" t="s">
        <v>159</v>
      </c>
      <c r="I927" t="s">
        <v>3945</v>
      </c>
      <c r="J927" t="s">
        <v>663</v>
      </c>
      <c r="K927" t="s">
        <v>664</v>
      </c>
      <c r="Q927">
        <v>13</v>
      </c>
      <c r="R927" t="s">
        <v>2409</v>
      </c>
      <c r="S927" t="s">
        <v>2410</v>
      </c>
      <c r="T927">
        <v>2</v>
      </c>
      <c r="U927" t="s">
        <v>2430</v>
      </c>
      <c r="V927" t="s">
        <v>2431</v>
      </c>
      <c r="W927">
        <v>6</v>
      </c>
      <c r="X927" t="s">
        <v>2440</v>
      </c>
      <c r="Y927" t="s">
        <v>2441</v>
      </c>
      <c r="Z927">
        <v>2</v>
      </c>
      <c r="AA927" t="s">
        <v>73</v>
      </c>
      <c r="AB927" t="s">
        <v>73</v>
      </c>
      <c r="AF927">
        <v>282.83151698215761</v>
      </c>
      <c r="AG927">
        <v>5.1666666666666998</v>
      </c>
      <c r="AH927">
        <v>5</v>
      </c>
      <c r="AI927">
        <v>660</v>
      </c>
      <c r="AJ927">
        <v>82.220204054247404</v>
      </c>
      <c r="AK927">
        <v>517.66666666666993</v>
      </c>
      <c r="AM927">
        <v>115.10828567594635</v>
      </c>
      <c r="AN927">
        <v>0</v>
      </c>
      <c r="AO927" t="s">
        <v>6380</v>
      </c>
      <c r="AP927" t="s">
        <v>3944</v>
      </c>
    </row>
    <row r="928" spans="1:42" x14ac:dyDescent="0.25">
      <c r="A928">
        <v>927</v>
      </c>
      <c r="B928" t="s">
        <v>781</v>
      </c>
      <c r="C928" t="s">
        <v>781</v>
      </c>
      <c r="D928" t="s">
        <v>5442</v>
      </c>
      <c r="E928" t="s">
        <v>67</v>
      </c>
      <c r="F928" t="s">
        <v>68</v>
      </c>
      <c r="G928" t="s">
        <v>3845</v>
      </c>
      <c r="H928" t="s">
        <v>3846</v>
      </c>
      <c r="I928" t="s">
        <v>782</v>
      </c>
      <c r="J928" t="s">
        <v>71</v>
      </c>
      <c r="K928" t="s">
        <v>72</v>
      </c>
      <c r="L928" t="s">
        <v>5372</v>
      </c>
      <c r="M928" t="s">
        <v>5373</v>
      </c>
      <c r="R928" t="s">
        <v>2420</v>
      </c>
      <c r="S928" t="s">
        <v>2421</v>
      </c>
      <c r="T928">
        <v>5</v>
      </c>
      <c r="U928" t="s">
        <v>73</v>
      </c>
      <c r="V928" t="s">
        <v>73</v>
      </c>
      <c r="X928" t="s">
        <v>73</v>
      </c>
      <c r="Y928" t="s">
        <v>73</v>
      </c>
      <c r="AA928" t="s">
        <v>73</v>
      </c>
      <c r="AB928" t="s">
        <v>73</v>
      </c>
      <c r="AF928">
        <v>282.82653557060036</v>
      </c>
      <c r="AG928">
        <v>5.3333333333333002</v>
      </c>
      <c r="AH928">
        <v>5</v>
      </c>
      <c r="AI928">
        <v>732</v>
      </c>
      <c r="AJ928">
        <v>72.955409893261447</v>
      </c>
      <c r="AK928">
        <v>534.33333333333007</v>
      </c>
      <c r="AM928">
        <v>74.137573850566014</v>
      </c>
      <c r="AN928">
        <v>112</v>
      </c>
      <c r="AO928" t="s">
        <v>6381</v>
      </c>
      <c r="AP928" t="s">
        <v>5442</v>
      </c>
    </row>
    <row r="929" spans="1:42" x14ac:dyDescent="0.25">
      <c r="A929">
        <v>928</v>
      </c>
      <c r="B929" t="s">
        <v>1669</v>
      </c>
      <c r="C929" t="s">
        <v>4106</v>
      </c>
      <c r="D929" t="s">
        <v>1670</v>
      </c>
      <c r="E929" t="s">
        <v>67</v>
      </c>
      <c r="F929" t="s">
        <v>68</v>
      </c>
      <c r="G929" t="s">
        <v>3845</v>
      </c>
      <c r="H929" t="s">
        <v>3846</v>
      </c>
      <c r="I929" t="s">
        <v>1671</v>
      </c>
      <c r="J929" t="s">
        <v>1672</v>
      </c>
      <c r="K929" t="s">
        <v>1673</v>
      </c>
      <c r="L929" t="s">
        <v>5400</v>
      </c>
      <c r="M929" t="s">
        <v>5401</v>
      </c>
      <c r="Q929">
        <v>11</v>
      </c>
      <c r="R929" t="s">
        <v>2406</v>
      </c>
      <c r="S929" t="s">
        <v>2407</v>
      </c>
      <c r="T929">
        <v>1</v>
      </c>
      <c r="U929" t="s">
        <v>3137</v>
      </c>
      <c r="V929" t="s">
        <v>3136</v>
      </c>
      <c r="W929">
        <v>5</v>
      </c>
      <c r="X929" t="s">
        <v>2437</v>
      </c>
      <c r="Y929" t="s">
        <v>2438</v>
      </c>
      <c r="Z929">
        <v>1</v>
      </c>
      <c r="AA929" t="s">
        <v>73</v>
      </c>
      <c r="AB929" t="s">
        <v>73</v>
      </c>
      <c r="AE929" t="s">
        <v>5402</v>
      </c>
      <c r="AF929">
        <v>282.77561621901231</v>
      </c>
      <c r="AG929">
        <v>5.6</v>
      </c>
      <c r="AH929">
        <v>9</v>
      </c>
      <c r="AI929">
        <v>802</v>
      </c>
      <c r="AJ929">
        <v>57.639573576680341</v>
      </c>
      <c r="AK929">
        <v>561.79999999999995</v>
      </c>
      <c r="AM929">
        <v>52.695403007352475</v>
      </c>
      <c r="AN929">
        <v>112</v>
      </c>
      <c r="AO929" t="s">
        <v>6382</v>
      </c>
      <c r="AP929" t="s">
        <v>1670</v>
      </c>
    </row>
    <row r="930" spans="1:42" x14ac:dyDescent="0.25">
      <c r="A930">
        <v>929</v>
      </c>
      <c r="B930" t="s">
        <v>99</v>
      </c>
      <c r="C930" t="s">
        <v>99</v>
      </c>
      <c r="D930" t="s">
        <v>100</v>
      </c>
      <c r="E930" t="s">
        <v>101</v>
      </c>
      <c r="F930" t="s">
        <v>102</v>
      </c>
      <c r="G930" t="s">
        <v>108</v>
      </c>
      <c r="H930" t="s">
        <v>109</v>
      </c>
      <c r="I930" t="s">
        <v>103</v>
      </c>
      <c r="O930" t="s">
        <v>63</v>
      </c>
      <c r="P930" t="s">
        <v>64</v>
      </c>
      <c r="R930" t="s">
        <v>2417</v>
      </c>
      <c r="S930" t="s">
        <v>2418</v>
      </c>
      <c r="T930">
        <v>4</v>
      </c>
      <c r="U930" t="s">
        <v>3137</v>
      </c>
      <c r="V930" t="s">
        <v>3136</v>
      </c>
      <c r="W930">
        <v>5</v>
      </c>
      <c r="X930" t="s">
        <v>2446</v>
      </c>
      <c r="Y930" t="s">
        <v>2447</v>
      </c>
      <c r="Z930">
        <v>4</v>
      </c>
      <c r="AF930">
        <v>282.39999999999998</v>
      </c>
      <c r="AG930">
        <v>5.2</v>
      </c>
      <c r="AH930">
        <v>4</v>
      </c>
      <c r="AI930">
        <v>684</v>
      </c>
      <c r="AJ930">
        <v>80</v>
      </c>
      <c r="AK930">
        <v>520.79999999999995</v>
      </c>
      <c r="AM930">
        <v>0</v>
      </c>
      <c r="AN930">
        <v>448</v>
      </c>
      <c r="AO930" t="s">
        <v>6383</v>
      </c>
      <c r="AP930" t="s">
        <v>100</v>
      </c>
    </row>
    <row r="931" spans="1:42" x14ac:dyDescent="0.25">
      <c r="A931">
        <v>930</v>
      </c>
      <c r="B931" t="s">
        <v>2939</v>
      </c>
      <c r="C931" t="s">
        <v>4104</v>
      </c>
      <c r="D931" t="s">
        <v>1682</v>
      </c>
      <c r="E931" t="s">
        <v>255</v>
      </c>
      <c r="F931" t="s">
        <v>256</v>
      </c>
      <c r="G931" t="s">
        <v>257</v>
      </c>
      <c r="H931" t="s">
        <v>258</v>
      </c>
      <c r="I931" t="s">
        <v>4131</v>
      </c>
      <c r="J931" t="s">
        <v>1379</v>
      </c>
      <c r="K931" t="s">
        <v>1380</v>
      </c>
      <c r="L931">
        <v>51.124444400000002</v>
      </c>
      <c r="M931">
        <v>5.9419443999999997</v>
      </c>
      <c r="O931" t="s">
        <v>2589</v>
      </c>
      <c r="P931" t="s">
        <v>2589</v>
      </c>
      <c r="Q931">
        <v>13</v>
      </c>
      <c r="R931" t="s">
        <v>2414</v>
      </c>
      <c r="S931" t="s">
        <v>2415</v>
      </c>
      <c r="T931">
        <v>3</v>
      </c>
      <c r="U931" t="s">
        <v>2432</v>
      </c>
      <c r="V931" t="s">
        <v>2433</v>
      </c>
      <c r="W931">
        <v>7</v>
      </c>
      <c r="X931" t="s">
        <v>2446</v>
      </c>
      <c r="Y931" t="s">
        <v>2447</v>
      </c>
      <c r="Z931">
        <v>4</v>
      </c>
      <c r="AA931" t="s">
        <v>1683</v>
      </c>
      <c r="AB931" t="s">
        <v>1684</v>
      </c>
      <c r="AE931" t="s">
        <v>1685</v>
      </c>
      <c r="AF931">
        <v>281.97142857142995</v>
      </c>
      <c r="AG931">
        <v>6.5714285714285996</v>
      </c>
      <c r="AH931">
        <v>34</v>
      </c>
      <c r="AI931">
        <v>981</v>
      </c>
      <c r="AJ931">
        <v>0</v>
      </c>
      <c r="AK931">
        <v>663.94285714285991</v>
      </c>
      <c r="AL931">
        <v>2005</v>
      </c>
      <c r="AM931">
        <v>0</v>
      </c>
      <c r="AN931">
        <v>0</v>
      </c>
      <c r="AO931" t="s">
        <v>6384</v>
      </c>
      <c r="AP931" t="s">
        <v>1682</v>
      </c>
    </row>
    <row r="932" spans="1:42" x14ac:dyDescent="0.25">
      <c r="A932">
        <v>931</v>
      </c>
      <c r="B932" t="s">
        <v>3729</v>
      </c>
      <c r="C932" t="s">
        <v>3729</v>
      </c>
      <c r="D932" t="s">
        <v>3730</v>
      </c>
      <c r="E932" t="s">
        <v>5312</v>
      </c>
      <c r="F932" t="s">
        <v>157</v>
      </c>
      <c r="G932" t="s">
        <v>158</v>
      </c>
      <c r="H932" t="s">
        <v>159</v>
      </c>
      <c r="I932" t="s">
        <v>3928</v>
      </c>
      <c r="J932" t="s">
        <v>3094</v>
      </c>
      <c r="K932" t="s">
        <v>3095</v>
      </c>
      <c r="L932" t="s">
        <v>5296</v>
      </c>
      <c r="M932" t="s">
        <v>5297</v>
      </c>
      <c r="Q932">
        <v>11</v>
      </c>
      <c r="R932" t="s">
        <v>2417</v>
      </c>
      <c r="S932" t="s">
        <v>2418</v>
      </c>
      <c r="T932">
        <v>4</v>
      </c>
      <c r="U932" t="s">
        <v>2432</v>
      </c>
      <c r="V932" t="s">
        <v>2433</v>
      </c>
      <c r="W932">
        <v>7</v>
      </c>
      <c r="X932" t="s">
        <v>2440</v>
      </c>
      <c r="Y932" t="s">
        <v>2441</v>
      </c>
      <c r="Z932">
        <v>2</v>
      </c>
      <c r="AA932" t="s">
        <v>73</v>
      </c>
      <c r="AB932" t="s">
        <v>73</v>
      </c>
      <c r="AF932">
        <v>280.5988708475254</v>
      </c>
      <c r="AG932">
        <v>5.2</v>
      </c>
      <c r="AH932">
        <v>4</v>
      </c>
      <c r="AI932">
        <v>702</v>
      </c>
      <c r="AJ932">
        <v>77.99874538613939</v>
      </c>
      <c r="AK932">
        <v>520.79999999999995</v>
      </c>
      <c r="AM932">
        <v>109.19824354059514</v>
      </c>
      <c r="AN932">
        <v>0</v>
      </c>
      <c r="AO932" t="s">
        <v>6385</v>
      </c>
      <c r="AP932" t="s">
        <v>3730</v>
      </c>
    </row>
    <row r="933" spans="1:42" x14ac:dyDescent="0.25">
      <c r="A933">
        <v>932</v>
      </c>
      <c r="B933" t="s">
        <v>3384</v>
      </c>
      <c r="C933" t="s">
        <v>3384</v>
      </c>
      <c r="D933" t="s">
        <v>4825</v>
      </c>
      <c r="E933" t="s">
        <v>199</v>
      </c>
      <c r="F933" t="s">
        <v>200</v>
      </c>
      <c r="G933" t="s">
        <v>139</v>
      </c>
      <c r="H933" t="s">
        <v>140</v>
      </c>
      <c r="J933" t="s">
        <v>326</v>
      </c>
      <c r="K933" t="s">
        <v>327</v>
      </c>
      <c r="L933" t="s">
        <v>4717</v>
      </c>
      <c r="M933" t="s">
        <v>4718</v>
      </c>
      <c r="Q933">
        <v>13</v>
      </c>
      <c r="R933" t="s">
        <v>2409</v>
      </c>
      <c r="S933" t="s">
        <v>2410</v>
      </c>
      <c r="T933">
        <v>2</v>
      </c>
      <c r="U933" t="s">
        <v>3137</v>
      </c>
      <c r="V933" t="s">
        <v>3136</v>
      </c>
      <c r="W933">
        <v>5</v>
      </c>
      <c r="X933" t="s">
        <v>2443</v>
      </c>
      <c r="Y933" t="s">
        <v>2444</v>
      </c>
      <c r="Z933">
        <v>3</v>
      </c>
      <c r="AA933" t="s">
        <v>73</v>
      </c>
      <c r="AB933" t="s">
        <v>73</v>
      </c>
      <c r="AF933">
        <v>280.13330056844018</v>
      </c>
      <c r="AG933">
        <v>4.4000000000000004</v>
      </c>
      <c r="AH933">
        <v>4</v>
      </c>
      <c r="AI933">
        <v>491</v>
      </c>
      <c r="AJ933">
        <v>121.92588952048906</v>
      </c>
      <c r="AK933">
        <v>440.80000000000007</v>
      </c>
      <c r="AM933">
        <v>170.69624532868468</v>
      </c>
      <c r="AN933">
        <v>0</v>
      </c>
      <c r="AO933" t="s">
        <v>6386</v>
      </c>
      <c r="AP933" t="s">
        <v>4825</v>
      </c>
    </row>
    <row r="934" spans="1:42" x14ac:dyDescent="0.25">
      <c r="A934">
        <v>933</v>
      </c>
      <c r="B934" t="s">
        <v>2094</v>
      </c>
      <c r="C934" t="s">
        <v>2094</v>
      </c>
      <c r="D934" t="s">
        <v>2095</v>
      </c>
      <c r="E934" t="s">
        <v>351</v>
      </c>
      <c r="F934" t="s">
        <v>352</v>
      </c>
      <c r="G934" t="s">
        <v>257</v>
      </c>
      <c r="H934" t="s">
        <v>258</v>
      </c>
      <c r="I934" t="s">
        <v>2096</v>
      </c>
      <c r="J934" t="s">
        <v>480</v>
      </c>
      <c r="K934" t="s">
        <v>481</v>
      </c>
      <c r="L934">
        <v>50.531113507000001</v>
      </c>
      <c r="M934">
        <v>4.5965006486100002</v>
      </c>
      <c r="Q934">
        <v>13</v>
      </c>
      <c r="R934" t="s">
        <v>73</v>
      </c>
      <c r="S934" t="s">
        <v>73</v>
      </c>
      <c r="U934" t="s">
        <v>73</v>
      </c>
      <c r="V934" t="s">
        <v>73</v>
      </c>
      <c r="X934" t="s">
        <v>73</v>
      </c>
      <c r="Y934" t="s">
        <v>73</v>
      </c>
      <c r="AF934">
        <v>279.47777777777998</v>
      </c>
      <c r="AG934">
        <v>6.5555555555555998</v>
      </c>
      <c r="AH934">
        <v>17</v>
      </c>
      <c r="AI934">
        <v>982</v>
      </c>
      <c r="AJ934">
        <v>0</v>
      </c>
      <c r="AK934">
        <v>658.95555555555995</v>
      </c>
      <c r="AL934">
        <v>2004</v>
      </c>
      <c r="AM934">
        <v>0</v>
      </c>
      <c r="AN934">
        <v>0</v>
      </c>
      <c r="AO934" t="s">
        <v>6387</v>
      </c>
      <c r="AP934" t="s">
        <v>2095</v>
      </c>
    </row>
    <row r="935" spans="1:42" x14ac:dyDescent="0.25">
      <c r="A935">
        <v>934</v>
      </c>
      <c r="B935" t="s">
        <v>3560</v>
      </c>
      <c r="C935" t="s">
        <v>3560</v>
      </c>
      <c r="D935" t="s">
        <v>3563</v>
      </c>
      <c r="E935" t="s">
        <v>218</v>
      </c>
      <c r="F935" t="s">
        <v>219</v>
      </c>
      <c r="G935" t="s">
        <v>69</v>
      </c>
      <c r="H935" t="s">
        <v>70</v>
      </c>
      <c r="I935" t="s">
        <v>3592</v>
      </c>
      <c r="J935" t="s">
        <v>241</v>
      </c>
      <c r="K935" t="s">
        <v>242</v>
      </c>
      <c r="L935" t="s">
        <v>4982</v>
      </c>
      <c r="M935" t="s">
        <v>4983</v>
      </c>
      <c r="R935" t="s">
        <v>73</v>
      </c>
      <c r="S935" t="s">
        <v>73</v>
      </c>
      <c r="U935" t="s">
        <v>73</v>
      </c>
      <c r="V935" t="s">
        <v>73</v>
      </c>
      <c r="X935" t="s">
        <v>73</v>
      </c>
      <c r="Y935" t="s">
        <v>73</v>
      </c>
      <c r="AA935" t="s">
        <v>73</v>
      </c>
      <c r="AB935" t="s">
        <v>73</v>
      </c>
      <c r="AF935">
        <v>279.45714285714502</v>
      </c>
      <c r="AG935">
        <v>5.8571428571429003</v>
      </c>
      <c r="AH935">
        <v>6</v>
      </c>
      <c r="AI935">
        <v>903</v>
      </c>
      <c r="AJ935">
        <v>40</v>
      </c>
      <c r="AK935">
        <v>586.91428571429003</v>
      </c>
      <c r="AM935">
        <v>0</v>
      </c>
      <c r="AN935">
        <v>224</v>
      </c>
      <c r="AO935" t="s">
        <v>6388</v>
      </c>
      <c r="AP935" t="s">
        <v>3563</v>
      </c>
    </row>
    <row r="936" spans="1:42" x14ac:dyDescent="0.25">
      <c r="A936">
        <v>935</v>
      </c>
      <c r="B936" t="s">
        <v>1260</v>
      </c>
      <c r="C936" t="s">
        <v>1260</v>
      </c>
      <c r="D936" t="s">
        <v>5416</v>
      </c>
      <c r="E936" t="s">
        <v>67</v>
      </c>
      <c r="F936" t="s">
        <v>68</v>
      </c>
      <c r="G936" t="s">
        <v>69</v>
      </c>
      <c r="H936" t="s">
        <v>70</v>
      </c>
      <c r="I936" t="s">
        <v>1261</v>
      </c>
      <c r="J936" t="s">
        <v>2003</v>
      </c>
      <c r="K936" t="s">
        <v>2004</v>
      </c>
      <c r="L936" t="s">
        <v>5398</v>
      </c>
      <c r="M936" t="s">
        <v>5399</v>
      </c>
      <c r="R936" t="s">
        <v>73</v>
      </c>
      <c r="S936" t="s">
        <v>73</v>
      </c>
      <c r="U936" t="s">
        <v>73</v>
      </c>
      <c r="V936" t="s">
        <v>73</v>
      </c>
      <c r="X936" t="s">
        <v>73</v>
      </c>
      <c r="Y936" t="s">
        <v>73</v>
      </c>
      <c r="AA936" t="s">
        <v>73</v>
      </c>
      <c r="AB936" t="s">
        <v>73</v>
      </c>
      <c r="AF936">
        <v>279.39999999999998</v>
      </c>
      <c r="AG936">
        <v>6.2</v>
      </c>
      <c r="AH936">
        <v>14</v>
      </c>
      <c r="AI936">
        <v>947</v>
      </c>
      <c r="AJ936">
        <v>20</v>
      </c>
      <c r="AK936">
        <v>622.79999999999995</v>
      </c>
      <c r="AM936">
        <v>0</v>
      </c>
      <c r="AN936">
        <v>112</v>
      </c>
      <c r="AO936" t="s">
        <v>6389</v>
      </c>
      <c r="AP936" t="s">
        <v>5416</v>
      </c>
    </row>
    <row r="937" spans="1:42" x14ac:dyDescent="0.25">
      <c r="A937">
        <v>936</v>
      </c>
      <c r="B937" t="s">
        <v>3742</v>
      </c>
      <c r="C937" t="s">
        <v>3742</v>
      </c>
      <c r="D937" t="s">
        <v>4784</v>
      </c>
      <c r="E937" t="s">
        <v>5312</v>
      </c>
      <c r="F937" t="s">
        <v>157</v>
      </c>
      <c r="G937" t="s">
        <v>158</v>
      </c>
      <c r="H937" t="s">
        <v>159</v>
      </c>
      <c r="I937" t="s">
        <v>4781</v>
      </c>
      <c r="J937" t="s">
        <v>3094</v>
      </c>
      <c r="K937" t="s">
        <v>3095</v>
      </c>
      <c r="L937" t="s">
        <v>4783</v>
      </c>
      <c r="M937" t="s">
        <v>4782</v>
      </c>
      <c r="Q937">
        <v>12</v>
      </c>
      <c r="R937" t="s">
        <v>73</v>
      </c>
      <c r="S937" t="s">
        <v>73</v>
      </c>
      <c r="U937" t="s">
        <v>73</v>
      </c>
      <c r="V937" t="s">
        <v>73</v>
      </c>
      <c r="X937" t="s">
        <v>2446</v>
      </c>
      <c r="Y937" t="s">
        <v>2447</v>
      </c>
      <c r="Z937">
        <v>4</v>
      </c>
      <c r="AA937" t="s">
        <v>73</v>
      </c>
      <c r="AB937" t="s">
        <v>73</v>
      </c>
      <c r="AF937">
        <v>279.18680228686287</v>
      </c>
      <c r="AG937">
        <v>5.5</v>
      </c>
      <c r="AH937">
        <v>3</v>
      </c>
      <c r="AI937">
        <v>789</v>
      </c>
      <c r="AJ937">
        <v>59.874224763180941</v>
      </c>
      <c r="AK937">
        <v>550.6</v>
      </c>
      <c r="AM937">
        <v>83.823914668453313</v>
      </c>
      <c r="AN937">
        <v>0</v>
      </c>
      <c r="AO937" t="s">
        <v>6390</v>
      </c>
      <c r="AP937" t="s">
        <v>4784</v>
      </c>
    </row>
    <row r="938" spans="1:42" x14ac:dyDescent="0.25">
      <c r="A938">
        <v>937</v>
      </c>
      <c r="B938" t="s">
        <v>3774</v>
      </c>
      <c r="C938" t="s">
        <v>3774</v>
      </c>
      <c r="D938" t="s">
        <v>4004</v>
      </c>
      <c r="E938" t="s">
        <v>161</v>
      </c>
      <c r="F938" t="s">
        <v>161</v>
      </c>
      <c r="G938" t="s">
        <v>3167</v>
      </c>
      <c r="H938" t="s">
        <v>3166</v>
      </c>
      <c r="I938" t="s">
        <v>4001</v>
      </c>
      <c r="J938" t="s">
        <v>950</v>
      </c>
      <c r="K938" t="s">
        <v>951</v>
      </c>
      <c r="O938" t="s">
        <v>4003</v>
      </c>
      <c r="P938" t="s">
        <v>4002</v>
      </c>
      <c r="Q938">
        <v>13</v>
      </c>
      <c r="R938" t="s">
        <v>2409</v>
      </c>
      <c r="S938" t="s">
        <v>2410</v>
      </c>
      <c r="T938">
        <v>2</v>
      </c>
      <c r="U938" t="s">
        <v>3137</v>
      </c>
      <c r="V938" t="s">
        <v>3136</v>
      </c>
      <c r="W938">
        <v>5</v>
      </c>
      <c r="X938" t="s">
        <v>2440</v>
      </c>
      <c r="Y938" t="s">
        <v>2441</v>
      </c>
      <c r="Z938">
        <v>2</v>
      </c>
      <c r="AA938" t="s">
        <v>73</v>
      </c>
      <c r="AB938" t="s">
        <v>73</v>
      </c>
      <c r="AF938">
        <v>279.17142857143</v>
      </c>
      <c r="AG938">
        <v>6.5714285714285996</v>
      </c>
      <c r="AH938">
        <v>6</v>
      </c>
      <c r="AI938">
        <v>983</v>
      </c>
      <c r="AJ938">
        <v>0</v>
      </c>
      <c r="AK938">
        <v>658.34285714286</v>
      </c>
      <c r="AM938">
        <v>0</v>
      </c>
      <c r="AN938">
        <v>0</v>
      </c>
      <c r="AO938" t="s">
        <v>6391</v>
      </c>
      <c r="AP938" t="s">
        <v>4004</v>
      </c>
    </row>
    <row r="939" spans="1:42" x14ac:dyDescent="0.25">
      <c r="A939">
        <v>938</v>
      </c>
      <c r="B939" t="s">
        <v>1952</v>
      </c>
      <c r="C939" t="s">
        <v>1952</v>
      </c>
      <c r="D939" t="s">
        <v>3100</v>
      </c>
      <c r="E939" t="s">
        <v>5312</v>
      </c>
      <c r="F939" t="s">
        <v>157</v>
      </c>
      <c r="G939" t="s">
        <v>158</v>
      </c>
      <c r="H939" t="s">
        <v>159</v>
      </c>
      <c r="I939" t="s">
        <v>5319</v>
      </c>
      <c r="J939" t="s">
        <v>3094</v>
      </c>
      <c r="K939" t="s">
        <v>3095</v>
      </c>
      <c r="L939" t="s">
        <v>5300</v>
      </c>
      <c r="M939" t="s">
        <v>5301</v>
      </c>
      <c r="R939" t="s">
        <v>73</v>
      </c>
      <c r="S939" t="s">
        <v>73</v>
      </c>
      <c r="U939" t="s">
        <v>73</v>
      </c>
      <c r="V939" t="s">
        <v>73</v>
      </c>
      <c r="X939" t="s">
        <v>73</v>
      </c>
      <c r="Y939" t="s">
        <v>73</v>
      </c>
      <c r="AA939" t="s">
        <v>73</v>
      </c>
      <c r="AB939" t="s">
        <v>73</v>
      </c>
      <c r="AF939">
        <v>278.36008325713203</v>
      </c>
      <c r="AG939">
        <v>5.8</v>
      </c>
      <c r="AH939">
        <v>9</v>
      </c>
      <c r="AI939">
        <v>839</v>
      </c>
      <c r="AJ939">
        <v>41.622314730146705</v>
      </c>
      <c r="AK939">
        <v>581.79999999999995</v>
      </c>
      <c r="AM939">
        <v>58.271240622205383</v>
      </c>
      <c r="AN939">
        <v>0</v>
      </c>
      <c r="AO939" t="s">
        <v>6392</v>
      </c>
      <c r="AP939" t="s">
        <v>3100</v>
      </c>
    </row>
    <row r="940" spans="1:42" x14ac:dyDescent="0.25">
      <c r="A940">
        <v>939</v>
      </c>
      <c r="B940" t="s">
        <v>3048</v>
      </c>
      <c r="C940" t="s">
        <v>3048</v>
      </c>
      <c r="D940" t="s">
        <v>3050</v>
      </c>
      <c r="E940" t="s">
        <v>672</v>
      </c>
      <c r="F940" t="s">
        <v>672</v>
      </c>
      <c r="G940" t="s">
        <v>79</v>
      </c>
      <c r="H940" t="s">
        <v>80</v>
      </c>
      <c r="R940" t="s">
        <v>73</v>
      </c>
      <c r="S940" t="s">
        <v>73</v>
      </c>
      <c r="U940" t="s">
        <v>73</v>
      </c>
      <c r="V940" t="s">
        <v>73</v>
      </c>
      <c r="X940" t="s">
        <v>73</v>
      </c>
      <c r="Y940" t="s">
        <v>73</v>
      </c>
      <c r="AF940">
        <v>278.16666666666504</v>
      </c>
      <c r="AG940">
        <v>5.8333333333333002</v>
      </c>
      <c r="AH940">
        <v>5</v>
      </c>
      <c r="AI940">
        <v>904</v>
      </c>
      <c r="AJ940">
        <v>40</v>
      </c>
      <c r="AK940">
        <v>584.33333333333007</v>
      </c>
      <c r="AM940">
        <v>0</v>
      </c>
      <c r="AN940">
        <v>224</v>
      </c>
      <c r="AO940" t="s">
        <v>6393</v>
      </c>
      <c r="AP940" t="s">
        <v>3050</v>
      </c>
    </row>
    <row r="941" spans="1:42" x14ac:dyDescent="0.25">
      <c r="A941">
        <v>940</v>
      </c>
      <c r="B941" t="s">
        <v>3775</v>
      </c>
      <c r="C941" t="s">
        <v>3775</v>
      </c>
      <c r="D941" t="s">
        <v>4005</v>
      </c>
      <c r="E941" t="s">
        <v>161</v>
      </c>
      <c r="F941" t="s">
        <v>161</v>
      </c>
      <c r="G941" t="s">
        <v>3167</v>
      </c>
      <c r="H941" t="s">
        <v>3166</v>
      </c>
      <c r="I941" t="s">
        <v>4006</v>
      </c>
      <c r="J941" t="s">
        <v>164</v>
      </c>
      <c r="K941" t="s">
        <v>165</v>
      </c>
      <c r="O941" t="s">
        <v>4007</v>
      </c>
      <c r="P941" t="s">
        <v>4007</v>
      </c>
      <c r="Q941">
        <v>12</v>
      </c>
      <c r="R941" t="s">
        <v>2409</v>
      </c>
      <c r="S941" t="s">
        <v>2410</v>
      </c>
      <c r="T941">
        <v>2</v>
      </c>
      <c r="U941" t="s">
        <v>2432</v>
      </c>
      <c r="V941" t="s">
        <v>2433</v>
      </c>
      <c r="W941">
        <v>7</v>
      </c>
      <c r="X941" t="s">
        <v>2443</v>
      </c>
      <c r="Y941" t="s">
        <v>2444</v>
      </c>
      <c r="Z941">
        <v>3</v>
      </c>
      <c r="AA941" t="s">
        <v>73</v>
      </c>
      <c r="AB941" t="s">
        <v>73</v>
      </c>
      <c r="AF941">
        <v>275.5</v>
      </c>
      <c r="AG941">
        <v>6.5</v>
      </c>
      <c r="AH941">
        <v>5</v>
      </c>
      <c r="AI941">
        <v>984</v>
      </c>
      <c r="AJ941">
        <v>0</v>
      </c>
      <c r="AK941">
        <v>651</v>
      </c>
      <c r="AM941">
        <v>0</v>
      </c>
      <c r="AN941">
        <v>0</v>
      </c>
      <c r="AO941" t="s">
        <v>6394</v>
      </c>
      <c r="AP941" t="s">
        <v>4005</v>
      </c>
    </row>
    <row r="942" spans="1:42" x14ac:dyDescent="0.25">
      <c r="A942">
        <v>941</v>
      </c>
      <c r="B942" t="s">
        <v>3961</v>
      </c>
      <c r="C942" t="s">
        <v>3961</v>
      </c>
      <c r="D942" t="s">
        <v>3960</v>
      </c>
      <c r="E942" t="s">
        <v>3955</v>
      </c>
      <c r="F942" t="s">
        <v>3956</v>
      </c>
      <c r="G942" t="s">
        <v>60</v>
      </c>
      <c r="H942" t="s">
        <v>61</v>
      </c>
      <c r="L942" t="s">
        <v>4864</v>
      </c>
      <c r="M942" t="s">
        <v>4865</v>
      </c>
      <c r="R942" t="s">
        <v>73</v>
      </c>
      <c r="S942" t="s">
        <v>73</v>
      </c>
      <c r="U942" t="s">
        <v>73</v>
      </c>
      <c r="V942" t="s">
        <v>73</v>
      </c>
      <c r="X942" t="s">
        <v>73</v>
      </c>
      <c r="Y942" t="s">
        <v>73</v>
      </c>
      <c r="AA942" t="s">
        <v>73</v>
      </c>
      <c r="AB942" t="s">
        <v>73</v>
      </c>
      <c r="AF942">
        <v>275.5</v>
      </c>
      <c r="AG942">
        <v>6.5</v>
      </c>
      <c r="AH942">
        <v>5</v>
      </c>
      <c r="AI942">
        <v>985</v>
      </c>
      <c r="AJ942">
        <v>0</v>
      </c>
      <c r="AK942">
        <v>651</v>
      </c>
      <c r="AM942">
        <v>0</v>
      </c>
      <c r="AN942">
        <v>0</v>
      </c>
      <c r="AO942" t="s">
        <v>6395</v>
      </c>
      <c r="AP942" t="s">
        <v>3960</v>
      </c>
    </row>
    <row r="943" spans="1:42" x14ac:dyDescent="0.25">
      <c r="A943">
        <v>942</v>
      </c>
      <c r="B943" t="s">
        <v>1856</v>
      </c>
      <c r="C943" t="s">
        <v>1856</v>
      </c>
      <c r="D943" t="s">
        <v>5199</v>
      </c>
      <c r="E943" t="s">
        <v>199</v>
      </c>
      <c r="F943" t="s">
        <v>200</v>
      </c>
      <c r="I943" t="s">
        <v>1857</v>
      </c>
      <c r="J943" t="s">
        <v>912</v>
      </c>
      <c r="K943" t="s">
        <v>913</v>
      </c>
      <c r="L943" t="s">
        <v>5200</v>
      </c>
      <c r="M943" t="s">
        <v>5201</v>
      </c>
      <c r="R943" t="s">
        <v>73</v>
      </c>
      <c r="S943" t="s">
        <v>73</v>
      </c>
      <c r="U943" t="s">
        <v>73</v>
      </c>
      <c r="V943" t="s">
        <v>73</v>
      </c>
      <c r="X943" t="s">
        <v>73</v>
      </c>
      <c r="Y943" t="s">
        <v>73</v>
      </c>
      <c r="AA943" t="s">
        <v>73</v>
      </c>
      <c r="AB943" t="s">
        <v>73</v>
      </c>
      <c r="AF943">
        <v>271.95265080243087</v>
      </c>
      <c r="AG943">
        <v>4.1428571428570997</v>
      </c>
      <c r="AH943">
        <v>6</v>
      </c>
      <c r="AI943">
        <v>471</v>
      </c>
      <c r="AJ943">
        <v>126.89977073286208</v>
      </c>
      <c r="AK943">
        <v>415.48571428570995</v>
      </c>
      <c r="AM943">
        <v>177.6596790260069</v>
      </c>
      <c r="AN943">
        <v>0</v>
      </c>
      <c r="AO943" t="s">
        <v>6396</v>
      </c>
      <c r="AP943" t="s">
        <v>5199</v>
      </c>
    </row>
    <row r="944" spans="1:42" x14ac:dyDescent="0.25">
      <c r="A944">
        <v>943</v>
      </c>
      <c r="B944" t="s">
        <v>2204</v>
      </c>
      <c r="C944" t="s">
        <v>4183</v>
      </c>
      <c r="D944" t="s">
        <v>2205</v>
      </c>
      <c r="E944" t="s">
        <v>199</v>
      </c>
      <c r="F944" t="s">
        <v>200</v>
      </c>
      <c r="J944" t="s">
        <v>649</v>
      </c>
      <c r="K944" t="s">
        <v>650</v>
      </c>
      <c r="L944" t="s">
        <v>5248</v>
      </c>
      <c r="M944" t="s">
        <v>5249</v>
      </c>
      <c r="R944" t="s">
        <v>73</v>
      </c>
      <c r="S944" t="s">
        <v>73</v>
      </c>
      <c r="U944" t="s">
        <v>73</v>
      </c>
      <c r="V944" t="s">
        <v>73</v>
      </c>
      <c r="X944" t="s">
        <v>73</v>
      </c>
      <c r="Y944" t="s">
        <v>73</v>
      </c>
      <c r="AA944" t="s">
        <v>73</v>
      </c>
      <c r="AB944" t="s">
        <v>73</v>
      </c>
      <c r="AF944">
        <v>271.93333333333499</v>
      </c>
      <c r="AG944">
        <v>6.4166666666666998</v>
      </c>
      <c r="AH944">
        <v>11</v>
      </c>
      <c r="AI944">
        <v>986</v>
      </c>
      <c r="AJ944">
        <v>0</v>
      </c>
      <c r="AK944">
        <v>643.86666666666997</v>
      </c>
      <c r="AM944">
        <v>0</v>
      </c>
      <c r="AN944">
        <v>0</v>
      </c>
      <c r="AO944" t="s">
        <v>6397</v>
      </c>
      <c r="AP944" t="s">
        <v>2205</v>
      </c>
    </row>
    <row r="945" spans="1:42" x14ac:dyDescent="0.25">
      <c r="A945">
        <v>944</v>
      </c>
      <c r="B945" t="s">
        <v>534</v>
      </c>
      <c r="C945" t="s">
        <v>4182</v>
      </c>
      <c r="D945" t="s">
        <v>535</v>
      </c>
      <c r="E945" t="s">
        <v>199</v>
      </c>
      <c r="F945" t="s">
        <v>200</v>
      </c>
      <c r="J945" t="s">
        <v>396</v>
      </c>
      <c r="K945" t="s">
        <v>397</v>
      </c>
      <c r="L945" t="s">
        <v>5140</v>
      </c>
      <c r="M945" t="s">
        <v>5141</v>
      </c>
      <c r="R945" t="s">
        <v>73</v>
      </c>
      <c r="S945" t="s">
        <v>73</v>
      </c>
      <c r="U945" t="s">
        <v>73</v>
      </c>
      <c r="V945" t="s">
        <v>73</v>
      </c>
      <c r="X945" t="s">
        <v>73</v>
      </c>
      <c r="Y945" t="s">
        <v>73</v>
      </c>
      <c r="AA945" t="s">
        <v>73</v>
      </c>
      <c r="AB945" t="s">
        <v>73</v>
      </c>
      <c r="AF945">
        <v>271.38849992780928</v>
      </c>
      <c r="AG945">
        <v>5.7</v>
      </c>
      <c r="AH945">
        <v>9</v>
      </c>
      <c r="AI945">
        <v>910</v>
      </c>
      <c r="AJ945">
        <v>39.431666586454774</v>
      </c>
      <c r="AK945">
        <v>571.79999999999995</v>
      </c>
      <c r="AM945">
        <v>55.204333221036684</v>
      </c>
      <c r="AN945">
        <v>0</v>
      </c>
      <c r="AO945" t="s">
        <v>6398</v>
      </c>
      <c r="AP945" t="s">
        <v>535</v>
      </c>
    </row>
    <row r="946" spans="1:42" x14ac:dyDescent="0.25">
      <c r="A946">
        <v>945</v>
      </c>
      <c r="B946" t="s">
        <v>3603</v>
      </c>
      <c r="C946" t="s">
        <v>3603</v>
      </c>
      <c r="D946" t="s">
        <v>3651</v>
      </c>
      <c r="E946" t="s">
        <v>666</v>
      </c>
      <c r="F946" t="s">
        <v>667</v>
      </c>
      <c r="G946" t="s">
        <v>60</v>
      </c>
      <c r="H946" t="s">
        <v>61</v>
      </c>
      <c r="I946" t="s">
        <v>3652</v>
      </c>
      <c r="J946" t="s">
        <v>3620</v>
      </c>
      <c r="K946" t="s">
        <v>3624</v>
      </c>
      <c r="L946" t="s">
        <v>4492</v>
      </c>
      <c r="M946" t="s">
        <v>4493</v>
      </c>
      <c r="R946" t="s">
        <v>73</v>
      </c>
      <c r="S946" t="s">
        <v>73</v>
      </c>
      <c r="U946" t="s">
        <v>73</v>
      </c>
      <c r="V946" t="s">
        <v>73</v>
      </c>
      <c r="X946" t="s">
        <v>73</v>
      </c>
      <c r="Y946" t="s">
        <v>73</v>
      </c>
      <c r="AA946" t="s">
        <v>73</v>
      </c>
      <c r="AB946" t="s">
        <v>73</v>
      </c>
      <c r="AF946">
        <v>271.16666666666504</v>
      </c>
      <c r="AG946">
        <v>5.3333333333333002</v>
      </c>
      <c r="AH946">
        <v>5</v>
      </c>
      <c r="AI946">
        <v>777</v>
      </c>
      <c r="AJ946">
        <v>60.000000000000007</v>
      </c>
      <c r="AK946">
        <v>534.33333333333007</v>
      </c>
      <c r="AM946">
        <v>0</v>
      </c>
      <c r="AN946">
        <v>336</v>
      </c>
      <c r="AO946" t="s">
        <v>6399</v>
      </c>
      <c r="AP946" t="s">
        <v>3651</v>
      </c>
    </row>
    <row r="947" spans="1:42" x14ac:dyDescent="0.25">
      <c r="A947">
        <v>946</v>
      </c>
      <c r="B947" t="s">
        <v>3713</v>
      </c>
      <c r="C947" t="s">
        <v>3713</v>
      </c>
      <c r="D947" t="s">
        <v>4267</v>
      </c>
      <c r="E947" t="s">
        <v>351</v>
      </c>
      <c r="F947" t="s">
        <v>352</v>
      </c>
      <c r="G947" t="s">
        <v>257</v>
      </c>
      <c r="H947" t="s">
        <v>258</v>
      </c>
      <c r="I947" t="s">
        <v>3788</v>
      </c>
      <c r="J947" t="s">
        <v>3789</v>
      </c>
      <c r="K947" t="s">
        <v>3790</v>
      </c>
      <c r="L947">
        <v>50.715191342899999</v>
      </c>
      <c r="M947">
        <v>4.5360868055600001</v>
      </c>
      <c r="R947" t="s">
        <v>73</v>
      </c>
      <c r="S947" t="s">
        <v>73</v>
      </c>
      <c r="U947" t="s">
        <v>73</v>
      </c>
      <c r="V947" t="s">
        <v>73</v>
      </c>
      <c r="X947" t="s">
        <v>73</v>
      </c>
      <c r="Y947" t="s">
        <v>73</v>
      </c>
      <c r="AA947" t="s">
        <v>73</v>
      </c>
      <c r="AB947" t="s">
        <v>73</v>
      </c>
      <c r="AF947">
        <v>270.89999999999998</v>
      </c>
      <c r="AG947">
        <v>6.4</v>
      </c>
      <c r="AH947">
        <v>9</v>
      </c>
      <c r="AI947">
        <v>987</v>
      </c>
      <c r="AJ947">
        <v>0</v>
      </c>
      <c r="AK947">
        <v>641.79999999999995</v>
      </c>
      <c r="AM947">
        <v>0</v>
      </c>
      <c r="AN947">
        <v>0</v>
      </c>
      <c r="AO947" t="s">
        <v>6400</v>
      </c>
      <c r="AP947" t="s">
        <v>4267</v>
      </c>
    </row>
    <row r="948" spans="1:42" x14ac:dyDescent="0.25">
      <c r="A948">
        <v>947</v>
      </c>
      <c r="B948" t="s">
        <v>2268</v>
      </c>
      <c r="C948" t="s">
        <v>2268</v>
      </c>
      <c r="D948" t="s">
        <v>2269</v>
      </c>
      <c r="E948" t="s">
        <v>459</v>
      </c>
      <c r="F948" t="s">
        <v>459</v>
      </c>
      <c r="G948" t="s">
        <v>257</v>
      </c>
      <c r="H948" t="s">
        <v>258</v>
      </c>
      <c r="R948" t="s">
        <v>73</v>
      </c>
      <c r="S948" t="s">
        <v>73</v>
      </c>
      <c r="U948" t="s">
        <v>73</v>
      </c>
      <c r="V948" t="s">
        <v>73</v>
      </c>
      <c r="X948" t="s">
        <v>73</v>
      </c>
      <c r="Y948" t="s">
        <v>73</v>
      </c>
      <c r="AA948" t="s">
        <v>73</v>
      </c>
      <c r="AB948" t="s">
        <v>73</v>
      </c>
      <c r="AF948">
        <v>268.8</v>
      </c>
      <c r="AG948">
        <v>6</v>
      </c>
      <c r="AH948">
        <v>8</v>
      </c>
      <c r="AI948">
        <v>948</v>
      </c>
      <c r="AJ948">
        <v>20</v>
      </c>
      <c r="AK948">
        <v>601.6</v>
      </c>
      <c r="AM948">
        <v>0</v>
      </c>
      <c r="AN948">
        <v>112</v>
      </c>
      <c r="AO948" t="s">
        <v>6401</v>
      </c>
      <c r="AP948" t="s">
        <v>2269</v>
      </c>
    </row>
    <row r="949" spans="1:42" x14ac:dyDescent="0.25">
      <c r="A949">
        <v>948</v>
      </c>
      <c r="B949" t="s">
        <v>65</v>
      </c>
      <c r="C949" t="s">
        <v>65</v>
      </c>
      <c r="D949" t="s">
        <v>5443</v>
      </c>
      <c r="E949" t="s">
        <v>67</v>
      </c>
      <c r="F949" t="s">
        <v>68</v>
      </c>
      <c r="G949" t="s">
        <v>3845</v>
      </c>
      <c r="H949" t="s">
        <v>3846</v>
      </c>
      <c r="I949" t="s">
        <v>66</v>
      </c>
      <c r="J949" t="s">
        <v>71</v>
      </c>
      <c r="K949" t="s">
        <v>72</v>
      </c>
      <c r="L949" t="s">
        <v>5374</v>
      </c>
      <c r="M949" t="s">
        <v>5375</v>
      </c>
      <c r="R949" t="s">
        <v>73</v>
      </c>
      <c r="S949" t="s">
        <v>73</v>
      </c>
      <c r="U949" t="s">
        <v>73</v>
      </c>
      <c r="V949" t="s">
        <v>73</v>
      </c>
      <c r="X949" t="s">
        <v>73</v>
      </c>
      <c r="Y949" t="s">
        <v>73</v>
      </c>
      <c r="AA949" t="s">
        <v>73</v>
      </c>
      <c r="AB949" t="s">
        <v>73</v>
      </c>
      <c r="AF949">
        <v>268.5</v>
      </c>
      <c r="AG949">
        <v>6</v>
      </c>
      <c r="AH949">
        <v>5</v>
      </c>
      <c r="AI949">
        <v>949</v>
      </c>
      <c r="AJ949">
        <v>20</v>
      </c>
      <c r="AK949">
        <v>601</v>
      </c>
      <c r="AM949">
        <v>0</v>
      </c>
      <c r="AN949">
        <v>112</v>
      </c>
      <c r="AO949" t="s">
        <v>6402</v>
      </c>
      <c r="AP949" t="s">
        <v>5443</v>
      </c>
    </row>
    <row r="950" spans="1:42" x14ac:dyDescent="0.25">
      <c r="A950">
        <v>949</v>
      </c>
      <c r="B950" t="s">
        <v>2084</v>
      </c>
      <c r="C950" t="s">
        <v>2084</v>
      </c>
      <c r="D950" t="s">
        <v>3635</v>
      </c>
      <c r="E950" t="s">
        <v>666</v>
      </c>
      <c r="F950" t="s">
        <v>667</v>
      </c>
      <c r="G950" t="s">
        <v>60</v>
      </c>
      <c r="H950" t="s">
        <v>61</v>
      </c>
      <c r="I950" t="s">
        <v>2085</v>
      </c>
      <c r="J950" t="s">
        <v>3619</v>
      </c>
      <c r="K950" t="s">
        <v>3616</v>
      </c>
      <c r="L950" t="s">
        <v>4458</v>
      </c>
      <c r="M950" t="s">
        <v>4459</v>
      </c>
      <c r="R950" t="s">
        <v>73</v>
      </c>
      <c r="S950" t="s">
        <v>73</v>
      </c>
      <c r="U950" t="s">
        <v>73</v>
      </c>
      <c r="V950" t="s">
        <v>73</v>
      </c>
      <c r="X950" t="s">
        <v>73</v>
      </c>
      <c r="Y950" t="s">
        <v>73</v>
      </c>
      <c r="AF950">
        <v>267.2</v>
      </c>
      <c r="AG950">
        <v>5.25</v>
      </c>
      <c r="AH950">
        <v>7</v>
      </c>
      <c r="AI950">
        <v>778</v>
      </c>
      <c r="AJ950">
        <v>60.000000000000007</v>
      </c>
      <c r="AK950">
        <v>526.4</v>
      </c>
      <c r="AM950">
        <v>0</v>
      </c>
      <c r="AN950">
        <v>336</v>
      </c>
      <c r="AO950" t="s">
        <v>6403</v>
      </c>
      <c r="AP950" t="s">
        <v>3635</v>
      </c>
    </row>
    <row r="951" spans="1:42" x14ac:dyDescent="0.25">
      <c r="A951">
        <v>950</v>
      </c>
      <c r="B951" t="s">
        <v>2075</v>
      </c>
      <c r="C951" t="s">
        <v>2075</v>
      </c>
      <c r="D951" t="s">
        <v>2076</v>
      </c>
      <c r="E951" t="s">
        <v>318</v>
      </c>
      <c r="F951" t="s">
        <v>319</v>
      </c>
      <c r="G951" t="s">
        <v>75</v>
      </c>
      <c r="H951" t="s">
        <v>76</v>
      </c>
      <c r="R951" t="s">
        <v>73</v>
      </c>
      <c r="S951" t="s">
        <v>73</v>
      </c>
      <c r="U951" t="s">
        <v>73</v>
      </c>
      <c r="V951" t="s">
        <v>73</v>
      </c>
      <c r="X951" t="s">
        <v>73</v>
      </c>
      <c r="Y951" t="s">
        <v>73</v>
      </c>
      <c r="AA951" t="s">
        <v>73</v>
      </c>
      <c r="AB951" t="s">
        <v>73</v>
      </c>
      <c r="AF951">
        <v>266.8</v>
      </c>
      <c r="AG951">
        <v>5.25</v>
      </c>
      <c r="AH951">
        <v>3</v>
      </c>
      <c r="AI951">
        <v>779</v>
      </c>
      <c r="AJ951">
        <v>60.000000000000007</v>
      </c>
      <c r="AK951">
        <v>525.6</v>
      </c>
      <c r="AM951">
        <v>0</v>
      </c>
      <c r="AN951">
        <v>336</v>
      </c>
      <c r="AO951" t="s">
        <v>6404</v>
      </c>
      <c r="AP951" t="s">
        <v>2076</v>
      </c>
    </row>
    <row r="952" spans="1:42" x14ac:dyDescent="0.25">
      <c r="A952">
        <v>951</v>
      </c>
      <c r="B952" t="s">
        <v>3777</v>
      </c>
      <c r="C952" t="s">
        <v>3777</v>
      </c>
      <c r="D952" t="s">
        <v>3796</v>
      </c>
      <c r="E952" t="s">
        <v>161</v>
      </c>
      <c r="F952" t="s">
        <v>161</v>
      </c>
      <c r="G952" t="s">
        <v>3167</v>
      </c>
      <c r="H952" t="s">
        <v>3166</v>
      </c>
      <c r="I952" t="s">
        <v>3808</v>
      </c>
      <c r="J952" t="s">
        <v>675</v>
      </c>
      <c r="K952" t="s">
        <v>676</v>
      </c>
      <c r="R952" t="s">
        <v>73</v>
      </c>
      <c r="S952" t="s">
        <v>73</v>
      </c>
      <c r="U952" t="s">
        <v>73</v>
      </c>
      <c r="V952" t="s">
        <v>73</v>
      </c>
      <c r="X952" t="s">
        <v>2440</v>
      </c>
      <c r="Y952" t="s">
        <v>2441</v>
      </c>
      <c r="Z952">
        <v>2</v>
      </c>
      <c r="AA952" t="s">
        <v>73</v>
      </c>
      <c r="AB952" t="s">
        <v>73</v>
      </c>
      <c r="AF952">
        <v>266.07707493580727</v>
      </c>
      <c r="AG952">
        <v>5.8333333333333002</v>
      </c>
      <c r="AH952">
        <v>5</v>
      </c>
      <c r="AI952">
        <v>934</v>
      </c>
      <c r="AJ952">
        <v>26.567120299046923</v>
      </c>
      <c r="AK952">
        <v>584.33333333333007</v>
      </c>
      <c r="AM952">
        <v>37.19396841866569</v>
      </c>
      <c r="AN952">
        <v>0</v>
      </c>
      <c r="AO952" t="s">
        <v>6405</v>
      </c>
      <c r="AP952" t="s">
        <v>3796</v>
      </c>
    </row>
    <row r="953" spans="1:42" x14ac:dyDescent="0.25">
      <c r="A953">
        <v>952</v>
      </c>
      <c r="B953" t="s">
        <v>3403</v>
      </c>
      <c r="C953" t="s">
        <v>3403</v>
      </c>
      <c r="D953" t="s">
        <v>3404</v>
      </c>
      <c r="E953" t="s">
        <v>67</v>
      </c>
      <c r="F953" t="s">
        <v>68</v>
      </c>
      <c r="G953" t="s">
        <v>3845</v>
      </c>
      <c r="H953" t="s">
        <v>3844</v>
      </c>
      <c r="J953" t="s">
        <v>796</v>
      </c>
      <c r="K953" t="s">
        <v>797</v>
      </c>
      <c r="L953" t="s">
        <v>5155</v>
      </c>
      <c r="M953" t="s">
        <v>5156</v>
      </c>
      <c r="R953" t="s">
        <v>73</v>
      </c>
      <c r="S953" t="s">
        <v>73</v>
      </c>
      <c r="U953" t="s">
        <v>73</v>
      </c>
      <c r="V953" t="s">
        <v>73</v>
      </c>
      <c r="X953" t="s">
        <v>73</v>
      </c>
      <c r="Y953" t="s">
        <v>73</v>
      </c>
      <c r="AA953" t="s">
        <v>73</v>
      </c>
      <c r="AB953" t="s">
        <v>73</v>
      </c>
      <c r="AF953">
        <v>265.73137754135848</v>
      </c>
      <c r="AG953">
        <v>3.75</v>
      </c>
      <c r="AH953">
        <v>3</v>
      </c>
      <c r="AI953">
        <v>399</v>
      </c>
      <c r="AJ953">
        <v>142.14597504595389</v>
      </c>
      <c r="AK953">
        <v>375.6</v>
      </c>
      <c r="AL953">
        <v>2012</v>
      </c>
      <c r="AM953">
        <v>171.00436506433545</v>
      </c>
      <c r="AN953">
        <v>112</v>
      </c>
      <c r="AO953" t="s">
        <v>6406</v>
      </c>
      <c r="AP953" t="s">
        <v>3404</v>
      </c>
    </row>
    <row r="954" spans="1:42" x14ac:dyDescent="0.25">
      <c r="A954">
        <v>953</v>
      </c>
      <c r="B954" t="s">
        <v>876</v>
      </c>
      <c r="C954" t="s">
        <v>876</v>
      </c>
      <c r="D954" t="s">
        <v>877</v>
      </c>
      <c r="E954" t="s">
        <v>199</v>
      </c>
      <c r="F954" t="s">
        <v>200</v>
      </c>
      <c r="J954" t="s">
        <v>3164</v>
      </c>
      <c r="K954" t="s">
        <v>309</v>
      </c>
      <c r="L954" t="s">
        <v>5261</v>
      </c>
      <c r="M954" t="s">
        <v>5262</v>
      </c>
      <c r="R954" t="s">
        <v>73</v>
      </c>
      <c r="S954" t="s">
        <v>73</v>
      </c>
      <c r="U954" t="s">
        <v>73</v>
      </c>
      <c r="V954" t="s">
        <v>73</v>
      </c>
      <c r="X954" t="s">
        <v>73</v>
      </c>
      <c r="Y954" t="s">
        <v>73</v>
      </c>
      <c r="AA954" t="s">
        <v>73</v>
      </c>
      <c r="AB954" t="s">
        <v>73</v>
      </c>
      <c r="AF954">
        <v>265.46223896486771</v>
      </c>
      <c r="AG954">
        <v>5.8571428571429003</v>
      </c>
      <c r="AH954">
        <v>6</v>
      </c>
      <c r="AI954">
        <v>936</v>
      </c>
      <c r="AJ954">
        <v>24.450106786358532</v>
      </c>
      <c r="AK954">
        <v>586.91428571429003</v>
      </c>
      <c r="AM954">
        <v>34.230149500901945</v>
      </c>
      <c r="AN954">
        <v>0</v>
      </c>
      <c r="AO954" t="s">
        <v>6407</v>
      </c>
      <c r="AP954" t="s">
        <v>877</v>
      </c>
    </row>
    <row r="955" spans="1:42" x14ac:dyDescent="0.25">
      <c r="A955">
        <v>954</v>
      </c>
      <c r="B955" t="s">
        <v>1076</v>
      </c>
      <c r="C955" t="s">
        <v>1076</v>
      </c>
      <c r="D955" t="s">
        <v>1077</v>
      </c>
      <c r="E955" t="s">
        <v>255</v>
      </c>
      <c r="F955" t="s">
        <v>256</v>
      </c>
      <c r="G955" t="s">
        <v>257</v>
      </c>
      <c r="H955" t="s">
        <v>258</v>
      </c>
      <c r="I955" t="s">
        <v>1078</v>
      </c>
      <c r="J955" t="s">
        <v>382</v>
      </c>
      <c r="K955" t="s">
        <v>383</v>
      </c>
      <c r="L955">
        <v>52.621655844400003</v>
      </c>
      <c r="M955">
        <v>4.6544704471599996</v>
      </c>
      <c r="Q955">
        <v>13</v>
      </c>
      <c r="R955" t="s">
        <v>2414</v>
      </c>
      <c r="S955" t="s">
        <v>2415</v>
      </c>
      <c r="T955">
        <v>3</v>
      </c>
      <c r="U955" t="s">
        <v>2432</v>
      </c>
      <c r="V955" t="s">
        <v>2433</v>
      </c>
      <c r="W955">
        <v>7</v>
      </c>
      <c r="X955" t="s">
        <v>2449</v>
      </c>
      <c r="Y955" t="s">
        <v>2450</v>
      </c>
      <c r="Z955">
        <v>5</v>
      </c>
      <c r="AF955">
        <v>265.00408163265502</v>
      </c>
      <c r="AG955">
        <v>6.2040816326531001</v>
      </c>
      <c r="AH955">
        <v>48</v>
      </c>
      <c r="AI955">
        <v>988</v>
      </c>
      <c r="AJ955">
        <v>0</v>
      </c>
      <c r="AK955">
        <v>630.00816326531003</v>
      </c>
      <c r="AM955">
        <v>0</v>
      </c>
      <c r="AN955">
        <v>0</v>
      </c>
      <c r="AO955" t="s">
        <v>6408</v>
      </c>
      <c r="AP955" t="s">
        <v>1077</v>
      </c>
    </row>
    <row r="956" spans="1:42" x14ac:dyDescent="0.25">
      <c r="A956">
        <v>955</v>
      </c>
      <c r="B956" t="s">
        <v>2919</v>
      </c>
      <c r="C956" t="s">
        <v>4096</v>
      </c>
      <c r="D956" t="s">
        <v>2972</v>
      </c>
      <c r="E956" t="s">
        <v>213</v>
      </c>
      <c r="F956" t="s">
        <v>214</v>
      </c>
      <c r="G956" t="s">
        <v>75</v>
      </c>
      <c r="H956" t="s">
        <v>76</v>
      </c>
      <c r="I956" t="s">
        <v>792</v>
      </c>
      <c r="Q956">
        <v>13</v>
      </c>
      <c r="R956" t="s">
        <v>73</v>
      </c>
      <c r="S956" t="s">
        <v>73</v>
      </c>
      <c r="U956" t="s">
        <v>2430</v>
      </c>
      <c r="V956" t="s">
        <v>2431</v>
      </c>
      <c r="W956">
        <v>6</v>
      </c>
      <c r="X956" t="s">
        <v>2443</v>
      </c>
      <c r="Y956" t="s">
        <v>2444</v>
      </c>
      <c r="Z956">
        <v>3</v>
      </c>
      <c r="AA956" t="s">
        <v>73</v>
      </c>
      <c r="AB956" t="s">
        <v>73</v>
      </c>
      <c r="AF956">
        <v>264.1570579279761</v>
      </c>
      <c r="AG956">
        <v>4.3571428571429003</v>
      </c>
      <c r="AH956">
        <v>13</v>
      </c>
      <c r="AI956">
        <v>570</v>
      </c>
      <c r="AJ956">
        <v>105.55546118981231</v>
      </c>
      <c r="AK956">
        <v>438.31428571429007</v>
      </c>
      <c r="AM956">
        <v>91.777645665737211</v>
      </c>
      <c r="AN956">
        <v>224</v>
      </c>
      <c r="AO956" t="s">
        <v>6409</v>
      </c>
      <c r="AP956" t="s">
        <v>2972</v>
      </c>
    </row>
    <row r="957" spans="1:42" x14ac:dyDescent="0.25">
      <c r="A957">
        <v>956</v>
      </c>
      <c r="B957" t="s">
        <v>3722</v>
      </c>
      <c r="C957" t="s">
        <v>3722</v>
      </c>
      <c r="D957" t="s">
        <v>3723</v>
      </c>
      <c r="E957" t="s">
        <v>183</v>
      </c>
      <c r="F957" t="s">
        <v>184</v>
      </c>
      <c r="G957" t="s">
        <v>158</v>
      </c>
      <c r="H957" t="s">
        <v>159</v>
      </c>
      <c r="J957" t="s">
        <v>1205</v>
      </c>
      <c r="K957" t="s">
        <v>1206</v>
      </c>
      <c r="Q957">
        <v>11</v>
      </c>
      <c r="R957" t="s">
        <v>2409</v>
      </c>
      <c r="S957" t="s">
        <v>2410</v>
      </c>
      <c r="T957">
        <v>2</v>
      </c>
      <c r="U957" t="s">
        <v>3137</v>
      </c>
      <c r="V957" t="s">
        <v>3136</v>
      </c>
      <c r="W957">
        <v>5</v>
      </c>
      <c r="X957" t="s">
        <v>2440</v>
      </c>
      <c r="Y957" t="s">
        <v>2441</v>
      </c>
      <c r="Z957">
        <v>2</v>
      </c>
      <c r="AA957" t="s">
        <v>73</v>
      </c>
      <c r="AB957" t="s">
        <v>73</v>
      </c>
      <c r="AE957" t="s">
        <v>3973</v>
      </c>
      <c r="AF957">
        <v>263.28444980289999</v>
      </c>
      <c r="AG957">
        <v>5.4285714285714004</v>
      </c>
      <c r="AH957">
        <v>6</v>
      </c>
      <c r="AI957">
        <v>823</v>
      </c>
      <c r="AJ957">
        <v>45.839864860366632</v>
      </c>
      <c r="AK957">
        <v>544.05714285714009</v>
      </c>
      <c r="AM957">
        <v>64.175810804513276</v>
      </c>
      <c r="AN957">
        <v>0</v>
      </c>
      <c r="AO957" t="s">
        <v>6410</v>
      </c>
      <c r="AP957" t="s">
        <v>3723</v>
      </c>
    </row>
    <row r="958" spans="1:42" x14ac:dyDescent="0.25">
      <c r="A958">
        <v>957</v>
      </c>
      <c r="B958" t="s">
        <v>976</v>
      </c>
      <c r="C958" t="s">
        <v>976</v>
      </c>
      <c r="D958" t="s">
        <v>977</v>
      </c>
      <c r="E958" t="s">
        <v>3169</v>
      </c>
      <c r="F958" t="s">
        <v>379</v>
      </c>
      <c r="G958" t="s">
        <v>162</v>
      </c>
      <c r="H958" t="s">
        <v>163</v>
      </c>
      <c r="J958" t="s">
        <v>978</v>
      </c>
      <c r="K958" t="s">
        <v>976</v>
      </c>
      <c r="R958" t="s">
        <v>73</v>
      </c>
      <c r="S958" t="s">
        <v>73</v>
      </c>
      <c r="U958" t="s">
        <v>73</v>
      </c>
      <c r="V958" t="s">
        <v>73</v>
      </c>
      <c r="X958" t="s">
        <v>73</v>
      </c>
      <c r="Y958" t="s">
        <v>73</v>
      </c>
      <c r="AF958">
        <v>262.59285714285716</v>
      </c>
      <c r="AG958">
        <v>4.875</v>
      </c>
      <c r="AH958">
        <v>7</v>
      </c>
      <c r="AI958">
        <v>710</v>
      </c>
      <c r="AJ958">
        <v>75.714285714285722</v>
      </c>
      <c r="AK958">
        <v>488.9</v>
      </c>
      <c r="AM958">
        <v>0</v>
      </c>
      <c r="AN958">
        <v>424</v>
      </c>
      <c r="AO958" t="s">
        <v>6411</v>
      </c>
      <c r="AP958" t="s">
        <v>977</v>
      </c>
    </row>
    <row r="959" spans="1:42" x14ac:dyDescent="0.25">
      <c r="A959">
        <v>958</v>
      </c>
      <c r="B959" t="s">
        <v>2936</v>
      </c>
      <c r="C959" t="s">
        <v>2936</v>
      </c>
      <c r="D959" t="s">
        <v>1638</v>
      </c>
      <c r="E959" t="s">
        <v>199</v>
      </c>
      <c r="F959" t="s">
        <v>200</v>
      </c>
      <c r="J959" t="s">
        <v>411</v>
      </c>
      <c r="K959" t="s">
        <v>412</v>
      </c>
      <c r="L959" t="s">
        <v>5215</v>
      </c>
      <c r="M959" t="s">
        <v>5216</v>
      </c>
      <c r="R959" t="s">
        <v>73</v>
      </c>
      <c r="S959" t="s">
        <v>73</v>
      </c>
      <c r="U959" t="s">
        <v>73</v>
      </c>
      <c r="V959" t="s">
        <v>73</v>
      </c>
      <c r="X959" t="s">
        <v>73</v>
      </c>
      <c r="Y959" t="s">
        <v>73</v>
      </c>
      <c r="AA959" t="s">
        <v>73</v>
      </c>
      <c r="AB959" t="s">
        <v>73</v>
      </c>
      <c r="AF959">
        <v>260.91627976904363</v>
      </c>
      <c r="AG959">
        <v>4.75</v>
      </c>
      <c r="AH959">
        <v>7</v>
      </c>
      <c r="AI959">
        <v>665</v>
      </c>
      <c r="AJ959">
        <v>80.795866410048447</v>
      </c>
      <c r="AK959">
        <v>476.4</v>
      </c>
      <c r="AM959">
        <v>113.11421297406781</v>
      </c>
      <c r="AN959">
        <v>0</v>
      </c>
      <c r="AO959" t="s">
        <v>6412</v>
      </c>
      <c r="AP959" t="s">
        <v>1638</v>
      </c>
    </row>
    <row r="960" spans="1:42" x14ac:dyDescent="0.25">
      <c r="A960">
        <v>959</v>
      </c>
      <c r="B960" t="s">
        <v>1665</v>
      </c>
      <c r="C960" t="s">
        <v>1665</v>
      </c>
      <c r="D960" t="s">
        <v>1666</v>
      </c>
      <c r="E960" t="s">
        <v>199</v>
      </c>
      <c r="F960" t="s">
        <v>200</v>
      </c>
      <c r="I960" t="s">
        <v>1667</v>
      </c>
      <c r="J960" t="s">
        <v>447</v>
      </c>
      <c r="K960" t="s">
        <v>448</v>
      </c>
      <c r="L960" t="s">
        <v>5254</v>
      </c>
      <c r="M960" t="s">
        <v>5263</v>
      </c>
      <c r="O960" t="s">
        <v>2588</v>
      </c>
      <c r="P960" t="s">
        <v>2588</v>
      </c>
      <c r="Q960">
        <v>11</v>
      </c>
      <c r="R960" t="s">
        <v>2414</v>
      </c>
      <c r="S960" t="s">
        <v>2415</v>
      </c>
      <c r="T960">
        <v>3</v>
      </c>
      <c r="U960" t="s">
        <v>3137</v>
      </c>
      <c r="V960" t="s">
        <v>3136</v>
      </c>
      <c r="W960">
        <v>5</v>
      </c>
      <c r="X960" t="s">
        <v>2446</v>
      </c>
      <c r="Y960" t="s">
        <v>2447</v>
      </c>
      <c r="Z960">
        <v>4</v>
      </c>
      <c r="AA960" t="s">
        <v>73</v>
      </c>
      <c r="AB960" t="s">
        <v>73</v>
      </c>
      <c r="AE960" t="s">
        <v>1668</v>
      </c>
      <c r="AF960">
        <v>260.875</v>
      </c>
      <c r="AG960">
        <v>6.1875</v>
      </c>
      <c r="AH960">
        <v>15</v>
      </c>
      <c r="AI960">
        <v>989</v>
      </c>
      <c r="AJ960">
        <v>0</v>
      </c>
      <c r="AK960">
        <v>621.75</v>
      </c>
      <c r="AL960">
        <v>2005</v>
      </c>
      <c r="AM960">
        <v>0</v>
      </c>
      <c r="AN960">
        <v>0</v>
      </c>
      <c r="AO960" t="s">
        <v>6413</v>
      </c>
      <c r="AP960" t="s">
        <v>1666</v>
      </c>
    </row>
    <row r="961" spans="1:42" x14ac:dyDescent="0.25">
      <c r="A961">
        <v>960</v>
      </c>
      <c r="B961" t="s">
        <v>1236</v>
      </c>
      <c r="C961" t="s">
        <v>1236</v>
      </c>
      <c r="D961" t="s">
        <v>3118</v>
      </c>
      <c r="E961" t="s">
        <v>455</v>
      </c>
      <c r="F961" t="s">
        <v>456</v>
      </c>
      <c r="G961" t="s">
        <v>75</v>
      </c>
      <c r="H961" t="s">
        <v>76</v>
      </c>
      <c r="I961" t="s">
        <v>3117</v>
      </c>
      <c r="J961" t="s">
        <v>3115</v>
      </c>
      <c r="K961" t="s">
        <v>3116</v>
      </c>
      <c r="O961" t="s">
        <v>3113</v>
      </c>
      <c r="P961" t="s">
        <v>3114</v>
      </c>
      <c r="Q961">
        <v>12</v>
      </c>
      <c r="R961" t="s">
        <v>73</v>
      </c>
      <c r="S961" t="s">
        <v>73</v>
      </c>
      <c r="U961" t="s">
        <v>73</v>
      </c>
      <c r="V961" t="s">
        <v>73</v>
      </c>
      <c r="X961" t="s">
        <v>73</v>
      </c>
      <c r="Y961" t="s">
        <v>73</v>
      </c>
      <c r="AA961" t="s">
        <v>73</v>
      </c>
      <c r="AB961" t="s">
        <v>73</v>
      </c>
      <c r="AF961">
        <v>259.04883874268228</v>
      </c>
      <c r="AG961">
        <v>3.75</v>
      </c>
      <c r="AH961">
        <v>11</v>
      </c>
      <c r="AI961">
        <v>442</v>
      </c>
      <c r="AJ961">
        <v>133.83204304742472</v>
      </c>
      <c r="AK961">
        <v>377.2</v>
      </c>
      <c r="AM961">
        <v>131.3648602663946</v>
      </c>
      <c r="AN961">
        <v>224</v>
      </c>
      <c r="AO961" t="s">
        <v>6414</v>
      </c>
      <c r="AP961" t="s">
        <v>3118</v>
      </c>
    </row>
    <row r="962" spans="1:42" x14ac:dyDescent="0.25">
      <c r="A962">
        <v>961</v>
      </c>
      <c r="B962" t="s">
        <v>3410</v>
      </c>
      <c r="C962" t="s">
        <v>3410</v>
      </c>
      <c r="D962" t="s">
        <v>3511</v>
      </c>
      <c r="E962" t="s">
        <v>471</v>
      </c>
      <c r="F962" t="s">
        <v>472</v>
      </c>
      <c r="G962" t="s">
        <v>93</v>
      </c>
      <c r="H962" t="s">
        <v>94</v>
      </c>
      <c r="J962" t="s">
        <v>3240</v>
      </c>
      <c r="K962" t="s">
        <v>3175</v>
      </c>
      <c r="Q962">
        <v>13</v>
      </c>
      <c r="R962" t="s">
        <v>2420</v>
      </c>
      <c r="S962" t="s">
        <v>2421</v>
      </c>
      <c r="T962">
        <v>5</v>
      </c>
      <c r="U962" t="s">
        <v>2432</v>
      </c>
      <c r="V962" t="s">
        <v>2433</v>
      </c>
      <c r="W962">
        <v>7</v>
      </c>
      <c r="X962" t="s">
        <v>2440</v>
      </c>
      <c r="Y962" t="s">
        <v>2441</v>
      </c>
      <c r="Z962">
        <v>2</v>
      </c>
      <c r="AA962" t="s">
        <v>73</v>
      </c>
      <c r="AB962" t="s">
        <v>73</v>
      </c>
      <c r="AF962">
        <v>257.76494883107989</v>
      </c>
      <c r="AG962">
        <v>4</v>
      </c>
      <c r="AH962">
        <v>4</v>
      </c>
      <c r="AI962">
        <v>506</v>
      </c>
      <c r="AJ962">
        <v>119.29438759008877</v>
      </c>
      <c r="AK962">
        <v>400.8</v>
      </c>
      <c r="AM962">
        <v>139.01214262612427</v>
      </c>
      <c r="AN962">
        <v>112</v>
      </c>
      <c r="AO962" t="s">
        <v>6415</v>
      </c>
      <c r="AP962" t="s">
        <v>3511</v>
      </c>
    </row>
    <row r="963" spans="1:42" x14ac:dyDescent="0.25">
      <c r="A963">
        <v>962</v>
      </c>
      <c r="B963" t="s">
        <v>3716</v>
      </c>
      <c r="C963" t="s">
        <v>3716</v>
      </c>
      <c r="D963" t="s">
        <v>3770</v>
      </c>
      <c r="E963" t="s">
        <v>351</v>
      </c>
      <c r="F963" t="s">
        <v>352</v>
      </c>
      <c r="G963" t="s">
        <v>257</v>
      </c>
      <c r="H963" t="s">
        <v>258</v>
      </c>
      <c r="I963" t="s">
        <v>3786</v>
      </c>
      <c r="J963" t="s">
        <v>480</v>
      </c>
      <c r="K963" t="s">
        <v>481</v>
      </c>
      <c r="L963">
        <v>50.851113750000003</v>
      </c>
      <c r="M963">
        <v>4.5925736053700001</v>
      </c>
      <c r="R963" t="s">
        <v>73</v>
      </c>
      <c r="S963" t="s">
        <v>73</v>
      </c>
      <c r="U963" t="s">
        <v>73</v>
      </c>
      <c r="V963" t="s">
        <v>73</v>
      </c>
      <c r="X963" t="s">
        <v>73</v>
      </c>
      <c r="Y963" t="s">
        <v>73</v>
      </c>
      <c r="AA963" t="s">
        <v>73</v>
      </c>
      <c r="AB963" t="s">
        <v>73</v>
      </c>
      <c r="AF963">
        <v>256.95</v>
      </c>
      <c r="AG963">
        <v>6.125</v>
      </c>
      <c r="AH963">
        <v>7</v>
      </c>
      <c r="AI963">
        <v>990</v>
      </c>
      <c r="AJ963">
        <v>0</v>
      </c>
      <c r="AK963">
        <v>613.9</v>
      </c>
      <c r="AM963">
        <v>0</v>
      </c>
      <c r="AN963">
        <v>0</v>
      </c>
      <c r="AO963" t="s">
        <v>6416</v>
      </c>
      <c r="AP963" t="s">
        <v>3770</v>
      </c>
    </row>
    <row r="964" spans="1:42" x14ac:dyDescent="0.25">
      <c r="A964">
        <v>963</v>
      </c>
      <c r="B964" t="s">
        <v>3683</v>
      </c>
      <c r="C964" t="s">
        <v>3683</v>
      </c>
      <c r="D964" t="s">
        <v>3987</v>
      </c>
      <c r="E964" t="s">
        <v>595</v>
      </c>
      <c r="F964" t="s">
        <v>596</v>
      </c>
      <c r="G964" t="s">
        <v>3167</v>
      </c>
      <c r="H964" t="s">
        <v>3166</v>
      </c>
      <c r="I964" t="s">
        <v>4132</v>
      </c>
      <c r="J964" t="s">
        <v>607</v>
      </c>
      <c r="K964" t="s">
        <v>608</v>
      </c>
      <c r="O964" t="s">
        <v>3988</v>
      </c>
      <c r="P964" t="s">
        <v>3988</v>
      </c>
      <c r="Q964">
        <v>15</v>
      </c>
      <c r="R964" t="s">
        <v>73</v>
      </c>
      <c r="S964" t="s">
        <v>73</v>
      </c>
      <c r="U964" t="s">
        <v>2432</v>
      </c>
      <c r="V964" t="s">
        <v>2433</v>
      </c>
      <c r="W964">
        <v>7</v>
      </c>
      <c r="X964" t="s">
        <v>2443</v>
      </c>
      <c r="Y964" t="s">
        <v>2444</v>
      </c>
      <c r="Z964">
        <v>3</v>
      </c>
      <c r="AA964" t="s">
        <v>73</v>
      </c>
      <c r="AB964" t="s">
        <v>73</v>
      </c>
      <c r="AF964">
        <v>256.54235875066286</v>
      </c>
      <c r="AG964">
        <v>4.3333333333333002</v>
      </c>
      <c r="AH964">
        <v>2</v>
      </c>
      <c r="AI964">
        <v>592</v>
      </c>
      <c r="AJ964">
        <v>99.639657871108767</v>
      </c>
      <c r="AK964">
        <v>433.73333333332999</v>
      </c>
      <c r="AM964">
        <v>83.495521019552257</v>
      </c>
      <c r="AN964">
        <v>224</v>
      </c>
      <c r="AO964" t="s">
        <v>6417</v>
      </c>
      <c r="AP964" t="s">
        <v>3987</v>
      </c>
    </row>
    <row r="965" spans="1:42" x14ac:dyDescent="0.25">
      <c r="A965">
        <v>964</v>
      </c>
      <c r="B965" t="s">
        <v>3612</v>
      </c>
      <c r="C965" t="s">
        <v>3612</v>
      </c>
      <c r="D965" t="s">
        <v>3654</v>
      </c>
      <c r="E965" t="s">
        <v>666</v>
      </c>
      <c r="F965" t="s">
        <v>667</v>
      </c>
      <c r="G965" t="s">
        <v>60</v>
      </c>
      <c r="H965" t="s">
        <v>61</v>
      </c>
      <c r="I965" t="s">
        <v>3613</v>
      </c>
      <c r="J965" t="s">
        <v>3619</v>
      </c>
      <c r="K965" t="s">
        <v>3616</v>
      </c>
      <c r="L965" t="s">
        <v>4454</v>
      </c>
      <c r="M965" t="s">
        <v>4455</v>
      </c>
      <c r="Q965">
        <v>13</v>
      </c>
      <c r="R965" t="s">
        <v>2409</v>
      </c>
      <c r="S965" t="s">
        <v>2410</v>
      </c>
      <c r="T965">
        <v>2</v>
      </c>
      <c r="U965" t="s">
        <v>73</v>
      </c>
      <c r="V965" t="s">
        <v>73</v>
      </c>
      <c r="X965" t="s">
        <v>2446</v>
      </c>
      <c r="Y965" t="s">
        <v>2447</v>
      </c>
      <c r="Z965">
        <v>4</v>
      </c>
      <c r="AA965" t="s">
        <v>73</v>
      </c>
      <c r="AB965" t="s">
        <v>73</v>
      </c>
      <c r="AF965">
        <v>254.5</v>
      </c>
      <c r="AG965">
        <v>5</v>
      </c>
      <c r="AH965">
        <v>5</v>
      </c>
      <c r="AI965">
        <v>780</v>
      </c>
      <c r="AJ965">
        <v>60.000000000000007</v>
      </c>
      <c r="AK965">
        <v>501</v>
      </c>
      <c r="AM965">
        <v>0</v>
      </c>
      <c r="AN965">
        <v>336</v>
      </c>
      <c r="AO965" t="s">
        <v>6418</v>
      </c>
      <c r="AP965" t="s">
        <v>3654</v>
      </c>
    </row>
    <row r="966" spans="1:42" x14ac:dyDescent="0.25">
      <c r="A966">
        <v>965</v>
      </c>
      <c r="B966" t="s">
        <v>972</v>
      </c>
      <c r="C966" t="s">
        <v>972</v>
      </c>
      <c r="D966" t="s">
        <v>973</v>
      </c>
      <c r="E966" t="s">
        <v>161</v>
      </c>
      <c r="F966" t="s">
        <v>161</v>
      </c>
      <c r="G966" t="s">
        <v>3167</v>
      </c>
      <c r="H966" t="s">
        <v>3166</v>
      </c>
      <c r="J966" t="s">
        <v>463</v>
      </c>
      <c r="K966" t="s">
        <v>464</v>
      </c>
      <c r="R966" t="s">
        <v>73</v>
      </c>
      <c r="S966" t="s">
        <v>73</v>
      </c>
      <c r="U966" t="s">
        <v>73</v>
      </c>
      <c r="V966" t="s">
        <v>73</v>
      </c>
      <c r="X966" t="s">
        <v>73</v>
      </c>
      <c r="Y966" t="s">
        <v>73</v>
      </c>
      <c r="AF966">
        <v>253.15895924511614</v>
      </c>
      <c r="AG966">
        <v>5.6875</v>
      </c>
      <c r="AH966">
        <v>15</v>
      </c>
      <c r="AI966">
        <v>952</v>
      </c>
      <c r="AJ966">
        <v>19.204399161240172</v>
      </c>
      <c r="AK966">
        <v>571.75</v>
      </c>
      <c r="AM966">
        <v>26.886158825736238</v>
      </c>
      <c r="AN966">
        <v>0</v>
      </c>
      <c r="AO966" t="s">
        <v>6419</v>
      </c>
      <c r="AP966" t="s">
        <v>973</v>
      </c>
    </row>
    <row r="967" spans="1:42" x14ac:dyDescent="0.25">
      <c r="A967">
        <v>966</v>
      </c>
      <c r="B967" t="s">
        <v>3397</v>
      </c>
      <c r="C967" t="s">
        <v>3397</v>
      </c>
      <c r="D967" t="s">
        <v>3706</v>
      </c>
      <c r="E967" t="s">
        <v>183</v>
      </c>
      <c r="F967" t="s">
        <v>184</v>
      </c>
      <c r="G967" t="s">
        <v>158</v>
      </c>
      <c r="H967" t="s">
        <v>159</v>
      </c>
      <c r="J967" t="s">
        <v>185</v>
      </c>
      <c r="K967" t="s">
        <v>3021</v>
      </c>
      <c r="Q967">
        <v>12</v>
      </c>
      <c r="R967" t="s">
        <v>2409</v>
      </c>
      <c r="S967" t="s">
        <v>2410</v>
      </c>
      <c r="T967">
        <v>2</v>
      </c>
      <c r="U967" t="s">
        <v>2430</v>
      </c>
      <c r="V967" t="s">
        <v>2431</v>
      </c>
      <c r="W967">
        <v>6</v>
      </c>
      <c r="X967" t="s">
        <v>2443</v>
      </c>
      <c r="Y967" t="s">
        <v>2444</v>
      </c>
      <c r="Z967">
        <v>3</v>
      </c>
      <c r="AA967" t="s">
        <v>73</v>
      </c>
      <c r="AB967" t="s">
        <v>73</v>
      </c>
      <c r="AF967">
        <v>251.31359866269867</v>
      </c>
      <c r="AG967">
        <v>4.1428571428570997</v>
      </c>
      <c r="AH967">
        <v>6</v>
      </c>
      <c r="AI967">
        <v>577</v>
      </c>
      <c r="AJ967">
        <v>103.9674905776041</v>
      </c>
      <c r="AK967">
        <v>415.48571428570995</v>
      </c>
      <c r="AM967">
        <v>145.55448680864572</v>
      </c>
      <c r="AN967">
        <v>0</v>
      </c>
      <c r="AO967" t="s">
        <v>6420</v>
      </c>
      <c r="AP967" t="s">
        <v>3706</v>
      </c>
    </row>
    <row r="968" spans="1:42" x14ac:dyDescent="0.25">
      <c r="A968">
        <v>967</v>
      </c>
      <c r="B968" t="s">
        <v>872</v>
      </c>
      <c r="C968" t="s">
        <v>872</v>
      </c>
      <c r="D968" t="s">
        <v>873</v>
      </c>
      <c r="E968" t="s">
        <v>595</v>
      </c>
      <c r="F968" t="s">
        <v>596</v>
      </c>
      <c r="G968" t="s">
        <v>3167</v>
      </c>
      <c r="H968" t="s">
        <v>3166</v>
      </c>
      <c r="I968" t="s">
        <v>874</v>
      </c>
      <c r="J968" t="s">
        <v>707</v>
      </c>
      <c r="K968" t="s">
        <v>708</v>
      </c>
      <c r="R968" t="s">
        <v>73</v>
      </c>
      <c r="S968" t="s">
        <v>73</v>
      </c>
      <c r="U968" t="s">
        <v>73</v>
      </c>
      <c r="V968" t="s">
        <v>73</v>
      </c>
      <c r="X968" t="s">
        <v>73</v>
      </c>
      <c r="Y968" t="s">
        <v>73</v>
      </c>
      <c r="AF968">
        <v>249.59861714819067</v>
      </c>
      <c r="AG968">
        <v>4.6666666666666998</v>
      </c>
      <c r="AH968">
        <v>5</v>
      </c>
      <c r="AI968">
        <v>730</v>
      </c>
      <c r="AJ968">
        <v>73.072537572061833</v>
      </c>
      <c r="AK968">
        <v>467.66666666666998</v>
      </c>
      <c r="AM968">
        <v>46.301552600886573</v>
      </c>
      <c r="AN968">
        <v>224</v>
      </c>
      <c r="AO968" t="s">
        <v>6421</v>
      </c>
      <c r="AP968" t="s">
        <v>873</v>
      </c>
    </row>
    <row r="969" spans="1:42" x14ac:dyDescent="0.25">
      <c r="A969">
        <v>968</v>
      </c>
      <c r="B969" t="s">
        <v>104</v>
      </c>
      <c r="C969" t="s">
        <v>104</v>
      </c>
      <c r="D969" t="s">
        <v>105</v>
      </c>
      <c r="E969" t="s">
        <v>84</v>
      </c>
      <c r="F969" t="s">
        <v>84</v>
      </c>
      <c r="G969" t="s">
        <v>85</v>
      </c>
      <c r="H969" t="s">
        <v>86</v>
      </c>
      <c r="J969" t="s">
        <v>90</v>
      </c>
      <c r="O969" t="s">
        <v>106</v>
      </c>
      <c r="P969" t="s">
        <v>106</v>
      </c>
      <c r="Q969">
        <v>15</v>
      </c>
      <c r="R969" t="s">
        <v>2406</v>
      </c>
      <c r="S969" t="s">
        <v>2407</v>
      </c>
      <c r="T969">
        <v>1</v>
      </c>
      <c r="U969" t="s">
        <v>2430</v>
      </c>
      <c r="V969" t="s">
        <v>2431</v>
      </c>
      <c r="W969">
        <v>6</v>
      </c>
      <c r="X969" t="s">
        <v>2437</v>
      </c>
      <c r="Y969" t="s">
        <v>2438</v>
      </c>
      <c r="Z969">
        <v>1</v>
      </c>
      <c r="AF969">
        <v>248.8</v>
      </c>
      <c r="AG969">
        <v>5.25</v>
      </c>
      <c r="AH969">
        <v>3</v>
      </c>
      <c r="AI969">
        <v>905</v>
      </c>
      <c r="AJ969">
        <v>40</v>
      </c>
      <c r="AK969">
        <v>525.6</v>
      </c>
      <c r="AM969">
        <v>0</v>
      </c>
      <c r="AN969">
        <v>224</v>
      </c>
      <c r="AO969" t="s">
        <v>6422</v>
      </c>
      <c r="AP969" t="s">
        <v>105</v>
      </c>
    </row>
    <row r="970" spans="1:42" x14ac:dyDescent="0.25">
      <c r="A970">
        <v>969</v>
      </c>
      <c r="B970" t="s">
        <v>3520</v>
      </c>
      <c r="C970" t="s">
        <v>3520</v>
      </c>
      <c r="D970" t="s">
        <v>3695</v>
      </c>
      <c r="E970" t="s">
        <v>255</v>
      </c>
      <c r="F970" t="s">
        <v>256</v>
      </c>
      <c r="G970" t="s">
        <v>257</v>
      </c>
      <c r="H970" t="s">
        <v>258</v>
      </c>
      <c r="I970" t="s">
        <v>3523</v>
      </c>
      <c r="J970" t="s">
        <v>315</v>
      </c>
      <c r="K970" t="s">
        <v>316</v>
      </c>
      <c r="L970">
        <v>51.831797302399998</v>
      </c>
      <c r="M970">
        <v>5.2665652440099997</v>
      </c>
      <c r="R970" t="s">
        <v>73</v>
      </c>
      <c r="S970" t="s">
        <v>73</v>
      </c>
      <c r="U970" t="s">
        <v>73</v>
      </c>
      <c r="V970" t="s">
        <v>73</v>
      </c>
      <c r="X970" t="s">
        <v>73</v>
      </c>
      <c r="Y970" t="s">
        <v>73</v>
      </c>
      <c r="AA970" t="s">
        <v>73</v>
      </c>
      <c r="AB970" t="s">
        <v>73</v>
      </c>
      <c r="AF970">
        <v>246.76561240371331</v>
      </c>
      <c r="AG970">
        <v>5.2</v>
      </c>
      <c r="AH970">
        <v>9</v>
      </c>
      <c r="AI970">
        <v>909</v>
      </c>
      <c r="AJ970">
        <v>39.850680448570387</v>
      </c>
      <c r="AK970">
        <v>521.79999999999995</v>
      </c>
      <c r="AM970">
        <v>55.790952627998536</v>
      </c>
      <c r="AN970">
        <v>0</v>
      </c>
      <c r="AO970" t="s">
        <v>6423</v>
      </c>
      <c r="AP970" t="s">
        <v>3695</v>
      </c>
    </row>
    <row r="971" spans="1:42" x14ac:dyDescent="0.25">
      <c r="A971">
        <v>970</v>
      </c>
      <c r="B971" t="s">
        <v>3665</v>
      </c>
      <c r="C971" t="s">
        <v>3665</v>
      </c>
      <c r="D971" t="s">
        <v>4474</v>
      </c>
      <c r="E971" t="s">
        <v>666</v>
      </c>
      <c r="F971" t="s">
        <v>667</v>
      </c>
      <c r="G971" t="s">
        <v>3851</v>
      </c>
      <c r="H971" t="s">
        <v>3852</v>
      </c>
      <c r="I971" t="s">
        <v>3968</v>
      </c>
      <c r="J971" t="s">
        <v>3627</v>
      </c>
      <c r="K971" t="s">
        <v>3628</v>
      </c>
      <c r="L971" t="s">
        <v>4472</v>
      </c>
      <c r="M971" t="s">
        <v>4473</v>
      </c>
      <c r="Q971">
        <v>9</v>
      </c>
      <c r="R971" t="s">
        <v>2420</v>
      </c>
      <c r="S971" t="s">
        <v>2421</v>
      </c>
      <c r="T971">
        <v>5</v>
      </c>
      <c r="U971" t="s">
        <v>3137</v>
      </c>
      <c r="V971" t="s">
        <v>3136</v>
      </c>
      <c r="W971">
        <v>5</v>
      </c>
      <c r="X971" t="s">
        <v>2440</v>
      </c>
      <c r="Y971" t="s">
        <v>2441</v>
      </c>
      <c r="Z971">
        <v>2</v>
      </c>
      <c r="AA971" t="s">
        <v>73</v>
      </c>
      <c r="AB971" t="s">
        <v>73</v>
      </c>
      <c r="AF971">
        <v>246.16666666666504</v>
      </c>
      <c r="AG971">
        <v>4.8333333333333002</v>
      </c>
      <c r="AH971">
        <v>5</v>
      </c>
      <c r="AI971">
        <v>781</v>
      </c>
      <c r="AJ971">
        <v>60.000000000000007</v>
      </c>
      <c r="AK971">
        <v>484.33333333333002</v>
      </c>
      <c r="AM971">
        <v>0</v>
      </c>
      <c r="AN971">
        <v>336</v>
      </c>
      <c r="AO971" t="s">
        <v>6424</v>
      </c>
      <c r="AP971" t="s">
        <v>4474</v>
      </c>
    </row>
    <row r="972" spans="1:42" x14ac:dyDescent="0.25">
      <c r="A972">
        <v>971</v>
      </c>
      <c r="B972" t="s">
        <v>3605</v>
      </c>
      <c r="C972" t="s">
        <v>3605</v>
      </c>
      <c r="D972" t="s">
        <v>3658</v>
      </c>
      <c r="E972" t="s">
        <v>666</v>
      </c>
      <c r="F972" t="s">
        <v>667</v>
      </c>
      <c r="G972" t="s">
        <v>60</v>
      </c>
      <c r="H972" t="s">
        <v>61</v>
      </c>
      <c r="I972" t="s">
        <v>3604</v>
      </c>
      <c r="J972" t="s">
        <v>3625</v>
      </c>
      <c r="K972" t="s">
        <v>3626</v>
      </c>
      <c r="L972" t="s">
        <v>4478</v>
      </c>
      <c r="M972" t="s">
        <v>4479</v>
      </c>
      <c r="R972" t="s">
        <v>73</v>
      </c>
      <c r="S972" t="s">
        <v>73</v>
      </c>
      <c r="U972" t="s">
        <v>73</v>
      </c>
      <c r="V972" t="s">
        <v>73</v>
      </c>
      <c r="X972" t="s">
        <v>73</v>
      </c>
      <c r="Y972" t="s">
        <v>73</v>
      </c>
      <c r="AA972" t="s">
        <v>73</v>
      </c>
      <c r="AB972" t="s">
        <v>73</v>
      </c>
      <c r="AF972">
        <v>241.8</v>
      </c>
      <c r="AG972">
        <v>4.75</v>
      </c>
      <c r="AH972">
        <v>3</v>
      </c>
      <c r="AI972">
        <v>782</v>
      </c>
      <c r="AJ972">
        <v>60.000000000000007</v>
      </c>
      <c r="AK972">
        <v>475.6</v>
      </c>
      <c r="AM972">
        <v>0</v>
      </c>
      <c r="AN972">
        <v>336</v>
      </c>
      <c r="AO972" t="s">
        <v>6425</v>
      </c>
      <c r="AP972" t="s">
        <v>3658</v>
      </c>
    </row>
    <row r="973" spans="1:42" x14ac:dyDescent="0.25">
      <c r="A973">
        <v>972</v>
      </c>
      <c r="B973" t="s">
        <v>3954</v>
      </c>
      <c r="C973" t="s">
        <v>3954</v>
      </c>
      <c r="D973" t="s">
        <v>3957</v>
      </c>
      <c r="E973" t="s">
        <v>3955</v>
      </c>
      <c r="F973" t="s">
        <v>3956</v>
      </c>
      <c r="G973" t="s">
        <v>60</v>
      </c>
      <c r="H973" t="s">
        <v>61</v>
      </c>
      <c r="L973" t="s">
        <v>4866</v>
      </c>
      <c r="M973" t="s">
        <v>4867</v>
      </c>
      <c r="R973" t="s">
        <v>73</v>
      </c>
      <c r="S973" t="s">
        <v>73</v>
      </c>
      <c r="U973" t="s">
        <v>73</v>
      </c>
      <c r="V973" t="s">
        <v>73</v>
      </c>
      <c r="X973" t="s">
        <v>73</v>
      </c>
      <c r="Y973" t="s">
        <v>73</v>
      </c>
      <c r="AA973" t="s">
        <v>73</v>
      </c>
      <c r="AB973" t="s">
        <v>73</v>
      </c>
      <c r="AF973">
        <v>240.39999999999998</v>
      </c>
      <c r="AG973">
        <v>5.8</v>
      </c>
      <c r="AH973">
        <v>4</v>
      </c>
      <c r="AI973">
        <v>991</v>
      </c>
      <c r="AJ973">
        <v>0</v>
      </c>
      <c r="AK973">
        <v>580.79999999999995</v>
      </c>
      <c r="AM973">
        <v>0</v>
      </c>
      <c r="AN973">
        <v>0</v>
      </c>
      <c r="AO973" t="s">
        <v>6426</v>
      </c>
      <c r="AP973" t="s">
        <v>3957</v>
      </c>
    </row>
    <row r="974" spans="1:42" x14ac:dyDescent="0.25">
      <c r="A974">
        <v>973</v>
      </c>
      <c r="B974" t="s">
        <v>1858</v>
      </c>
      <c r="C974" t="s">
        <v>4111</v>
      </c>
      <c r="D974" t="s">
        <v>3919</v>
      </c>
      <c r="E974" t="s">
        <v>199</v>
      </c>
      <c r="F974" t="s">
        <v>200</v>
      </c>
      <c r="J974" t="s">
        <v>649</v>
      </c>
      <c r="K974" t="s">
        <v>650</v>
      </c>
      <c r="L974" t="s">
        <v>5259</v>
      </c>
      <c r="M974" t="s">
        <v>5260</v>
      </c>
      <c r="R974" t="s">
        <v>73</v>
      </c>
      <c r="S974" t="s">
        <v>73</v>
      </c>
      <c r="U974" t="s">
        <v>73</v>
      </c>
      <c r="V974" t="s">
        <v>73</v>
      </c>
      <c r="X974" t="s">
        <v>73</v>
      </c>
      <c r="Y974" t="s">
        <v>73</v>
      </c>
      <c r="AA974" t="s">
        <v>73</v>
      </c>
      <c r="AB974" t="s">
        <v>73</v>
      </c>
      <c r="AF974">
        <v>240.39999999999998</v>
      </c>
      <c r="AG974">
        <v>5.8</v>
      </c>
      <c r="AH974">
        <v>4</v>
      </c>
      <c r="AI974">
        <v>992</v>
      </c>
      <c r="AJ974">
        <v>0</v>
      </c>
      <c r="AK974">
        <v>580.79999999999995</v>
      </c>
      <c r="AM974">
        <v>0</v>
      </c>
      <c r="AN974">
        <v>0</v>
      </c>
      <c r="AO974" t="s">
        <v>6427</v>
      </c>
      <c r="AP974" t="s">
        <v>3919</v>
      </c>
    </row>
    <row r="975" spans="1:42" x14ac:dyDescent="0.25">
      <c r="A975">
        <v>974</v>
      </c>
      <c r="B975" t="s">
        <v>5038</v>
      </c>
      <c r="C975" t="s">
        <v>5038</v>
      </c>
      <c r="D975" t="s">
        <v>5039</v>
      </c>
      <c r="E975" t="s">
        <v>830</v>
      </c>
      <c r="F975" t="s">
        <v>831</v>
      </c>
      <c r="G975" t="s">
        <v>632</v>
      </c>
      <c r="H975" t="s">
        <v>633</v>
      </c>
      <c r="R975" t="s">
        <v>73</v>
      </c>
      <c r="S975" t="s">
        <v>73</v>
      </c>
      <c r="U975" t="s">
        <v>73</v>
      </c>
      <c r="V975" t="s">
        <v>73</v>
      </c>
      <c r="X975" t="s">
        <v>73</v>
      </c>
      <c r="Y975" t="s">
        <v>73</v>
      </c>
      <c r="AA975" t="s">
        <v>73</v>
      </c>
      <c r="AB975" t="s">
        <v>73</v>
      </c>
      <c r="AF975">
        <v>238.86666666666497</v>
      </c>
      <c r="AG975">
        <v>4.3333333333333002</v>
      </c>
      <c r="AH975">
        <v>2</v>
      </c>
      <c r="AI975">
        <v>685</v>
      </c>
      <c r="AJ975">
        <v>80</v>
      </c>
      <c r="AK975">
        <v>433.73333333332999</v>
      </c>
      <c r="AM975">
        <v>0</v>
      </c>
      <c r="AN975">
        <v>448</v>
      </c>
      <c r="AO975" t="s">
        <v>6428</v>
      </c>
      <c r="AP975" t="s">
        <v>5039</v>
      </c>
    </row>
    <row r="976" spans="1:42" x14ac:dyDescent="0.25">
      <c r="A976">
        <v>975</v>
      </c>
      <c r="B976" t="s">
        <v>1643</v>
      </c>
      <c r="C976" t="s">
        <v>1643</v>
      </c>
      <c r="D976" t="s">
        <v>3125</v>
      </c>
      <c r="E976" t="s">
        <v>199</v>
      </c>
      <c r="F976" t="s">
        <v>200</v>
      </c>
      <c r="J976" t="s">
        <v>787</v>
      </c>
      <c r="K976" t="s">
        <v>788</v>
      </c>
      <c r="L976" t="s">
        <v>5255</v>
      </c>
      <c r="M976" t="s">
        <v>5256</v>
      </c>
      <c r="Q976">
        <v>12</v>
      </c>
      <c r="R976" t="s">
        <v>2406</v>
      </c>
      <c r="S976" t="s">
        <v>2407</v>
      </c>
      <c r="T976">
        <v>1</v>
      </c>
      <c r="U976" t="s">
        <v>73</v>
      </c>
      <c r="V976" t="s">
        <v>73</v>
      </c>
      <c r="X976" t="s">
        <v>2443</v>
      </c>
      <c r="Y976" t="s">
        <v>2444</v>
      </c>
      <c r="Z976">
        <v>3</v>
      </c>
      <c r="AA976" t="s">
        <v>73</v>
      </c>
      <c r="AB976" t="s">
        <v>73</v>
      </c>
      <c r="AF976">
        <v>238.2</v>
      </c>
      <c r="AG976">
        <v>5.75</v>
      </c>
      <c r="AH976">
        <v>7</v>
      </c>
      <c r="AI976">
        <v>993</v>
      </c>
      <c r="AJ976">
        <v>0</v>
      </c>
      <c r="AK976">
        <v>576.4</v>
      </c>
      <c r="AM976">
        <v>0</v>
      </c>
      <c r="AN976">
        <v>0</v>
      </c>
      <c r="AO976" t="s">
        <v>6429</v>
      </c>
      <c r="AP976" t="s">
        <v>3125</v>
      </c>
    </row>
    <row r="977" spans="1:42" x14ac:dyDescent="0.25">
      <c r="A977">
        <v>976</v>
      </c>
      <c r="B977" t="s">
        <v>3321</v>
      </c>
      <c r="C977" t="s">
        <v>3321</v>
      </c>
      <c r="D977" t="s">
        <v>3783</v>
      </c>
      <c r="E977" t="s">
        <v>255</v>
      </c>
      <c r="F977" t="s">
        <v>256</v>
      </c>
      <c r="G977" t="s">
        <v>257</v>
      </c>
      <c r="H977" t="s">
        <v>258</v>
      </c>
      <c r="I977" t="s">
        <v>3521</v>
      </c>
      <c r="J977" t="s">
        <v>1306</v>
      </c>
      <c r="K977" t="s">
        <v>1307</v>
      </c>
      <c r="L977">
        <v>52.0208333333333</v>
      </c>
      <c r="M977">
        <v>5.04277777777778</v>
      </c>
      <c r="R977" t="s">
        <v>73</v>
      </c>
      <c r="S977" t="s">
        <v>73</v>
      </c>
      <c r="U977" t="s">
        <v>73</v>
      </c>
      <c r="V977" t="s">
        <v>73</v>
      </c>
      <c r="X977" t="s">
        <v>73</v>
      </c>
      <c r="Y977" t="s">
        <v>73</v>
      </c>
      <c r="AA977" t="s">
        <v>73</v>
      </c>
      <c r="AB977" t="s">
        <v>73</v>
      </c>
      <c r="AF977">
        <v>237.01428571428499</v>
      </c>
      <c r="AG977">
        <v>5.7142857142857002</v>
      </c>
      <c r="AH977">
        <v>13</v>
      </c>
      <c r="AI977">
        <v>994</v>
      </c>
      <c r="AJ977">
        <v>0</v>
      </c>
      <c r="AK977">
        <v>574.02857142856999</v>
      </c>
      <c r="AM977">
        <v>0</v>
      </c>
      <c r="AN977">
        <v>0</v>
      </c>
      <c r="AO977" t="s">
        <v>6430</v>
      </c>
      <c r="AP977" t="s">
        <v>3783</v>
      </c>
    </row>
    <row r="978" spans="1:42" x14ac:dyDescent="0.25">
      <c r="A978">
        <v>977</v>
      </c>
      <c r="B978" t="s">
        <v>946</v>
      </c>
      <c r="C978" t="s">
        <v>3014</v>
      </c>
      <c r="D978" t="s">
        <v>3015</v>
      </c>
      <c r="E978" t="s">
        <v>199</v>
      </c>
      <c r="F978" t="s">
        <v>200</v>
      </c>
      <c r="I978" t="s">
        <v>3014</v>
      </c>
      <c r="J978" t="s">
        <v>342</v>
      </c>
      <c r="K978" t="s">
        <v>343</v>
      </c>
      <c r="L978" t="s">
        <v>5144</v>
      </c>
      <c r="M978" t="s">
        <v>5145</v>
      </c>
      <c r="R978" t="s">
        <v>73</v>
      </c>
      <c r="S978" t="s">
        <v>73</v>
      </c>
      <c r="U978" t="s">
        <v>73</v>
      </c>
      <c r="V978" t="s">
        <v>73</v>
      </c>
      <c r="X978" t="s">
        <v>73</v>
      </c>
      <c r="Y978" t="s">
        <v>73</v>
      </c>
      <c r="AF978">
        <v>235.98793908675941</v>
      </c>
      <c r="AG978">
        <v>5.1666666666666998</v>
      </c>
      <c r="AH978">
        <v>5</v>
      </c>
      <c r="AI978">
        <v>928</v>
      </c>
      <c r="AJ978">
        <v>30.171784170471607</v>
      </c>
      <c r="AK978">
        <v>517.66666666666993</v>
      </c>
      <c r="AM978">
        <v>42.240497838660247</v>
      </c>
      <c r="AN978">
        <v>0</v>
      </c>
      <c r="AO978" t="s">
        <v>6431</v>
      </c>
      <c r="AP978" t="s">
        <v>3015</v>
      </c>
    </row>
    <row r="979" spans="1:42" x14ac:dyDescent="0.25">
      <c r="A979">
        <v>978</v>
      </c>
      <c r="B979" t="s">
        <v>1434</v>
      </c>
      <c r="C979" t="s">
        <v>1434</v>
      </c>
      <c r="D979" t="s">
        <v>3023</v>
      </c>
      <c r="E979" t="s">
        <v>183</v>
      </c>
      <c r="F979" t="s">
        <v>184</v>
      </c>
      <c r="G979" t="s">
        <v>158</v>
      </c>
      <c r="H979" t="s">
        <v>159</v>
      </c>
      <c r="I979" t="s">
        <v>3024</v>
      </c>
      <c r="J979" t="s">
        <v>185</v>
      </c>
      <c r="K979" t="s">
        <v>3021</v>
      </c>
      <c r="Q979">
        <v>12</v>
      </c>
      <c r="R979" t="s">
        <v>2406</v>
      </c>
      <c r="S979" t="s">
        <v>2407</v>
      </c>
      <c r="T979">
        <v>1</v>
      </c>
      <c r="U979" t="s">
        <v>73</v>
      </c>
      <c r="V979" t="s">
        <v>73</v>
      </c>
      <c r="X979" t="s">
        <v>2446</v>
      </c>
      <c r="Y979" t="s">
        <v>2447</v>
      </c>
      <c r="Z979">
        <v>4</v>
      </c>
      <c r="AF979">
        <v>234.55183557621046</v>
      </c>
      <c r="AG979">
        <v>5.3333333333333002</v>
      </c>
      <c r="AH979">
        <v>5</v>
      </c>
      <c r="AI979">
        <v>951</v>
      </c>
      <c r="AJ979">
        <v>19.316854343939379</v>
      </c>
      <c r="AK979">
        <v>534.33333333333007</v>
      </c>
      <c r="AM979">
        <v>27.04359608151513</v>
      </c>
      <c r="AN979">
        <v>0</v>
      </c>
      <c r="AO979" t="s">
        <v>6432</v>
      </c>
      <c r="AP979" t="s">
        <v>3023</v>
      </c>
    </row>
    <row r="980" spans="1:42" x14ac:dyDescent="0.25">
      <c r="A980">
        <v>979</v>
      </c>
      <c r="B980" t="s">
        <v>2942</v>
      </c>
      <c r="C980" t="s">
        <v>5251</v>
      </c>
      <c r="D980" t="s">
        <v>1721</v>
      </c>
      <c r="E980" t="s">
        <v>199</v>
      </c>
      <c r="F980" t="s">
        <v>200</v>
      </c>
      <c r="I980" t="s">
        <v>1722</v>
      </c>
      <c r="J980" t="s">
        <v>303</v>
      </c>
      <c r="K980" t="s">
        <v>304</v>
      </c>
      <c r="L980" t="s">
        <v>5252</v>
      </c>
      <c r="M980" t="s">
        <v>5253</v>
      </c>
      <c r="O980" t="s">
        <v>2590</v>
      </c>
      <c r="P980" t="s">
        <v>2591</v>
      </c>
      <c r="Q980">
        <v>13</v>
      </c>
      <c r="R980" t="s">
        <v>2414</v>
      </c>
      <c r="S980" t="s">
        <v>2415</v>
      </c>
      <c r="T980">
        <v>3</v>
      </c>
      <c r="U980" t="s">
        <v>2434</v>
      </c>
      <c r="V980" t="s">
        <v>2435</v>
      </c>
      <c r="W980">
        <v>8</v>
      </c>
      <c r="X980" t="s">
        <v>2443</v>
      </c>
      <c r="Y980" t="s">
        <v>2444</v>
      </c>
      <c r="Z980">
        <v>3</v>
      </c>
      <c r="AA980" t="s">
        <v>1723</v>
      </c>
      <c r="AB980" t="s">
        <v>1724</v>
      </c>
      <c r="AF980">
        <v>234.43333333333499</v>
      </c>
      <c r="AG980">
        <v>5.6666666666666998</v>
      </c>
      <c r="AH980">
        <v>11</v>
      </c>
      <c r="AI980">
        <v>995</v>
      </c>
      <c r="AJ980">
        <v>0</v>
      </c>
      <c r="AK980">
        <v>568.86666666666997</v>
      </c>
      <c r="AL980">
        <v>2005</v>
      </c>
      <c r="AM980">
        <v>0</v>
      </c>
      <c r="AN980">
        <v>0</v>
      </c>
      <c r="AO980" t="s">
        <v>6433</v>
      </c>
      <c r="AP980" t="s">
        <v>1721</v>
      </c>
    </row>
    <row r="981" spans="1:42" x14ac:dyDescent="0.25">
      <c r="A981">
        <v>980</v>
      </c>
      <c r="B981" t="s">
        <v>2677</v>
      </c>
      <c r="C981" t="s">
        <v>4177</v>
      </c>
      <c r="D981" t="s">
        <v>2986</v>
      </c>
      <c r="E981" t="s">
        <v>1775</v>
      </c>
      <c r="F981" t="s">
        <v>1775</v>
      </c>
      <c r="G981" t="s">
        <v>1776</v>
      </c>
      <c r="H981" t="s">
        <v>1777</v>
      </c>
      <c r="R981" t="s">
        <v>73</v>
      </c>
      <c r="S981" t="s">
        <v>73</v>
      </c>
      <c r="U981" t="s">
        <v>73</v>
      </c>
      <c r="V981" t="s">
        <v>73</v>
      </c>
      <c r="X981" t="s">
        <v>73</v>
      </c>
      <c r="Y981" t="s">
        <v>73</v>
      </c>
      <c r="AF981">
        <v>230.42109978664485</v>
      </c>
      <c r="AG981">
        <v>3.3333333333333002</v>
      </c>
      <c r="AH981">
        <v>5</v>
      </c>
      <c r="AI981">
        <v>479</v>
      </c>
      <c r="AJ981">
        <v>125.83825902219982</v>
      </c>
      <c r="AK981">
        <v>334.33333333333002</v>
      </c>
      <c r="AM981">
        <v>64.173562631079747</v>
      </c>
      <c r="AN981">
        <v>448</v>
      </c>
      <c r="AO981" t="s">
        <v>6434</v>
      </c>
      <c r="AP981" t="s">
        <v>2986</v>
      </c>
    </row>
    <row r="982" spans="1:42" x14ac:dyDescent="0.25">
      <c r="A982">
        <v>981</v>
      </c>
      <c r="B982" t="s">
        <v>3731</v>
      </c>
      <c r="C982" t="s">
        <v>3731</v>
      </c>
      <c r="D982" t="s">
        <v>4774</v>
      </c>
      <c r="E982" t="s">
        <v>5312</v>
      </c>
      <c r="F982" t="s">
        <v>157</v>
      </c>
      <c r="G982" t="s">
        <v>158</v>
      </c>
      <c r="H982" t="s">
        <v>159</v>
      </c>
      <c r="I982" t="s">
        <v>4775</v>
      </c>
      <c r="J982" t="s">
        <v>3087</v>
      </c>
      <c r="K982" t="s">
        <v>3088</v>
      </c>
      <c r="L982" t="s">
        <v>4776</v>
      </c>
      <c r="M982" t="s">
        <v>4777</v>
      </c>
      <c r="R982" t="s">
        <v>73</v>
      </c>
      <c r="S982" t="s">
        <v>73</v>
      </c>
      <c r="U982" t="s">
        <v>73</v>
      </c>
      <c r="V982" t="s">
        <v>73</v>
      </c>
      <c r="X982" t="s">
        <v>73</v>
      </c>
      <c r="Y982" t="s">
        <v>73</v>
      </c>
      <c r="AA982" t="s">
        <v>73</v>
      </c>
      <c r="AB982" t="s">
        <v>73</v>
      </c>
      <c r="AF982">
        <v>228.71865833593563</v>
      </c>
      <c r="AG982">
        <v>4.5</v>
      </c>
      <c r="AH982">
        <v>5</v>
      </c>
      <c r="AI982">
        <v>796</v>
      </c>
      <c r="AJ982">
        <v>59.131842595484052</v>
      </c>
      <c r="AK982">
        <v>451</v>
      </c>
      <c r="AM982">
        <v>82.784579633677666</v>
      </c>
      <c r="AN982">
        <v>0</v>
      </c>
      <c r="AO982" t="s">
        <v>6435</v>
      </c>
      <c r="AP982" t="s">
        <v>4774</v>
      </c>
    </row>
    <row r="983" spans="1:42" x14ac:dyDescent="0.25">
      <c r="A983">
        <v>982</v>
      </c>
      <c r="B983" t="s">
        <v>1435</v>
      </c>
      <c r="C983" t="s">
        <v>1435</v>
      </c>
      <c r="D983" t="s">
        <v>2500</v>
      </c>
      <c r="E983" t="s">
        <v>415</v>
      </c>
      <c r="F983" t="s">
        <v>415</v>
      </c>
      <c r="G983" t="s">
        <v>85</v>
      </c>
      <c r="H983" t="s">
        <v>86</v>
      </c>
      <c r="L983" t="s">
        <v>4295</v>
      </c>
      <c r="M983" t="s">
        <v>4296</v>
      </c>
      <c r="R983" t="s">
        <v>73</v>
      </c>
      <c r="S983" t="s">
        <v>73</v>
      </c>
      <c r="U983" t="s">
        <v>73</v>
      </c>
      <c r="V983" t="s">
        <v>73</v>
      </c>
      <c r="X983" t="s">
        <v>2440</v>
      </c>
      <c r="Y983" t="s">
        <v>2441</v>
      </c>
      <c r="Z983">
        <v>2</v>
      </c>
      <c r="AA983" t="s">
        <v>73</v>
      </c>
      <c r="AB983" t="s">
        <v>73</v>
      </c>
      <c r="AF983">
        <v>223.8</v>
      </c>
      <c r="AG983">
        <v>4.75</v>
      </c>
      <c r="AH983">
        <v>3</v>
      </c>
      <c r="AI983">
        <v>906</v>
      </c>
      <c r="AJ983">
        <v>40</v>
      </c>
      <c r="AK983">
        <v>475.6</v>
      </c>
      <c r="AM983">
        <v>0</v>
      </c>
      <c r="AN983">
        <v>224</v>
      </c>
      <c r="AO983" t="s">
        <v>6436</v>
      </c>
      <c r="AP983" t="s">
        <v>2500</v>
      </c>
    </row>
    <row r="984" spans="1:42" x14ac:dyDescent="0.25">
      <c r="A984">
        <v>983</v>
      </c>
      <c r="B984" t="s">
        <v>3365</v>
      </c>
      <c r="C984" t="s">
        <v>3365</v>
      </c>
      <c r="D984" t="s">
        <v>5418</v>
      </c>
      <c r="E984" t="s">
        <v>67</v>
      </c>
      <c r="F984" t="s">
        <v>68</v>
      </c>
      <c r="G984" t="s">
        <v>69</v>
      </c>
      <c r="H984" t="s">
        <v>70</v>
      </c>
      <c r="J984" t="s">
        <v>3848</v>
      </c>
      <c r="K984" t="s">
        <v>3847</v>
      </c>
      <c r="L984" t="s">
        <v>5403</v>
      </c>
      <c r="M984" t="s">
        <v>5404</v>
      </c>
      <c r="R984" t="s">
        <v>73</v>
      </c>
      <c r="S984" t="s">
        <v>73</v>
      </c>
      <c r="U984" t="s">
        <v>73</v>
      </c>
      <c r="V984" t="s">
        <v>73</v>
      </c>
      <c r="X984" t="s">
        <v>73</v>
      </c>
      <c r="Y984" t="s">
        <v>73</v>
      </c>
      <c r="AA984" t="s">
        <v>73</v>
      </c>
      <c r="AB984" t="s">
        <v>73</v>
      </c>
      <c r="AF984">
        <v>218.36870884680195</v>
      </c>
      <c r="AG984">
        <v>4.625</v>
      </c>
      <c r="AH984">
        <v>7</v>
      </c>
      <c r="AI984">
        <v>843</v>
      </c>
      <c r="AJ984">
        <v>40.465232052002186</v>
      </c>
      <c r="AK984">
        <v>463.9</v>
      </c>
      <c r="AM984">
        <v>28.651324872803063</v>
      </c>
      <c r="AN984">
        <v>112</v>
      </c>
      <c r="AO984" t="s">
        <v>6437</v>
      </c>
      <c r="AP984" t="s">
        <v>5418</v>
      </c>
    </row>
    <row r="985" spans="1:42" x14ac:dyDescent="0.25">
      <c r="A985">
        <v>984</v>
      </c>
      <c r="B985" t="s">
        <v>3687</v>
      </c>
      <c r="C985" t="s">
        <v>3687</v>
      </c>
      <c r="D985" t="s">
        <v>4008</v>
      </c>
      <c r="E985" t="s">
        <v>161</v>
      </c>
      <c r="F985" t="s">
        <v>161</v>
      </c>
      <c r="G985" t="s">
        <v>3167</v>
      </c>
      <c r="H985" t="s">
        <v>3166</v>
      </c>
      <c r="I985" t="s">
        <v>3688</v>
      </c>
      <c r="J985" t="s">
        <v>164</v>
      </c>
      <c r="K985" t="s">
        <v>165</v>
      </c>
      <c r="R985" t="s">
        <v>2409</v>
      </c>
      <c r="S985" t="s">
        <v>2410</v>
      </c>
      <c r="T985">
        <v>2</v>
      </c>
      <c r="U985" t="s">
        <v>2432</v>
      </c>
      <c r="V985" t="s">
        <v>2433</v>
      </c>
      <c r="W985">
        <v>7</v>
      </c>
      <c r="X985" t="s">
        <v>2446</v>
      </c>
      <c r="Y985" t="s">
        <v>2447</v>
      </c>
      <c r="Z985">
        <v>4</v>
      </c>
      <c r="AA985" t="s">
        <v>73</v>
      </c>
      <c r="AB985" t="s">
        <v>73</v>
      </c>
      <c r="AF985">
        <v>217.46666666666505</v>
      </c>
      <c r="AG985">
        <v>5.3333333333333002</v>
      </c>
      <c r="AH985">
        <v>8</v>
      </c>
      <c r="AI985">
        <v>996</v>
      </c>
      <c r="AJ985">
        <v>0</v>
      </c>
      <c r="AK985">
        <v>534.9333333333301</v>
      </c>
      <c r="AM985">
        <v>0</v>
      </c>
      <c r="AN985">
        <v>0</v>
      </c>
      <c r="AO985" t="s">
        <v>6438</v>
      </c>
      <c r="AP985" t="s">
        <v>4008</v>
      </c>
    </row>
    <row r="986" spans="1:42" x14ac:dyDescent="0.25">
      <c r="A986">
        <v>985</v>
      </c>
      <c r="B986" t="s">
        <v>394</v>
      </c>
      <c r="C986" t="s">
        <v>394</v>
      </c>
      <c r="D986" t="s">
        <v>395</v>
      </c>
      <c r="E986" t="s">
        <v>199</v>
      </c>
      <c r="F986" t="s">
        <v>200</v>
      </c>
      <c r="J986" t="s">
        <v>396</v>
      </c>
      <c r="K986" t="s">
        <v>397</v>
      </c>
      <c r="L986" t="s">
        <v>5148</v>
      </c>
      <c r="M986" t="s">
        <v>5149</v>
      </c>
      <c r="R986" t="s">
        <v>73</v>
      </c>
      <c r="S986" t="s">
        <v>73</v>
      </c>
      <c r="U986" t="s">
        <v>73</v>
      </c>
      <c r="V986" t="s">
        <v>73</v>
      </c>
      <c r="X986" t="s">
        <v>73</v>
      </c>
      <c r="Y986" t="s">
        <v>73</v>
      </c>
      <c r="AA986" t="s">
        <v>73</v>
      </c>
      <c r="AB986" t="s">
        <v>73</v>
      </c>
      <c r="AF986">
        <v>217.46666666666505</v>
      </c>
      <c r="AG986">
        <v>5.3333333333333002</v>
      </c>
      <c r="AH986">
        <v>8</v>
      </c>
      <c r="AI986">
        <v>997</v>
      </c>
      <c r="AJ986">
        <v>0</v>
      </c>
      <c r="AK986">
        <v>534.9333333333301</v>
      </c>
      <c r="AM986">
        <v>0</v>
      </c>
      <c r="AN986">
        <v>0</v>
      </c>
      <c r="AO986" t="s">
        <v>6439</v>
      </c>
      <c r="AP986" t="s">
        <v>395</v>
      </c>
    </row>
    <row r="987" spans="1:42" x14ac:dyDescent="0.25">
      <c r="A987">
        <v>986</v>
      </c>
      <c r="B987" t="s">
        <v>3732</v>
      </c>
      <c r="C987" t="s">
        <v>3732</v>
      </c>
      <c r="D987" t="s">
        <v>4771</v>
      </c>
      <c r="E987" t="s">
        <v>5312</v>
      </c>
      <c r="F987" t="s">
        <v>157</v>
      </c>
      <c r="G987" t="s">
        <v>158</v>
      </c>
      <c r="H987" t="s">
        <v>159</v>
      </c>
      <c r="I987" t="s">
        <v>5327</v>
      </c>
      <c r="J987" t="s">
        <v>3087</v>
      </c>
      <c r="K987" t="s">
        <v>3088</v>
      </c>
      <c r="L987" t="s">
        <v>4773</v>
      </c>
      <c r="M987" t="s">
        <v>4772</v>
      </c>
      <c r="R987" t="s">
        <v>73</v>
      </c>
      <c r="S987" t="s">
        <v>73</v>
      </c>
      <c r="U987" t="s">
        <v>73</v>
      </c>
      <c r="V987" t="s">
        <v>73</v>
      </c>
      <c r="X987" t="s">
        <v>73</v>
      </c>
      <c r="Y987" t="s">
        <v>73</v>
      </c>
      <c r="AA987" t="s">
        <v>73</v>
      </c>
      <c r="AB987" t="s">
        <v>73</v>
      </c>
      <c r="AE987" t="s">
        <v>4770</v>
      </c>
      <c r="AF987">
        <v>215.24075591428249</v>
      </c>
      <c r="AG987">
        <v>4.8571428571429003</v>
      </c>
      <c r="AH987">
        <v>6</v>
      </c>
      <c r="AI987">
        <v>938</v>
      </c>
      <c r="AJ987">
        <v>24.204014507930495</v>
      </c>
      <c r="AK987">
        <v>486.91428571429003</v>
      </c>
      <c r="AM987">
        <v>33.885620311102691</v>
      </c>
      <c r="AN987">
        <v>0</v>
      </c>
      <c r="AO987" t="s">
        <v>6440</v>
      </c>
      <c r="AP987" t="s">
        <v>4771</v>
      </c>
    </row>
    <row r="988" spans="1:42" x14ac:dyDescent="0.25">
      <c r="A988">
        <v>987</v>
      </c>
      <c r="B988" t="s">
        <v>638</v>
      </c>
      <c r="C988" t="s">
        <v>638</v>
      </c>
      <c r="D988" t="s">
        <v>639</v>
      </c>
      <c r="E988" t="s">
        <v>199</v>
      </c>
      <c r="F988" t="s">
        <v>200</v>
      </c>
      <c r="J988" t="s">
        <v>396</v>
      </c>
      <c r="K988" t="s">
        <v>397</v>
      </c>
      <c r="L988" t="s">
        <v>5146</v>
      </c>
      <c r="M988" t="s">
        <v>5147</v>
      </c>
      <c r="R988" t="s">
        <v>73</v>
      </c>
      <c r="S988" t="s">
        <v>73</v>
      </c>
      <c r="U988" t="s">
        <v>73</v>
      </c>
      <c r="V988" t="s">
        <v>73</v>
      </c>
      <c r="X988" t="s">
        <v>73</v>
      </c>
      <c r="Y988" t="s">
        <v>73</v>
      </c>
      <c r="AA988" t="s">
        <v>73</v>
      </c>
      <c r="AB988" t="s">
        <v>73</v>
      </c>
      <c r="AF988">
        <v>207.00908121493222</v>
      </c>
      <c r="AG988">
        <v>4.5</v>
      </c>
      <c r="AH988">
        <v>5</v>
      </c>
      <c r="AI988">
        <v>916</v>
      </c>
      <c r="AJ988">
        <v>35.010090238813603</v>
      </c>
      <c r="AK988">
        <v>451</v>
      </c>
      <c r="AM988">
        <v>49.014126334339046</v>
      </c>
      <c r="AN988">
        <v>0</v>
      </c>
      <c r="AO988" t="s">
        <v>6441</v>
      </c>
      <c r="AP988" t="s">
        <v>639</v>
      </c>
    </row>
    <row r="989" spans="1:42" x14ac:dyDescent="0.25">
      <c r="A989">
        <v>988</v>
      </c>
      <c r="B989" t="s">
        <v>1460</v>
      </c>
      <c r="C989" t="s">
        <v>1460</v>
      </c>
      <c r="D989" t="s">
        <v>2507</v>
      </c>
      <c r="E989" t="s">
        <v>1455</v>
      </c>
      <c r="F989" t="s">
        <v>1456</v>
      </c>
      <c r="G989" t="s">
        <v>75</v>
      </c>
      <c r="H989" t="s">
        <v>76</v>
      </c>
      <c r="R989" t="s">
        <v>73</v>
      </c>
      <c r="S989" t="s">
        <v>73</v>
      </c>
      <c r="U989" t="s">
        <v>73</v>
      </c>
      <c r="V989" t="s">
        <v>73</v>
      </c>
      <c r="X989" t="s">
        <v>73</v>
      </c>
      <c r="Y989" t="s">
        <v>73</v>
      </c>
      <c r="AA989" t="s">
        <v>73</v>
      </c>
      <c r="AB989" t="s">
        <v>73</v>
      </c>
      <c r="AF989">
        <v>206.40000000000003</v>
      </c>
      <c r="AG989">
        <v>4.4000000000000004</v>
      </c>
      <c r="AH989">
        <v>4</v>
      </c>
      <c r="AI989">
        <v>907</v>
      </c>
      <c r="AJ989">
        <v>40</v>
      </c>
      <c r="AK989">
        <v>440.80000000000007</v>
      </c>
      <c r="AM989">
        <v>0</v>
      </c>
      <c r="AN989">
        <v>224</v>
      </c>
      <c r="AO989" t="s">
        <v>6442</v>
      </c>
      <c r="AP989" t="s">
        <v>2507</v>
      </c>
    </row>
    <row r="990" spans="1:42" x14ac:dyDescent="0.25">
      <c r="A990">
        <v>989</v>
      </c>
      <c r="B990" t="s">
        <v>1814</v>
      </c>
      <c r="C990" t="s">
        <v>1814</v>
      </c>
      <c r="D990" t="s">
        <v>2966</v>
      </c>
      <c r="E990" t="s">
        <v>169</v>
      </c>
      <c r="F990" t="s">
        <v>170</v>
      </c>
      <c r="G990" t="s">
        <v>79</v>
      </c>
      <c r="H990" t="s">
        <v>80</v>
      </c>
      <c r="J990" t="s">
        <v>171</v>
      </c>
      <c r="K990" t="s">
        <v>172</v>
      </c>
      <c r="L990" t="s">
        <v>4832</v>
      </c>
      <c r="M990" t="s">
        <v>4833</v>
      </c>
      <c r="R990" t="s">
        <v>73</v>
      </c>
      <c r="S990" t="s">
        <v>73</v>
      </c>
      <c r="U990" t="s">
        <v>73</v>
      </c>
      <c r="V990" t="s">
        <v>73</v>
      </c>
      <c r="X990" t="s">
        <v>73</v>
      </c>
      <c r="Y990" t="s">
        <v>73</v>
      </c>
      <c r="AA990" t="s">
        <v>73</v>
      </c>
      <c r="AB990" t="s">
        <v>73</v>
      </c>
      <c r="AF990">
        <v>204.5</v>
      </c>
      <c r="AG990">
        <v>4</v>
      </c>
      <c r="AH990">
        <v>5</v>
      </c>
      <c r="AI990">
        <v>783</v>
      </c>
      <c r="AJ990">
        <v>60.000000000000007</v>
      </c>
      <c r="AK990">
        <v>401</v>
      </c>
      <c r="AM990">
        <v>0</v>
      </c>
      <c r="AN990">
        <v>336</v>
      </c>
      <c r="AO990" t="s">
        <v>6443</v>
      </c>
      <c r="AP990" t="s">
        <v>2966</v>
      </c>
    </row>
    <row r="991" spans="1:42" x14ac:dyDescent="0.25">
      <c r="A991">
        <v>990</v>
      </c>
      <c r="B991" t="s">
        <v>3411</v>
      </c>
      <c r="C991" t="s">
        <v>3411</v>
      </c>
      <c r="D991" t="s">
        <v>3483</v>
      </c>
      <c r="E991" t="s">
        <v>67</v>
      </c>
      <c r="F991" t="s">
        <v>68</v>
      </c>
      <c r="G991" t="s">
        <v>69</v>
      </c>
      <c r="H991" t="s">
        <v>70</v>
      </c>
      <c r="J991" t="s">
        <v>398</v>
      </c>
      <c r="K991" t="s">
        <v>399</v>
      </c>
      <c r="L991" t="s">
        <v>5350</v>
      </c>
      <c r="M991" t="s">
        <v>5351</v>
      </c>
      <c r="R991" t="s">
        <v>2409</v>
      </c>
      <c r="S991" t="s">
        <v>2410</v>
      </c>
      <c r="T991">
        <v>2</v>
      </c>
      <c r="U991" t="s">
        <v>2430</v>
      </c>
      <c r="V991" t="s">
        <v>2431</v>
      </c>
      <c r="W991">
        <v>6</v>
      </c>
      <c r="X991" t="s">
        <v>2446</v>
      </c>
      <c r="Y991" t="s">
        <v>2447</v>
      </c>
      <c r="Z991">
        <v>4</v>
      </c>
      <c r="AA991" t="s">
        <v>73</v>
      </c>
      <c r="AB991" t="s">
        <v>73</v>
      </c>
      <c r="AF991">
        <v>201.83333333333499</v>
      </c>
      <c r="AG991">
        <v>4.6666666666666998</v>
      </c>
      <c r="AH991">
        <v>5</v>
      </c>
      <c r="AI991">
        <v>950</v>
      </c>
      <c r="AJ991">
        <v>20</v>
      </c>
      <c r="AK991">
        <v>467.66666666666998</v>
      </c>
      <c r="AM991">
        <v>0</v>
      </c>
      <c r="AN991">
        <v>112</v>
      </c>
      <c r="AO991" t="s">
        <v>6444</v>
      </c>
      <c r="AP991" t="s">
        <v>3483</v>
      </c>
    </row>
    <row r="992" spans="1:42" x14ac:dyDescent="0.25">
      <c r="A992">
        <v>991</v>
      </c>
      <c r="B992" t="s">
        <v>2940</v>
      </c>
      <c r="C992" t="s">
        <v>2940</v>
      </c>
      <c r="D992" t="s">
        <v>5308</v>
      </c>
      <c r="E992" t="s">
        <v>5312</v>
      </c>
      <c r="F992" t="s">
        <v>157</v>
      </c>
      <c r="G992" t="s">
        <v>158</v>
      </c>
      <c r="H992" t="s">
        <v>159</v>
      </c>
      <c r="I992" t="s">
        <v>5320</v>
      </c>
      <c r="J992" t="s">
        <v>3094</v>
      </c>
      <c r="K992" t="s">
        <v>3095</v>
      </c>
      <c r="L992" t="s">
        <v>5309</v>
      </c>
      <c r="M992" t="s">
        <v>5310</v>
      </c>
      <c r="R992" t="s">
        <v>73</v>
      </c>
      <c r="S992" t="s">
        <v>73</v>
      </c>
      <c r="U992" t="s">
        <v>73</v>
      </c>
      <c r="V992" t="s">
        <v>73</v>
      </c>
      <c r="X992" t="s">
        <v>73</v>
      </c>
      <c r="Y992" t="s">
        <v>73</v>
      </c>
      <c r="AF992">
        <v>200.5</v>
      </c>
      <c r="AG992">
        <v>5</v>
      </c>
      <c r="AH992">
        <v>5</v>
      </c>
      <c r="AI992">
        <v>998</v>
      </c>
      <c r="AJ992">
        <v>0</v>
      </c>
      <c r="AK992">
        <v>501</v>
      </c>
      <c r="AM992">
        <v>0</v>
      </c>
      <c r="AN992">
        <v>0</v>
      </c>
      <c r="AO992" t="s">
        <v>6445</v>
      </c>
      <c r="AP992" t="s">
        <v>5308</v>
      </c>
    </row>
    <row r="993" spans="1:42" x14ac:dyDescent="0.25">
      <c r="A993">
        <v>992</v>
      </c>
      <c r="B993" t="s">
        <v>3439</v>
      </c>
      <c r="C993" t="s">
        <v>3439</v>
      </c>
      <c r="D993" t="s">
        <v>3441</v>
      </c>
      <c r="E993" t="s">
        <v>255</v>
      </c>
      <c r="F993" t="s">
        <v>256</v>
      </c>
      <c r="G993" t="s">
        <v>257</v>
      </c>
      <c r="H993" t="s">
        <v>258</v>
      </c>
      <c r="I993" t="s">
        <v>3440</v>
      </c>
      <c r="J993" t="s">
        <v>1306</v>
      </c>
      <c r="K993" t="s">
        <v>1307</v>
      </c>
      <c r="L993">
        <v>52.105555500000001</v>
      </c>
      <c r="M993">
        <v>4.9955555</v>
      </c>
      <c r="Q993">
        <v>14</v>
      </c>
      <c r="R993" t="s">
        <v>2417</v>
      </c>
      <c r="S993" t="s">
        <v>2418</v>
      </c>
      <c r="T993">
        <v>4</v>
      </c>
      <c r="U993" t="s">
        <v>3139</v>
      </c>
      <c r="V993" t="s">
        <v>3140</v>
      </c>
      <c r="W993">
        <v>4</v>
      </c>
      <c r="X993" t="s">
        <v>2446</v>
      </c>
      <c r="Y993" t="s">
        <v>2447</v>
      </c>
      <c r="Z993">
        <v>4</v>
      </c>
      <c r="AA993" t="s">
        <v>73</v>
      </c>
      <c r="AB993" t="s">
        <v>73</v>
      </c>
      <c r="AC993" t="s">
        <v>3442</v>
      </c>
      <c r="AF993">
        <v>196.45454545454501</v>
      </c>
      <c r="AG993">
        <v>4.9090909090909003</v>
      </c>
      <c r="AH993">
        <v>10</v>
      </c>
      <c r="AI993">
        <v>999</v>
      </c>
      <c r="AJ993">
        <v>0</v>
      </c>
      <c r="AK993">
        <v>492.90909090909003</v>
      </c>
      <c r="AM993">
        <v>0</v>
      </c>
      <c r="AN993">
        <v>0</v>
      </c>
      <c r="AO993" t="s">
        <v>6446</v>
      </c>
      <c r="AP993" t="s">
        <v>3441</v>
      </c>
    </row>
    <row r="994" spans="1:42" x14ac:dyDescent="0.25">
      <c r="A994">
        <v>993</v>
      </c>
      <c r="B994" t="s">
        <v>3669</v>
      </c>
      <c r="C994" t="s">
        <v>3669</v>
      </c>
      <c r="D994" t="s">
        <v>3965</v>
      </c>
      <c r="E994" t="s">
        <v>666</v>
      </c>
      <c r="F994" t="s">
        <v>667</v>
      </c>
      <c r="G994" t="s">
        <v>60</v>
      </c>
      <c r="H994" t="s">
        <v>61</v>
      </c>
      <c r="I994" t="s">
        <v>3966</v>
      </c>
      <c r="J994" t="s">
        <v>3625</v>
      </c>
      <c r="K994" t="s">
        <v>3626</v>
      </c>
      <c r="L994" t="s">
        <v>4456</v>
      </c>
      <c r="M994" t="s">
        <v>4457</v>
      </c>
      <c r="Q994">
        <v>13</v>
      </c>
      <c r="R994" t="s">
        <v>73</v>
      </c>
      <c r="S994" t="s">
        <v>73</v>
      </c>
      <c r="U994" t="s">
        <v>73</v>
      </c>
      <c r="V994" t="s">
        <v>73</v>
      </c>
      <c r="X994" t="s">
        <v>73</v>
      </c>
      <c r="Y994" t="s">
        <v>73</v>
      </c>
      <c r="AA994" t="s">
        <v>73</v>
      </c>
      <c r="AB994" t="s">
        <v>73</v>
      </c>
      <c r="AF994">
        <v>194.4</v>
      </c>
      <c r="AG994">
        <v>3.8</v>
      </c>
      <c r="AH994">
        <v>4</v>
      </c>
      <c r="AI994">
        <v>784</v>
      </c>
      <c r="AJ994">
        <v>60.000000000000007</v>
      </c>
      <c r="AK994">
        <v>380.8</v>
      </c>
      <c r="AM994">
        <v>0</v>
      </c>
      <c r="AN994">
        <v>336</v>
      </c>
      <c r="AO994" t="s">
        <v>6447</v>
      </c>
      <c r="AP994" t="s">
        <v>3965</v>
      </c>
    </row>
    <row r="995" spans="1:42" x14ac:dyDescent="0.25">
      <c r="A995">
        <v>994</v>
      </c>
      <c r="B995" t="s">
        <v>3736</v>
      </c>
      <c r="C995" t="s">
        <v>3736</v>
      </c>
      <c r="D995" t="s">
        <v>3737</v>
      </c>
      <c r="E995" t="s">
        <v>5312</v>
      </c>
      <c r="F995" t="s">
        <v>157</v>
      </c>
      <c r="G995" t="s">
        <v>158</v>
      </c>
      <c r="H995" t="s">
        <v>159</v>
      </c>
      <c r="I995" t="s">
        <v>3936</v>
      </c>
      <c r="J995" t="s">
        <v>3093</v>
      </c>
      <c r="K995" t="s">
        <v>3092</v>
      </c>
      <c r="L995" t="s">
        <v>4785</v>
      </c>
      <c r="M995" t="s">
        <v>4786</v>
      </c>
      <c r="R995" t="s">
        <v>73</v>
      </c>
      <c r="S995" t="s">
        <v>73</v>
      </c>
      <c r="U995" t="s">
        <v>73</v>
      </c>
      <c r="V995" t="s">
        <v>73</v>
      </c>
      <c r="X995" t="s">
        <v>73</v>
      </c>
      <c r="Y995" t="s">
        <v>73</v>
      </c>
      <c r="AA995" t="s">
        <v>73</v>
      </c>
      <c r="AB995" t="s">
        <v>73</v>
      </c>
      <c r="AF995">
        <v>193.29784875189199</v>
      </c>
      <c r="AG995">
        <v>3.5</v>
      </c>
      <c r="AH995">
        <v>5</v>
      </c>
      <c r="AI995">
        <v>712</v>
      </c>
      <c r="AJ995">
        <v>75.330943057657763</v>
      </c>
      <c r="AK995">
        <v>351</v>
      </c>
      <c r="AM995">
        <v>105.46332028072086</v>
      </c>
      <c r="AN995">
        <v>0</v>
      </c>
      <c r="AO995" t="s">
        <v>6448</v>
      </c>
      <c r="AP995" t="s">
        <v>3737</v>
      </c>
    </row>
    <row r="996" spans="1:42" x14ac:dyDescent="0.25">
      <c r="A996">
        <v>995</v>
      </c>
      <c r="B996" t="s">
        <v>3670</v>
      </c>
      <c r="C996" t="s">
        <v>3670</v>
      </c>
      <c r="D996" t="s">
        <v>4475</v>
      </c>
      <c r="E996" t="s">
        <v>666</v>
      </c>
      <c r="F996" t="s">
        <v>667</v>
      </c>
      <c r="G996" t="s">
        <v>60</v>
      </c>
      <c r="H996" t="s">
        <v>61</v>
      </c>
      <c r="I996" t="s">
        <v>3671</v>
      </c>
      <c r="J996" t="s">
        <v>3625</v>
      </c>
      <c r="K996" t="s">
        <v>3626</v>
      </c>
      <c r="L996" t="s">
        <v>4476</v>
      </c>
      <c r="M996" t="s">
        <v>4477</v>
      </c>
      <c r="Q996">
        <v>13</v>
      </c>
      <c r="R996" t="s">
        <v>73</v>
      </c>
      <c r="S996" t="s">
        <v>73</v>
      </c>
      <c r="U996" t="s">
        <v>73</v>
      </c>
      <c r="V996" t="s">
        <v>73</v>
      </c>
      <c r="X996" t="s">
        <v>73</v>
      </c>
      <c r="Y996" t="s">
        <v>73</v>
      </c>
      <c r="AA996" t="s">
        <v>73</v>
      </c>
      <c r="AB996" t="s">
        <v>73</v>
      </c>
      <c r="AF996">
        <v>191.8</v>
      </c>
      <c r="AG996">
        <v>3.75</v>
      </c>
      <c r="AH996">
        <v>3</v>
      </c>
      <c r="AI996">
        <v>785</v>
      </c>
      <c r="AJ996">
        <v>60.000000000000007</v>
      </c>
      <c r="AK996">
        <v>375.6</v>
      </c>
      <c r="AM996">
        <v>0</v>
      </c>
      <c r="AN996">
        <v>336</v>
      </c>
      <c r="AO996" t="s">
        <v>6449</v>
      </c>
      <c r="AP996" t="s">
        <v>4475</v>
      </c>
    </row>
    <row r="997" spans="1:42" x14ac:dyDescent="0.25">
      <c r="A997">
        <v>996</v>
      </c>
      <c r="B997" t="s">
        <v>3330</v>
      </c>
      <c r="C997" t="s">
        <v>3330</v>
      </c>
      <c r="D997" t="s">
        <v>3506</v>
      </c>
      <c r="E997" t="s">
        <v>199</v>
      </c>
      <c r="F997" t="s">
        <v>200</v>
      </c>
      <c r="I997" t="s">
        <v>3825</v>
      </c>
      <c r="J997" t="s">
        <v>342</v>
      </c>
      <c r="K997" t="s">
        <v>343</v>
      </c>
      <c r="L997" t="s">
        <v>5150</v>
      </c>
      <c r="M997" t="s">
        <v>5151</v>
      </c>
      <c r="R997" t="s">
        <v>73</v>
      </c>
      <c r="S997" t="s">
        <v>73</v>
      </c>
      <c r="U997" t="s">
        <v>73</v>
      </c>
      <c r="V997" t="s">
        <v>73</v>
      </c>
      <c r="X997" t="s">
        <v>73</v>
      </c>
      <c r="Y997" t="s">
        <v>73</v>
      </c>
      <c r="AA997" t="s">
        <v>73</v>
      </c>
      <c r="AB997" t="s">
        <v>73</v>
      </c>
      <c r="AF997">
        <v>190.4</v>
      </c>
      <c r="AG997">
        <v>4.8</v>
      </c>
      <c r="AH997">
        <v>4</v>
      </c>
      <c r="AI997">
        <v>1000</v>
      </c>
      <c r="AJ997">
        <v>0</v>
      </c>
      <c r="AK997">
        <v>480.8</v>
      </c>
      <c r="AM997">
        <v>0</v>
      </c>
      <c r="AN997">
        <v>0</v>
      </c>
      <c r="AO997" t="s">
        <v>6450</v>
      </c>
      <c r="AP997" t="s">
        <v>3506</v>
      </c>
    </row>
    <row r="998" spans="1:42" x14ac:dyDescent="0.25">
      <c r="A998">
        <v>997</v>
      </c>
      <c r="B998" t="s">
        <v>125</v>
      </c>
      <c r="C998" t="s">
        <v>125</v>
      </c>
      <c r="D998" t="s">
        <v>3045</v>
      </c>
      <c r="E998" t="s">
        <v>84</v>
      </c>
      <c r="F998" t="s">
        <v>84</v>
      </c>
      <c r="G998" t="s">
        <v>85</v>
      </c>
      <c r="H998" t="s">
        <v>86</v>
      </c>
      <c r="I998" t="s">
        <v>126</v>
      </c>
      <c r="J998" t="s">
        <v>127</v>
      </c>
      <c r="K998" t="s">
        <v>128</v>
      </c>
      <c r="Q998">
        <v>14</v>
      </c>
      <c r="R998" t="s">
        <v>2414</v>
      </c>
      <c r="S998" t="s">
        <v>2415</v>
      </c>
      <c r="T998">
        <v>3</v>
      </c>
      <c r="U998" t="s">
        <v>2430</v>
      </c>
      <c r="V998" t="s">
        <v>2431</v>
      </c>
      <c r="W998">
        <v>6</v>
      </c>
      <c r="X998" t="s">
        <v>2443</v>
      </c>
      <c r="Y998" t="s">
        <v>2444</v>
      </c>
      <c r="Z998">
        <v>3</v>
      </c>
      <c r="AF998">
        <v>186.2</v>
      </c>
      <c r="AG998">
        <v>4</v>
      </c>
      <c r="AH998">
        <v>2</v>
      </c>
      <c r="AI998">
        <v>908</v>
      </c>
      <c r="AJ998">
        <v>40</v>
      </c>
      <c r="AK998">
        <v>400.4</v>
      </c>
      <c r="AM998">
        <v>0</v>
      </c>
      <c r="AN998">
        <v>224</v>
      </c>
      <c r="AO998" t="s">
        <v>6451</v>
      </c>
      <c r="AP998" t="s">
        <v>3045</v>
      </c>
    </row>
    <row r="999" spans="1:42" x14ac:dyDescent="0.25">
      <c r="A999">
        <v>998</v>
      </c>
      <c r="B999" t="s">
        <v>3666</v>
      </c>
      <c r="C999" t="s">
        <v>3666</v>
      </c>
      <c r="D999" t="s">
        <v>3667</v>
      </c>
      <c r="E999" t="s">
        <v>666</v>
      </c>
      <c r="F999" t="s">
        <v>667</v>
      </c>
      <c r="G999" t="s">
        <v>60</v>
      </c>
      <c r="H999" t="s">
        <v>61</v>
      </c>
      <c r="I999" t="s">
        <v>3668</v>
      </c>
      <c r="J999" t="s">
        <v>3619</v>
      </c>
      <c r="K999" t="s">
        <v>3616</v>
      </c>
      <c r="L999" t="s">
        <v>4460</v>
      </c>
      <c r="M999" t="s">
        <v>4461</v>
      </c>
      <c r="Q999">
        <v>11</v>
      </c>
      <c r="R999" t="s">
        <v>73</v>
      </c>
      <c r="S999" t="s">
        <v>73</v>
      </c>
      <c r="U999" t="s">
        <v>73</v>
      </c>
      <c r="V999" t="s">
        <v>73</v>
      </c>
      <c r="X999" t="s">
        <v>73</v>
      </c>
      <c r="Y999" t="s">
        <v>73</v>
      </c>
      <c r="AA999" t="s">
        <v>73</v>
      </c>
      <c r="AB999" t="s">
        <v>73</v>
      </c>
      <c r="AF999">
        <v>179.5</v>
      </c>
      <c r="AG999">
        <v>3.5</v>
      </c>
      <c r="AH999">
        <v>5</v>
      </c>
      <c r="AI999">
        <v>786</v>
      </c>
      <c r="AJ999">
        <v>60.000000000000007</v>
      </c>
      <c r="AK999">
        <v>351</v>
      </c>
      <c r="AM999">
        <v>0</v>
      </c>
      <c r="AN999">
        <v>336</v>
      </c>
      <c r="AO999" t="s">
        <v>6452</v>
      </c>
      <c r="AP999" t="s">
        <v>3667</v>
      </c>
    </row>
    <row r="1000" spans="1:42" x14ac:dyDescent="0.25">
      <c r="A1000">
        <v>999</v>
      </c>
      <c r="B1000" t="s">
        <v>2042</v>
      </c>
      <c r="C1000" t="s">
        <v>2042</v>
      </c>
      <c r="D1000" t="s">
        <v>3728</v>
      </c>
      <c r="E1000" t="s">
        <v>5312</v>
      </c>
      <c r="F1000" t="s">
        <v>157</v>
      </c>
      <c r="G1000" t="s">
        <v>158</v>
      </c>
      <c r="H1000" t="s">
        <v>159</v>
      </c>
      <c r="J1000" t="s">
        <v>3094</v>
      </c>
      <c r="K1000" t="s">
        <v>3095</v>
      </c>
      <c r="L1000" t="s">
        <v>5306</v>
      </c>
      <c r="M1000" t="s">
        <v>5307</v>
      </c>
      <c r="R1000" t="s">
        <v>73</v>
      </c>
      <c r="S1000" t="s">
        <v>73</v>
      </c>
      <c r="U1000" t="s">
        <v>73</v>
      </c>
      <c r="V1000" t="s">
        <v>73</v>
      </c>
      <c r="X1000" t="s">
        <v>73</v>
      </c>
      <c r="Y1000" t="s">
        <v>73</v>
      </c>
      <c r="AA1000" t="s">
        <v>73</v>
      </c>
      <c r="AB1000" t="s">
        <v>73</v>
      </c>
      <c r="AF1000">
        <v>165.39948187718244</v>
      </c>
      <c r="AG1000">
        <v>3.5</v>
      </c>
      <c r="AH1000">
        <v>3</v>
      </c>
      <c r="AI1000">
        <v>828</v>
      </c>
      <c r="AJ1000">
        <v>44.55497986353604</v>
      </c>
      <c r="AK1000">
        <v>350.6</v>
      </c>
      <c r="AM1000">
        <v>62.376971808950451</v>
      </c>
      <c r="AN1000">
        <v>0</v>
      </c>
      <c r="AO1000" t="s">
        <v>6453</v>
      </c>
      <c r="AP1000" t="s">
        <v>3728</v>
      </c>
    </row>
    <row r="1001" spans="1:42" x14ac:dyDescent="0.25">
      <c r="A1001">
        <v>1000</v>
      </c>
      <c r="B1001" t="s">
        <v>3614</v>
      </c>
      <c r="C1001" t="s">
        <v>3614</v>
      </c>
      <c r="D1001" t="s">
        <v>3645</v>
      </c>
      <c r="E1001" t="s">
        <v>666</v>
      </c>
      <c r="F1001" t="s">
        <v>667</v>
      </c>
      <c r="G1001" t="s">
        <v>60</v>
      </c>
      <c r="H1001" t="s">
        <v>61</v>
      </c>
      <c r="I1001" t="s">
        <v>3615</v>
      </c>
      <c r="J1001" t="s">
        <v>3622</v>
      </c>
      <c r="K1001" t="s">
        <v>3617</v>
      </c>
      <c r="L1001" t="s">
        <v>4468</v>
      </c>
      <c r="M1001" t="s">
        <v>4469</v>
      </c>
      <c r="R1001" t="s">
        <v>73</v>
      </c>
      <c r="S1001" t="s">
        <v>73</v>
      </c>
      <c r="U1001" t="s">
        <v>73</v>
      </c>
      <c r="V1001" t="s">
        <v>73</v>
      </c>
      <c r="X1001" t="s">
        <v>73</v>
      </c>
      <c r="Y1001" t="s">
        <v>73</v>
      </c>
      <c r="AA1001" t="s">
        <v>73</v>
      </c>
      <c r="AB1001" t="s">
        <v>73</v>
      </c>
      <c r="AF1001">
        <v>142.19999999999999</v>
      </c>
      <c r="AG1001">
        <v>2.75</v>
      </c>
      <c r="AH1001">
        <v>7</v>
      </c>
      <c r="AI1001">
        <v>787</v>
      </c>
      <c r="AJ1001">
        <v>60.000000000000007</v>
      </c>
      <c r="AK1001">
        <v>276.39999999999998</v>
      </c>
      <c r="AM1001">
        <v>0</v>
      </c>
      <c r="AN1001">
        <v>336</v>
      </c>
      <c r="AO1001" t="s">
        <v>6454</v>
      </c>
      <c r="AP1001" t="s">
        <v>3645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X60"/>
  <sheetViews>
    <sheetView workbookViewId="0">
      <pane xSplit="2" ySplit="1" topLeftCell="C2" activePane="bottomRight" state="frozen"/>
      <selection pane="topRight" activeCell="D1" sqref="D1"/>
      <selection pane="bottomLeft" activeCell="A2" sqref="A2"/>
      <selection pane="bottomRight" activeCell="C8" sqref="C8"/>
    </sheetView>
  </sheetViews>
  <sheetFormatPr defaultColWidth="9" defaultRowHeight="13.2" outlineLevelCol="1" x14ac:dyDescent="0.25"/>
  <cols>
    <col min="1" max="3" width="14.6640625" customWidth="1"/>
    <col min="4" max="4" width="12.33203125" customWidth="1"/>
    <col min="5" max="5" width="31.5546875" customWidth="1"/>
    <col min="6" max="6" width="29.44140625" customWidth="1"/>
    <col min="7" max="7" width="28.109375" customWidth="1"/>
    <col min="8" max="8" width="24.44140625" customWidth="1"/>
    <col min="9" max="9" width="19.109375" customWidth="1"/>
    <col min="10" max="11" width="27" customWidth="1"/>
    <col min="12" max="12" width="6.6640625" customWidth="1"/>
    <col min="13" max="13" width="15" customWidth="1"/>
    <col min="14" max="14" width="14.88671875" customWidth="1"/>
    <col min="15" max="15" width="9.6640625" customWidth="1"/>
    <col min="16" max="16" width="16" customWidth="1"/>
    <col min="17" max="17" width="15" customWidth="1"/>
    <col min="18" max="18" width="9.6640625" customWidth="1"/>
    <col min="19" max="19" width="12.109375" customWidth="1"/>
    <col min="20" max="20" width="12.88671875" customWidth="1"/>
    <col min="21" max="21" width="9.109375" customWidth="1"/>
    <col min="22" max="26" width="51" customWidth="1"/>
    <col min="27" max="27" width="20.44140625" style="1" customWidth="1"/>
    <col min="28" max="28" width="17" style="1" customWidth="1"/>
    <col min="29" max="29" width="12" style="1" customWidth="1"/>
    <col min="30" max="30" width="17.44140625" style="2" customWidth="1"/>
    <col min="31" max="31" width="11" style="2" customWidth="1"/>
    <col min="32" max="32" width="15" style="1" customWidth="1"/>
    <col min="33" max="33" width="13" style="3" customWidth="1"/>
    <col min="34" max="34" width="9" customWidth="1" outlineLevel="1"/>
    <col min="35" max="37" width="9" style="4" customWidth="1" outlineLevel="1"/>
    <col min="38" max="40" width="9" customWidth="1" outlineLevel="1"/>
    <col min="41" max="43" width="9" style="4" customWidth="1" outlineLevel="1"/>
    <col min="44" max="46" width="9" customWidth="1" outlineLevel="1"/>
    <col min="47" max="49" width="9" style="4" customWidth="1" outlineLevel="1"/>
    <col min="50" max="51" width="9" customWidth="1" outlineLevel="1"/>
    <col min="52" max="52" width="11.5546875" customWidth="1"/>
    <col min="53" max="53" width="12.44140625" customWidth="1"/>
    <col min="54" max="54" width="14.44140625" customWidth="1"/>
    <col min="55" max="55" width="7.109375" customWidth="1"/>
    <col min="56" max="57" width="5.33203125" customWidth="1"/>
    <col min="58" max="58" width="11.109375" customWidth="1"/>
    <col min="59" max="64" width="5.33203125" customWidth="1"/>
    <col min="65" max="65" width="6.44140625" customWidth="1"/>
    <col min="66" max="66" width="6.33203125" customWidth="1"/>
    <col min="67" max="112" width="6.44140625" customWidth="1"/>
    <col min="113" max="118" width="7.5546875" customWidth="1"/>
    <col min="119" max="119" width="7" customWidth="1"/>
    <col min="120" max="120" width="7.5546875" customWidth="1"/>
    <col min="121" max="121" width="16.44140625" customWidth="1"/>
  </cols>
  <sheetData>
    <row r="1" spans="1:284" s="13" customFormat="1" x14ac:dyDescent="0.25">
      <c r="A1" s="5" t="s">
        <v>1</v>
      </c>
      <c r="B1" s="27" t="s">
        <v>2</v>
      </c>
      <c r="C1" s="27" t="s">
        <v>3</v>
      </c>
      <c r="D1" s="5" t="s">
        <v>4</v>
      </c>
      <c r="E1" s="5" t="s">
        <v>5</v>
      </c>
      <c r="F1" s="5" t="s">
        <v>6</v>
      </c>
      <c r="G1" s="5" t="s">
        <v>7</v>
      </c>
      <c r="H1" s="5" t="s">
        <v>8</v>
      </c>
      <c r="I1" s="5" t="s">
        <v>2980</v>
      </c>
      <c r="J1" s="27" t="s">
        <v>9</v>
      </c>
      <c r="K1" s="27" t="s">
        <v>10</v>
      </c>
      <c r="L1" s="5" t="s">
        <v>11</v>
      </c>
      <c r="M1" s="5" t="s">
        <v>12</v>
      </c>
      <c r="N1" s="5" t="s">
        <v>13</v>
      </c>
      <c r="O1" s="6" t="s">
        <v>14</v>
      </c>
      <c r="P1" s="5" t="s">
        <v>15</v>
      </c>
      <c r="Q1" s="5" t="s">
        <v>16</v>
      </c>
      <c r="R1" s="7" t="s">
        <v>17</v>
      </c>
      <c r="S1" s="5" t="s">
        <v>18</v>
      </c>
      <c r="T1" s="5" t="s">
        <v>19</v>
      </c>
      <c r="U1" s="7" t="s">
        <v>20</v>
      </c>
      <c r="V1" s="5" t="s">
        <v>21</v>
      </c>
      <c r="W1" s="5" t="s">
        <v>22</v>
      </c>
      <c r="X1" s="5" t="s">
        <v>23</v>
      </c>
      <c r="Y1" s="5" t="s">
        <v>24</v>
      </c>
      <c r="Z1" s="5" t="s">
        <v>25</v>
      </c>
      <c r="AA1" s="8" t="s">
        <v>26</v>
      </c>
      <c r="AB1" s="8" t="s">
        <v>27</v>
      </c>
      <c r="AC1" s="9" t="s">
        <v>28</v>
      </c>
      <c r="AD1" s="10" t="s">
        <v>29</v>
      </c>
      <c r="AE1" s="8" t="s">
        <v>30</v>
      </c>
      <c r="AF1" s="8" t="s">
        <v>31</v>
      </c>
      <c r="AG1" s="8" t="s">
        <v>32</v>
      </c>
      <c r="AH1" s="5" t="s">
        <v>33</v>
      </c>
      <c r="AI1" s="11" t="s">
        <v>34</v>
      </c>
      <c r="AJ1" s="5" t="s">
        <v>35</v>
      </c>
      <c r="AK1" s="5" t="s">
        <v>36</v>
      </c>
      <c r="AL1" s="5" t="s">
        <v>37</v>
      </c>
      <c r="AM1" s="5" t="s">
        <v>38</v>
      </c>
      <c r="AN1" s="5" t="s">
        <v>39</v>
      </c>
      <c r="AO1" s="11" t="s">
        <v>40</v>
      </c>
      <c r="AP1" s="5" t="s">
        <v>41</v>
      </c>
      <c r="AQ1" s="5" t="s">
        <v>42</v>
      </c>
      <c r="AR1" s="5" t="s">
        <v>43</v>
      </c>
      <c r="AS1" s="5" t="s">
        <v>44</v>
      </c>
      <c r="AT1" s="5" t="s">
        <v>45</v>
      </c>
      <c r="AU1" s="11" t="s">
        <v>46</v>
      </c>
      <c r="AV1" s="5" t="s">
        <v>47</v>
      </c>
      <c r="AW1" s="5" t="s">
        <v>48</v>
      </c>
      <c r="AX1" s="5" t="s">
        <v>49</v>
      </c>
      <c r="AY1" s="5" t="s">
        <v>50</v>
      </c>
      <c r="AZ1" s="5" t="s">
        <v>51</v>
      </c>
      <c r="BA1" s="5" t="s">
        <v>52</v>
      </c>
      <c r="BB1" s="5" t="s">
        <v>53</v>
      </c>
      <c r="BC1" s="5" t="s">
        <v>54</v>
      </c>
      <c r="BD1" s="12">
        <v>1</v>
      </c>
      <c r="BE1" s="12">
        <v>2</v>
      </c>
      <c r="BF1" s="12">
        <v>3</v>
      </c>
      <c r="BG1" s="12">
        <v>4</v>
      </c>
      <c r="BH1" s="12">
        <v>5</v>
      </c>
      <c r="BI1" s="12">
        <v>6</v>
      </c>
      <c r="BJ1" s="12">
        <v>7</v>
      </c>
      <c r="BK1" s="12">
        <v>8</v>
      </c>
      <c r="BL1" s="12">
        <v>9</v>
      </c>
      <c r="BM1" s="13">
        <v>10</v>
      </c>
      <c r="BN1" s="12">
        <v>11</v>
      </c>
      <c r="BO1" s="12">
        <v>12</v>
      </c>
      <c r="BP1" s="12">
        <v>13</v>
      </c>
      <c r="BQ1" s="12">
        <v>14</v>
      </c>
      <c r="BR1" s="12">
        <v>15</v>
      </c>
      <c r="BS1" s="12">
        <v>16</v>
      </c>
      <c r="BT1" s="13">
        <v>17</v>
      </c>
      <c r="BU1" s="13">
        <v>18</v>
      </c>
      <c r="BV1" s="13">
        <v>19</v>
      </c>
      <c r="BW1" s="12">
        <v>20</v>
      </c>
      <c r="BX1" s="13">
        <v>21</v>
      </c>
      <c r="BY1" s="13">
        <v>22</v>
      </c>
      <c r="BZ1" s="13">
        <v>23</v>
      </c>
      <c r="CA1" s="13">
        <v>24</v>
      </c>
      <c r="CB1" s="13">
        <v>25</v>
      </c>
      <c r="CC1" s="12">
        <v>26</v>
      </c>
      <c r="CD1" s="12">
        <v>27</v>
      </c>
      <c r="CE1" s="13">
        <v>28</v>
      </c>
      <c r="CF1" s="12">
        <v>29</v>
      </c>
      <c r="CG1" s="13">
        <v>30</v>
      </c>
      <c r="CH1" s="13">
        <v>31</v>
      </c>
      <c r="CI1" s="13">
        <v>32</v>
      </c>
      <c r="CJ1" s="13">
        <v>33</v>
      </c>
      <c r="CK1" s="13">
        <v>34</v>
      </c>
      <c r="CL1" s="13">
        <v>35</v>
      </c>
      <c r="CM1" s="13">
        <v>36</v>
      </c>
      <c r="CN1" s="13">
        <v>37</v>
      </c>
      <c r="CO1" s="13">
        <v>38</v>
      </c>
      <c r="CP1" s="12">
        <v>39</v>
      </c>
      <c r="CQ1" s="13">
        <v>40</v>
      </c>
      <c r="CR1" s="13">
        <v>41</v>
      </c>
      <c r="CS1" s="13">
        <v>42</v>
      </c>
      <c r="CT1" s="12">
        <v>43</v>
      </c>
      <c r="CU1" s="12">
        <v>44</v>
      </c>
      <c r="CV1" s="12">
        <v>45</v>
      </c>
      <c r="CW1" s="12">
        <v>46</v>
      </c>
      <c r="CX1" s="12">
        <v>47</v>
      </c>
      <c r="CY1" s="12">
        <v>48</v>
      </c>
      <c r="CZ1" s="12">
        <v>49</v>
      </c>
      <c r="DA1" s="13">
        <v>50</v>
      </c>
      <c r="DB1" s="12">
        <v>51</v>
      </c>
      <c r="DC1" s="13">
        <v>52</v>
      </c>
      <c r="DD1" s="13">
        <v>53</v>
      </c>
      <c r="DE1" s="12">
        <v>54</v>
      </c>
      <c r="DF1" s="13">
        <v>55</v>
      </c>
      <c r="DG1" s="13">
        <v>56</v>
      </c>
      <c r="DH1" s="13">
        <v>57</v>
      </c>
      <c r="DI1" s="13">
        <v>58</v>
      </c>
      <c r="DJ1" s="13">
        <v>59</v>
      </c>
      <c r="DK1" s="13">
        <v>60</v>
      </c>
      <c r="DL1" s="13">
        <v>61</v>
      </c>
      <c r="DM1" s="13">
        <v>62</v>
      </c>
      <c r="DN1" s="13">
        <v>63</v>
      </c>
      <c r="DO1" s="13">
        <v>64</v>
      </c>
      <c r="DP1" s="13" t="s">
        <v>55</v>
      </c>
      <c r="DQ1" s="13" t="s">
        <v>56</v>
      </c>
    </row>
    <row r="2" spans="1:284" x14ac:dyDescent="0.25">
      <c r="A2" t="s">
        <v>135</v>
      </c>
      <c r="B2" s="28" t="s">
        <v>136</v>
      </c>
      <c r="C2" s="28" t="s">
        <v>137</v>
      </c>
      <c r="D2" t="s">
        <v>138</v>
      </c>
      <c r="E2" t="s">
        <v>139</v>
      </c>
      <c r="F2" t="s">
        <v>140</v>
      </c>
      <c r="G2" t="s">
        <v>141</v>
      </c>
      <c r="H2" t="s">
        <v>142</v>
      </c>
      <c r="I2" t="s">
        <v>143</v>
      </c>
      <c r="J2" s="28" t="s">
        <v>144</v>
      </c>
      <c r="K2" s="28" t="s">
        <v>145</v>
      </c>
      <c r="L2">
        <v>8</v>
      </c>
      <c r="M2" t="str">
        <f t="shared" ref="M2:M17" si="0">VLOOKUP(O2,ligging,2,FALSE)</f>
        <v>Stadsburcht</v>
      </c>
      <c r="N2" t="str">
        <f t="shared" ref="N2:N17" si="1">VLOOKUP(O2,ligging,3,FALSE)</f>
        <v>City castle</v>
      </c>
      <c r="O2">
        <v>5</v>
      </c>
      <c r="P2" t="str">
        <f t="shared" ref="P2:P17" si="2">VLOOKUP(R2,bouwconcept,2,FALSE)</f>
        <v>Toren of compact kasteel</v>
      </c>
      <c r="Q2" t="str">
        <f t="shared" ref="Q2:Q17" si="3">VLOOKUP(R2,bouwconcept,3,FALSE)</f>
        <v>Tower or compact castle</v>
      </c>
      <c r="R2">
        <v>4</v>
      </c>
      <c r="S2" t="str">
        <f t="shared" ref="S2:S17" si="4">VLOOKUP(U2,condition,2,FALSE)</f>
        <v>Verwoest</v>
      </c>
      <c r="T2" t="str">
        <f t="shared" ref="T2:T17" si="5">VLOOKUP(U2,condition,3,FALSE)</f>
        <v>Destroyed</v>
      </c>
      <c r="U2">
        <v>5</v>
      </c>
      <c r="V2" t="s">
        <v>73</v>
      </c>
      <c r="W2" t="s">
        <v>73</v>
      </c>
      <c r="X2" t="s">
        <v>2890</v>
      </c>
      <c r="Y2" t="s">
        <v>146</v>
      </c>
      <c r="AA2" t="str">
        <f t="shared" ref="AA2:AA17" si="6">VLOOKUP(AC2,nocastle,2,FALSE)</f>
        <v>Middeleeuws Paleis</v>
      </c>
      <c r="AB2" t="str">
        <f t="shared" ref="AB2:AB17" si="7">VLOOKUP(AC2,nocastle,3,FALSE)</f>
        <v>Palace</v>
      </c>
      <c r="AC2">
        <v>6</v>
      </c>
      <c r="AD2" s="14">
        <v>0</v>
      </c>
      <c r="AE2">
        <v>0</v>
      </c>
      <c r="AF2">
        <v>0</v>
      </c>
      <c r="AG2" s="15">
        <v>201.11897803337931</v>
      </c>
      <c r="AH2">
        <v>0</v>
      </c>
      <c r="AI2" s="14">
        <v>201.11897803337934</v>
      </c>
      <c r="AJ2" s="14">
        <v>0</v>
      </c>
      <c r="AK2">
        <v>0</v>
      </c>
      <c r="AL2">
        <v>0</v>
      </c>
      <c r="AM2" s="15">
        <v>201.11897803337931</v>
      </c>
      <c r="AN2">
        <v>0</v>
      </c>
      <c r="AO2" s="14">
        <v>341.27305747056278</v>
      </c>
      <c r="AP2" s="14">
        <v>0</v>
      </c>
      <c r="AQ2">
        <v>0</v>
      </c>
      <c r="AR2">
        <v>0</v>
      </c>
      <c r="AS2" s="15">
        <v>341.27305747056278</v>
      </c>
      <c r="AT2">
        <v>0</v>
      </c>
      <c r="AU2" s="14">
        <v>335.87494721245122</v>
      </c>
      <c r="AV2" s="14">
        <v>0</v>
      </c>
      <c r="AW2" s="15">
        <v>0</v>
      </c>
      <c r="AX2">
        <v>0</v>
      </c>
      <c r="AY2" s="15">
        <v>335.87494721245122</v>
      </c>
      <c r="AZ2">
        <f>COUNT(#REF!)</f>
        <v>0</v>
      </c>
      <c r="BA2">
        <v>-1</v>
      </c>
      <c r="BB2" s="15"/>
      <c r="BE2">
        <v>1</v>
      </c>
      <c r="BW2">
        <v>3</v>
      </c>
      <c r="CC2">
        <v>8</v>
      </c>
      <c r="CV2">
        <v>3</v>
      </c>
      <c r="CW2">
        <v>1</v>
      </c>
      <c r="CY2">
        <v>1</v>
      </c>
      <c r="DB2">
        <v>16</v>
      </c>
    </row>
    <row r="3" spans="1:284" x14ac:dyDescent="0.25">
      <c r="A3" t="s">
        <v>188</v>
      </c>
      <c r="B3" t="s">
        <v>189</v>
      </c>
      <c r="C3" t="s">
        <v>84</v>
      </c>
      <c r="D3" t="s">
        <v>84</v>
      </c>
      <c r="E3" t="s">
        <v>85</v>
      </c>
      <c r="F3" t="s">
        <v>86</v>
      </c>
      <c r="G3" t="s">
        <v>190</v>
      </c>
      <c r="J3" t="s">
        <v>191</v>
      </c>
      <c r="K3" t="s">
        <v>191</v>
      </c>
      <c r="L3">
        <v>16</v>
      </c>
      <c r="M3" t="str">
        <f t="shared" si="0"/>
        <v xml:space="preserve"> </v>
      </c>
      <c r="N3" t="str">
        <f t="shared" si="1"/>
        <v xml:space="preserve"> </v>
      </c>
      <c r="P3" t="str">
        <f t="shared" si="2"/>
        <v xml:space="preserve"> </v>
      </c>
      <c r="Q3" t="str">
        <f t="shared" si="3"/>
        <v xml:space="preserve"> </v>
      </c>
      <c r="S3" t="str">
        <f t="shared" si="4"/>
        <v xml:space="preserve"> </v>
      </c>
      <c r="T3" t="str">
        <f t="shared" si="5"/>
        <v xml:space="preserve"> </v>
      </c>
      <c r="V3" t="s">
        <v>192</v>
      </c>
      <c r="W3" t="s">
        <v>192</v>
      </c>
      <c r="X3" t="s">
        <v>193</v>
      </c>
      <c r="Y3" t="s">
        <v>194</v>
      </c>
      <c r="AA3" t="str">
        <f t="shared" si="6"/>
        <v>Fort</v>
      </c>
      <c r="AB3" t="str">
        <f t="shared" si="7"/>
        <v>Fortress</v>
      </c>
      <c r="AC3">
        <v>3</v>
      </c>
      <c r="AD3" s="14">
        <v>0</v>
      </c>
      <c r="AE3">
        <v>0</v>
      </c>
      <c r="AF3">
        <v>0</v>
      </c>
      <c r="AG3" s="15">
        <v>160.09219461970952</v>
      </c>
      <c r="AH3">
        <v>0</v>
      </c>
      <c r="AI3" s="14">
        <v>160.09219461970952</v>
      </c>
      <c r="AJ3" s="14">
        <v>0</v>
      </c>
      <c r="AK3">
        <v>0</v>
      </c>
      <c r="AL3">
        <v>0</v>
      </c>
      <c r="AM3" s="15">
        <v>160.09219461970952</v>
      </c>
      <c r="AN3">
        <v>0</v>
      </c>
      <c r="AO3" s="14">
        <v>63.519337342059877</v>
      </c>
      <c r="AP3" s="14">
        <v>0</v>
      </c>
      <c r="AQ3">
        <v>0</v>
      </c>
      <c r="AR3">
        <v>0</v>
      </c>
      <c r="AS3" s="15">
        <v>63.519337342059877</v>
      </c>
      <c r="AT3">
        <v>0</v>
      </c>
      <c r="AU3" s="14">
        <v>27.649965648295801</v>
      </c>
      <c r="AV3" s="14">
        <v>0</v>
      </c>
      <c r="AW3" s="15">
        <v>0</v>
      </c>
      <c r="AX3">
        <v>0</v>
      </c>
      <c r="AY3" s="15">
        <v>27.649965648295801</v>
      </c>
      <c r="AZ3">
        <f>COUNT(#REF!)</f>
        <v>0</v>
      </c>
      <c r="BA3">
        <v>2</v>
      </c>
      <c r="BB3" s="15"/>
      <c r="BG3">
        <v>1</v>
      </c>
      <c r="CZ3">
        <v>1</v>
      </c>
    </row>
    <row r="4" spans="1:284" x14ac:dyDescent="0.25">
      <c r="A4" t="s">
        <v>222</v>
      </c>
      <c r="B4" t="s">
        <v>223</v>
      </c>
      <c r="C4" t="s">
        <v>67</v>
      </c>
      <c r="D4" t="s">
        <v>68</v>
      </c>
      <c r="E4" t="s">
        <v>69</v>
      </c>
      <c r="F4" t="s">
        <v>70</v>
      </c>
      <c r="G4" t="s">
        <v>224</v>
      </c>
      <c r="H4" t="s">
        <v>225</v>
      </c>
      <c r="I4" t="s">
        <v>226</v>
      </c>
      <c r="M4" t="str">
        <f t="shared" si="0"/>
        <v xml:space="preserve"> </v>
      </c>
      <c r="N4" t="str">
        <f t="shared" si="1"/>
        <v xml:space="preserve"> </v>
      </c>
      <c r="P4" t="str">
        <f t="shared" si="2"/>
        <v xml:space="preserve"> </v>
      </c>
      <c r="Q4" t="str">
        <f t="shared" si="3"/>
        <v xml:space="preserve"> </v>
      </c>
      <c r="S4" t="str">
        <f t="shared" si="4"/>
        <v xml:space="preserve"> </v>
      </c>
      <c r="T4" t="str">
        <f t="shared" si="5"/>
        <v xml:space="preserve"> </v>
      </c>
      <c r="V4" t="s">
        <v>73</v>
      </c>
      <c r="W4" t="s">
        <v>73</v>
      </c>
      <c r="X4" t="s">
        <v>2892</v>
      </c>
      <c r="Y4" t="s">
        <v>227</v>
      </c>
      <c r="AA4" t="str">
        <f t="shared" si="6"/>
        <v>Renaissance</v>
      </c>
      <c r="AB4" t="str">
        <f t="shared" si="7"/>
        <v>Renaissance</v>
      </c>
      <c r="AC4">
        <v>1</v>
      </c>
      <c r="AD4" s="14">
        <v>0</v>
      </c>
      <c r="AE4">
        <v>0</v>
      </c>
      <c r="AF4">
        <v>0</v>
      </c>
      <c r="AG4" s="18">
        <v>0</v>
      </c>
      <c r="AH4">
        <v>0</v>
      </c>
      <c r="AI4" s="14">
        <v>0</v>
      </c>
      <c r="AJ4" s="14">
        <v>0</v>
      </c>
      <c r="AK4">
        <v>0</v>
      </c>
      <c r="AL4">
        <v>0</v>
      </c>
      <c r="AM4" s="15">
        <v>0</v>
      </c>
      <c r="AN4">
        <v>0</v>
      </c>
      <c r="AO4" s="14">
        <v>0</v>
      </c>
      <c r="AP4" s="14">
        <v>0</v>
      </c>
      <c r="AQ4">
        <v>0</v>
      </c>
      <c r="AR4">
        <v>0</v>
      </c>
      <c r="AS4" s="15">
        <v>0</v>
      </c>
      <c r="AT4">
        <v>0</v>
      </c>
      <c r="AU4" s="14">
        <v>0</v>
      </c>
      <c r="AV4" s="14">
        <v>0</v>
      </c>
      <c r="AW4" s="15">
        <v>0</v>
      </c>
      <c r="AX4">
        <v>0</v>
      </c>
      <c r="AY4" s="15">
        <v>0</v>
      </c>
      <c r="AZ4">
        <f>COUNT(#REF!)</f>
        <v>0</v>
      </c>
      <c r="BA4">
        <v>1</v>
      </c>
      <c r="BB4" s="15"/>
    </row>
    <row r="5" spans="1:284" x14ac:dyDescent="0.25">
      <c r="A5" t="s">
        <v>253</v>
      </c>
      <c r="B5" t="s">
        <v>254</v>
      </c>
      <c r="C5" s="28" t="s">
        <v>255</v>
      </c>
      <c r="D5" t="s">
        <v>256</v>
      </c>
      <c r="E5" t="s">
        <v>257</v>
      </c>
      <c r="F5" t="s">
        <v>258</v>
      </c>
      <c r="G5" t="s">
        <v>259</v>
      </c>
      <c r="H5" t="s">
        <v>260</v>
      </c>
      <c r="I5" t="s">
        <v>261</v>
      </c>
      <c r="J5" s="28"/>
      <c r="K5" s="28"/>
      <c r="L5">
        <v>21</v>
      </c>
      <c r="M5" t="str">
        <f t="shared" si="0"/>
        <v>Waterburcht (Slot)</v>
      </c>
      <c r="N5" t="str">
        <f t="shared" si="1"/>
        <v>Water castle</v>
      </c>
      <c r="O5">
        <v>3</v>
      </c>
      <c r="P5" t="str">
        <f t="shared" si="2"/>
        <v>Donjon buiten weermuren</v>
      </c>
      <c r="Q5" t="str">
        <f t="shared" si="3"/>
        <v>Donjon outside curtain wall</v>
      </c>
      <c r="R5">
        <v>8</v>
      </c>
      <c r="S5" t="str">
        <f t="shared" si="4"/>
        <v>Intakt</v>
      </c>
      <c r="T5" t="str">
        <f t="shared" si="5"/>
        <v>Intact</v>
      </c>
      <c r="U5">
        <v>1</v>
      </c>
      <c r="V5" t="s">
        <v>73</v>
      </c>
      <c r="W5" t="s">
        <v>73</v>
      </c>
      <c r="X5" t="s">
        <v>2888</v>
      </c>
      <c r="Y5" t="s">
        <v>262</v>
      </c>
      <c r="Z5" s="20" t="s">
        <v>263</v>
      </c>
      <c r="AA5" t="str">
        <f t="shared" si="6"/>
        <v>Nieuw</v>
      </c>
      <c r="AB5" t="str">
        <f t="shared" si="7"/>
        <v>New</v>
      </c>
      <c r="AC5">
        <v>4</v>
      </c>
      <c r="AD5" s="14">
        <v>50</v>
      </c>
      <c r="AE5">
        <v>2</v>
      </c>
      <c r="AF5">
        <v>0</v>
      </c>
      <c r="AG5" s="18">
        <v>0</v>
      </c>
      <c r="AH5">
        <v>0</v>
      </c>
      <c r="AI5" s="14">
        <v>33.333333333333371</v>
      </c>
      <c r="AJ5" s="14">
        <v>50</v>
      </c>
      <c r="AK5">
        <v>2</v>
      </c>
      <c r="AL5">
        <v>0</v>
      </c>
      <c r="AM5" s="15">
        <v>0</v>
      </c>
      <c r="AN5">
        <v>0</v>
      </c>
      <c r="AO5" s="14">
        <v>124.59633810046127</v>
      </c>
      <c r="AP5" s="14">
        <v>0</v>
      </c>
      <c r="AQ5">
        <v>0</v>
      </c>
      <c r="AR5">
        <v>0</v>
      </c>
      <c r="AS5" s="15">
        <v>124.59633810046127</v>
      </c>
      <c r="AT5">
        <v>0</v>
      </c>
      <c r="AU5" s="14">
        <v>124.59633810046127</v>
      </c>
      <c r="AV5" s="14">
        <v>0</v>
      </c>
      <c r="AW5" s="15">
        <v>0</v>
      </c>
      <c r="AX5">
        <v>0</v>
      </c>
      <c r="AY5" s="15">
        <v>124.59633810046127</v>
      </c>
      <c r="AZ5">
        <f>COUNT(#REF!)</f>
        <v>0</v>
      </c>
      <c r="BB5" s="15"/>
      <c r="DQ5" s="20"/>
    </row>
    <row r="6" spans="1:284" x14ac:dyDescent="0.25">
      <c r="A6" t="s">
        <v>298</v>
      </c>
      <c r="B6" t="s">
        <v>299</v>
      </c>
      <c r="C6" s="28" t="s">
        <v>300</v>
      </c>
      <c r="D6" t="s">
        <v>301</v>
      </c>
      <c r="E6" t="s">
        <v>151</v>
      </c>
      <c r="F6" t="s">
        <v>152</v>
      </c>
      <c r="J6" s="28"/>
      <c r="K6" s="28"/>
      <c r="M6" t="str">
        <f t="shared" si="0"/>
        <v xml:space="preserve"> </v>
      </c>
      <c r="N6" t="str">
        <f t="shared" si="1"/>
        <v xml:space="preserve"> </v>
      </c>
      <c r="P6" t="str">
        <f t="shared" si="2"/>
        <v xml:space="preserve"> </v>
      </c>
      <c r="Q6" t="str">
        <f t="shared" si="3"/>
        <v xml:space="preserve"> </v>
      </c>
      <c r="S6" t="str">
        <f t="shared" si="4"/>
        <v xml:space="preserve"> </v>
      </c>
      <c r="T6" t="str">
        <f t="shared" si="5"/>
        <v xml:space="preserve"> </v>
      </c>
      <c r="V6" t="s">
        <v>73</v>
      </c>
      <c r="W6" t="s">
        <v>73</v>
      </c>
      <c r="X6" t="s">
        <v>193</v>
      </c>
      <c r="Y6" t="s">
        <v>194</v>
      </c>
      <c r="AA6" t="str">
        <f t="shared" si="6"/>
        <v>Fort</v>
      </c>
      <c r="AB6" t="str">
        <f t="shared" si="7"/>
        <v>Fortress</v>
      </c>
      <c r="AC6">
        <v>3</v>
      </c>
      <c r="AD6" s="14">
        <v>0</v>
      </c>
      <c r="AE6">
        <v>0</v>
      </c>
      <c r="AF6">
        <v>0</v>
      </c>
      <c r="AG6" s="15">
        <v>122.31869815235568</v>
      </c>
      <c r="AH6">
        <v>0</v>
      </c>
      <c r="AI6" s="14">
        <v>122.31869815235564</v>
      </c>
      <c r="AJ6" s="14">
        <v>0</v>
      </c>
      <c r="AK6">
        <v>0</v>
      </c>
      <c r="AL6">
        <v>0</v>
      </c>
      <c r="AM6" s="15">
        <v>122.31869815235568</v>
      </c>
      <c r="AN6">
        <v>0</v>
      </c>
      <c r="AO6" s="14">
        <v>69.290944491890428</v>
      </c>
      <c r="AP6" s="14">
        <v>0</v>
      </c>
      <c r="AQ6">
        <v>0</v>
      </c>
      <c r="AR6">
        <v>0</v>
      </c>
      <c r="AS6" s="15">
        <v>69.290944491890428</v>
      </c>
      <c r="AT6">
        <v>0</v>
      </c>
      <c r="AU6" s="14">
        <v>120.17476902951897</v>
      </c>
      <c r="AV6" s="14">
        <v>0</v>
      </c>
      <c r="AW6" s="15">
        <v>0</v>
      </c>
      <c r="AX6">
        <v>0</v>
      </c>
      <c r="AY6" s="15">
        <v>120.17476902951897</v>
      </c>
      <c r="AZ6">
        <f>COUNT(#REF!)</f>
        <v>0</v>
      </c>
      <c r="BA6">
        <v>5</v>
      </c>
      <c r="BB6" s="15">
        <v>1</v>
      </c>
      <c r="CC6">
        <v>5</v>
      </c>
    </row>
    <row r="7" spans="1:284" x14ac:dyDescent="0.25">
      <c r="A7" t="s">
        <v>305</v>
      </c>
      <c r="B7" t="s">
        <v>306</v>
      </c>
      <c r="C7" t="s">
        <v>199</v>
      </c>
      <c r="D7" t="s">
        <v>200</v>
      </c>
      <c r="G7" t="s">
        <v>307</v>
      </c>
      <c r="H7" t="s">
        <v>308</v>
      </c>
      <c r="I7" t="s">
        <v>309</v>
      </c>
      <c r="J7" t="s">
        <v>310</v>
      </c>
      <c r="K7" t="s">
        <v>311</v>
      </c>
      <c r="M7" t="str">
        <f t="shared" si="0"/>
        <v xml:space="preserve"> </v>
      </c>
      <c r="N7" t="str">
        <f t="shared" si="1"/>
        <v xml:space="preserve"> </v>
      </c>
      <c r="P7" t="str">
        <f t="shared" si="2"/>
        <v xml:space="preserve"> </v>
      </c>
      <c r="Q7" t="str">
        <f t="shared" si="3"/>
        <v xml:space="preserve"> </v>
      </c>
      <c r="R7">
        <v>0</v>
      </c>
      <c r="S7" t="str">
        <f t="shared" si="4"/>
        <v xml:space="preserve"> </v>
      </c>
      <c r="T7" t="str">
        <f t="shared" si="5"/>
        <v xml:space="preserve"> </v>
      </c>
      <c r="V7" t="s">
        <v>73</v>
      </c>
      <c r="W7" t="s">
        <v>73</v>
      </c>
      <c r="X7" t="s">
        <v>2892</v>
      </c>
      <c r="Y7" t="s">
        <v>227</v>
      </c>
      <c r="AA7" t="str">
        <f t="shared" si="6"/>
        <v>Renaissance</v>
      </c>
      <c r="AB7" t="str">
        <f t="shared" si="7"/>
        <v>Renaissance</v>
      </c>
      <c r="AC7">
        <v>1</v>
      </c>
      <c r="AD7" s="14">
        <v>0</v>
      </c>
      <c r="AE7">
        <v>0</v>
      </c>
      <c r="AF7">
        <v>0</v>
      </c>
      <c r="AG7" s="15">
        <v>275.91446632657079</v>
      </c>
      <c r="AH7">
        <v>0</v>
      </c>
      <c r="AI7" s="14">
        <v>275.91446632657085</v>
      </c>
      <c r="AJ7" s="14">
        <v>0</v>
      </c>
      <c r="AK7">
        <v>0</v>
      </c>
      <c r="AL7">
        <v>0</v>
      </c>
      <c r="AM7" s="15">
        <v>275.91446632657079</v>
      </c>
      <c r="AN7">
        <v>0</v>
      </c>
      <c r="AO7" s="14">
        <v>419.00465043850897</v>
      </c>
      <c r="AP7" s="14">
        <v>0</v>
      </c>
      <c r="AQ7">
        <v>0</v>
      </c>
      <c r="AR7">
        <v>0</v>
      </c>
      <c r="AS7" s="15">
        <v>419.00465043850897</v>
      </c>
      <c r="AT7">
        <v>0</v>
      </c>
      <c r="AU7" s="14">
        <v>437.2727293835668</v>
      </c>
      <c r="AV7" s="14">
        <v>0</v>
      </c>
      <c r="AW7" s="15">
        <v>0</v>
      </c>
      <c r="AX7">
        <v>0</v>
      </c>
      <c r="AY7" s="15">
        <v>437.2727293835668</v>
      </c>
      <c r="AZ7">
        <f>COUNT(#REF!)</f>
        <v>0</v>
      </c>
      <c r="BB7" s="15"/>
      <c r="BE7">
        <v>2</v>
      </c>
      <c r="BP7">
        <v>1</v>
      </c>
      <c r="BQ7">
        <v>5</v>
      </c>
      <c r="BT7">
        <v>3</v>
      </c>
      <c r="BW7">
        <v>7</v>
      </c>
      <c r="CC7">
        <v>1</v>
      </c>
      <c r="CP7">
        <v>3</v>
      </c>
      <c r="DE7">
        <v>3</v>
      </c>
      <c r="DI7">
        <v>5</v>
      </c>
    </row>
    <row r="8" spans="1:284" x14ac:dyDescent="0.25">
      <c r="A8" t="s">
        <v>336</v>
      </c>
      <c r="B8" t="s">
        <v>2694</v>
      </c>
      <c r="C8" t="s">
        <v>183</v>
      </c>
      <c r="D8" t="s">
        <v>184</v>
      </c>
      <c r="E8" t="s">
        <v>158</v>
      </c>
      <c r="F8" t="s">
        <v>159</v>
      </c>
      <c r="H8" t="s">
        <v>337</v>
      </c>
      <c r="I8" t="s">
        <v>338</v>
      </c>
      <c r="L8">
        <v>19</v>
      </c>
      <c r="M8" t="str">
        <f t="shared" si="0"/>
        <v>Waterburcht (Slot)</v>
      </c>
      <c r="N8" t="str">
        <f t="shared" si="1"/>
        <v>Water castle</v>
      </c>
      <c r="O8">
        <v>3</v>
      </c>
      <c r="P8" t="str">
        <f t="shared" si="2"/>
        <v>Donjon in weermuren</v>
      </c>
      <c r="Q8" t="str">
        <f t="shared" si="3"/>
        <v>Donjon in curtain wall</v>
      </c>
      <c r="R8">
        <v>7</v>
      </c>
      <c r="S8" t="str">
        <f t="shared" si="4"/>
        <v>Herbouwd/Verbouwd</v>
      </c>
      <c r="T8" t="str">
        <f t="shared" si="5"/>
        <v>Rebuild/Restored</v>
      </c>
      <c r="U8">
        <v>2</v>
      </c>
      <c r="V8" t="s">
        <v>73</v>
      </c>
      <c r="W8" t="s">
        <v>73</v>
      </c>
      <c r="X8" t="s">
        <v>2893</v>
      </c>
      <c r="Y8" t="s">
        <v>2724</v>
      </c>
      <c r="AA8" t="str">
        <f t="shared" si="6"/>
        <v>Romantiek</v>
      </c>
      <c r="AB8" t="str">
        <f t="shared" si="7"/>
        <v>Romantic</v>
      </c>
      <c r="AC8">
        <v>7</v>
      </c>
      <c r="AD8" s="14">
        <v>0</v>
      </c>
      <c r="AE8">
        <v>0</v>
      </c>
      <c r="AF8">
        <v>0</v>
      </c>
      <c r="AG8" s="15">
        <v>92.150147535775901</v>
      </c>
      <c r="AH8">
        <v>0</v>
      </c>
      <c r="AI8" s="14">
        <v>92.150147535775886</v>
      </c>
      <c r="AJ8" s="14">
        <v>0</v>
      </c>
      <c r="AK8">
        <v>0</v>
      </c>
      <c r="AL8">
        <v>0</v>
      </c>
      <c r="AM8" s="15">
        <v>92.150147535775901</v>
      </c>
      <c r="AN8">
        <v>0</v>
      </c>
      <c r="AO8" s="14">
        <v>48.348799629252618</v>
      </c>
      <c r="AP8" s="14">
        <v>0</v>
      </c>
      <c r="AQ8">
        <v>0</v>
      </c>
      <c r="AR8">
        <v>0</v>
      </c>
      <c r="AS8" s="15">
        <v>48.348799629252618</v>
      </c>
      <c r="AT8">
        <v>0</v>
      </c>
      <c r="AU8" s="14">
        <v>41.762118206507239</v>
      </c>
      <c r="AV8" s="14">
        <v>0</v>
      </c>
      <c r="AW8" s="15">
        <v>0</v>
      </c>
      <c r="AX8">
        <v>0</v>
      </c>
      <c r="AY8" s="15">
        <v>41.762118206507239</v>
      </c>
      <c r="AZ8">
        <f>COUNT(#REF!)</f>
        <v>0</v>
      </c>
      <c r="BB8" s="15"/>
      <c r="CD8">
        <v>3</v>
      </c>
      <c r="DB8">
        <v>1</v>
      </c>
      <c r="DE8">
        <v>2</v>
      </c>
    </row>
    <row r="9" spans="1:284" x14ac:dyDescent="0.25">
      <c r="A9" t="s">
        <v>3430</v>
      </c>
      <c r="B9" t="s">
        <v>3431</v>
      </c>
      <c r="C9" t="s">
        <v>74</v>
      </c>
      <c r="D9" t="s">
        <v>74</v>
      </c>
      <c r="G9" t="s">
        <v>1432</v>
      </c>
      <c r="J9" t="s">
        <v>3429</v>
      </c>
      <c r="K9" t="s">
        <v>3433</v>
      </c>
      <c r="M9" t="str">
        <f t="shared" si="0"/>
        <v>Stadsburcht</v>
      </c>
      <c r="N9" t="str">
        <f t="shared" si="1"/>
        <v>City castle</v>
      </c>
      <c r="O9">
        <v>5</v>
      </c>
      <c r="P9" t="str">
        <f t="shared" si="2"/>
        <v>Donjon binnen weermuren</v>
      </c>
      <c r="Q9" t="str">
        <f t="shared" si="3"/>
        <v>Donjon inside curtain wall</v>
      </c>
      <c r="R9">
        <v>6</v>
      </c>
      <c r="S9" t="str">
        <f t="shared" si="4"/>
        <v>Ruïne/Restant</v>
      </c>
      <c r="T9" t="str">
        <f t="shared" si="5"/>
        <v>Ruined/Partly remained</v>
      </c>
      <c r="U9">
        <v>4</v>
      </c>
      <c r="V9" t="s">
        <v>73</v>
      </c>
      <c r="W9" t="s">
        <v>73</v>
      </c>
      <c r="X9" t="s">
        <v>2891</v>
      </c>
      <c r="Y9" t="s">
        <v>423</v>
      </c>
      <c r="AA9" t="str">
        <f t="shared" si="6"/>
        <v>Oudheid</v>
      </c>
      <c r="AB9" t="str">
        <f t="shared" si="7"/>
        <v>Prehistoric</v>
      </c>
      <c r="AC9">
        <v>5</v>
      </c>
      <c r="AD9" s="14">
        <v>0</v>
      </c>
      <c r="AE9">
        <v>0</v>
      </c>
      <c r="AF9">
        <v>0</v>
      </c>
      <c r="AG9" s="15">
        <v>217.1529567765013</v>
      </c>
      <c r="AH9">
        <v>0</v>
      </c>
      <c r="AI9" s="14">
        <v>217.15295677650124</v>
      </c>
      <c r="AJ9" s="14">
        <v>0</v>
      </c>
      <c r="AK9">
        <v>0</v>
      </c>
      <c r="AL9">
        <v>0</v>
      </c>
      <c r="AM9" s="15">
        <v>217.1529567765013</v>
      </c>
      <c r="AN9">
        <v>0</v>
      </c>
      <c r="AO9" s="14">
        <v>329.3863015037748</v>
      </c>
      <c r="AP9" s="14">
        <v>0</v>
      </c>
      <c r="AQ9">
        <v>0</v>
      </c>
      <c r="AR9">
        <v>0</v>
      </c>
      <c r="AS9" s="15">
        <v>329.3863015037748</v>
      </c>
      <c r="AT9">
        <v>0</v>
      </c>
      <c r="AU9" s="14">
        <v>290.00601147541545</v>
      </c>
      <c r="AV9" s="14">
        <v>0</v>
      </c>
      <c r="AW9" s="15">
        <v>0</v>
      </c>
      <c r="AX9">
        <v>0</v>
      </c>
      <c r="AY9" s="15">
        <v>290.00601147541545</v>
      </c>
      <c r="AZ9">
        <f>COUNT(#REF!)</f>
        <v>0</v>
      </c>
      <c r="BB9" s="15"/>
      <c r="BD9">
        <v>1</v>
      </c>
      <c r="BE9">
        <v>1</v>
      </c>
      <c r="BH9">
        <v>2</v>
      </c>
      <c r="BS9">
        <v>1</v>
      </c>
      <c r="BU9">
        <v>9</v>
      </c>
      <c r="CY9">
        <v>2</v>
      </c>
      <c r="CZ9">
        <v>1</v>
      </c>
      <c r="DH9">
        <v>3</v>
      </c>
    </row>
    <row r="10" spans="1:284" x14ac:dyDescent="0.25">
      <c r="A10" t="s">
        <v>2950</v>
      </c>
      <c r="B10" t="s">
        <v>410</v>
      </c>
      <c r="C10" t="s">
        <v>199</v>
      </c>
      <c r="D10" t="s">
        <v>200</v>
      </c>
      <c r="H10" t="s">
        <v>411</v>
      </c>
      <c r="I10" t="s">
        <v>412</v>
      </c>
      <c r="M10" t="str">
        <f t="shared" si="0"/>
        <v xml:space="preserve"> </v>
      </c>
      <c r="N10" t="str">
        <f t="shared" si="1"/>
        <v xml:space="preserve"> </v>
      </c>
      <c r="P10" t="str">
        <f t="shared" si="2"/>
        <v xml:space="preserve"> </v>
      </c>
      <c r="Q10" t="str">
        <f t="shared" si="3"/>
        <v xml:space="preserve"> </v>
      </c>
      <c r="S10" t="str">
        <f t="shared" si="4"/>
        <v xml:space="preserve"> </v>
      </c>
      <c r="T10" t="str">
        <f t="shared" si="5"/>
        <v xml:space="preserve"> </v>
      </c>
      <c r="V10" t="s">
        <v>73</v>
      </c>
      <c r="W10" t="s">
        <v>73</v>
      </c>
      <c r="X10" t="s">
        <v>2892</v>
      </c>
      <c r="Y10" t="s">
        <v>227</v>
      </c>
      <c r="AA10" t="str">
        <f t="shared" si="6"/>
        <v>Renaissance</v>
      </c>
      <c r="AB10" t="str">
        <f t="shared" si="7"/>
        <v>Renaissance</v>
      </c>
      <c r="AC10">
        <v>1</v>
      </c>
      <c r="AD10" s="14">
        <v>0</v>
      </c>
      <c r="AE10">
        <v>0</v>
      </c>
      <c r="AF10">
        <v>0</v>
      </c>
      <c r="AG10" s="15">
        <v>152.58348063511423</v>
      </c>
      <c r="AH10">
        <v>0</v>
      </c>
      <c r="AI10" s="14">
        <v>152.58348063511426</v>
      </c>
      <c r="AJ10" s="14">
        <v>0</v>
      </c>
      <c r="AK10">
        <v>0</v>
      </c>
      <c r="AL10">
        <v>0</v>
      </c>
      <c r="AM10" s="15">
        <v>152.58348063511423</v>
      </c>
      <c r="AN10">
        <v>0</v>
      </c>
      <c r="AO10" s="14">
        <v>285.43501009966491</v>
      </c>
      <c r="AP10" s="14">
        <v>0</v>
      </c>
      <c r="AQ10">
        <v>0</v>
      </c>
      <c r="AR10">
        <v>0</v>
      </c>
      <c r="AS10" s="15">
        <v>285.43501009966491</v>
      </c>
      <c r="AT10">
        <v>0</v>
      </c>
      <c r="AU10" s="14">
        <v>244.53314826352988</v>
      </c>
      <c r="AV10" s="14">
        <v>0</v>
      </c>
      <c r="AW10" s="15">
        <v>0</v>
      </c>
      <c r="AX10">
        <v>0</v>
      </c>
      <c r="AY10" s="15">
        <v>244.53314826352988</v>
      </c>
      <c r="AZ10">
        <f>COUNT(#REF!)</f>
        <v>0</v>
      </c>
      <c r="BB10" s="15"/>
      <c r="BQ10">
        <v>1</v>
      </c>
      <c r="BR10">
        <v>1</v>
      </c>
      <c r="BT10">
        <v>8</v>
      </c>
      <c r="CX10">
        <v>3</v>
      </c>
      <c r="DE10">
        <v>3</v>
      </c>
      <c r="DI10">
        <v>5</v>
      </c>
    </row>
    <row r="11" spans="1:284" x14ac:dyDescent="0.25">
      <c r="A11" t="s">
        <v>418</v>
      </c>
      <c r="B11" t="s">
        <v>419</v>
      </c>
      <c r="C11" t="s">
        <v>420</v>
      </c>
      <c r="D11" t="s">
        <v>421</v>
      </c>
      <c r="E11" t="s">
        <v>179</v>
      </c>
      <c r="F11" t="s">
        <v>180</v>
      </c>
      <c r="G11" t="s">
        <v>422</v>
      </c>
      <c r="M11" t="str">
        <f t="shared" si="0"/>
        <v xml:space="preserve"> </v>
      </c>
      <c r="N11" t="str">
        <f t="shared" si="1"/>
        <v xml:space="preserve"> </v>
      </c>
      <c r="P11" t="str">
        <f t="shared" si="2"/>
        <v xml:space="preserve"> </v>
      </c>
      <c r="Q11" t="str">
        <f t="shared" si="3"/>
        <v xml:space="preserve"> </v>
      </c>
      <c r="S11" t="str">
        <f t="shared" si="4"/>
        <v xml:space="preserve"> </v>
      </c>
      <c r="T11" t="str">
        <f t="shared" si="5"/>
        <v xml:space="preserve"> </v>
      </c>
      <c r="V11" t="s">
        <v>73</v>
      </c>
      <c r="W11" t="s">
        <v>73</v>
      </c>
      <c r="X11" t="s">
        <v>2891</v>
      </c>
      <c r="Y11" t="s">
        <v>423</v>
      </c>
      <c r="AA11" t="str">
        <f t="shared" si="6"/>
        <v>Oudheid</v>
      </c>
      <c r="AB11" t="str">
        <f t="shared" si="7"/>
        <v>Prehistoric</v>
      </c>
      <c r="AC11">
        <v>5</v>
      </c>
      <c r="AD11" s="14">
        <v>0</v>
      </c>
      <c r="AE11">
        <v>0</v>
      </c>
      <c r="AF11">
        <v>0</v>
      </c>
      <c r="AG11" s="15">
        <v>336.3217372665315</v>
      </c>
      <c r="AH11">
        <v>0</v>
      </c>
      <c r="AI11" s="14">
        <v>336.3217372665315</v>
      </c>
      <c r="AJ11" s="14">
        <v>0</v>
      </c>
      <c r="AK11">
        <v>0</v>
      </c>
      <c r="AL11">
        <v>0</v>
      </c>
      <c r="AM11" s="15">
        <v>336.3217372665315</v>
      </c>
      <c r="AN11">
        <v>0</v>
      </c>
      <c r="AO11" s="14">
        <v>346.17168988313904</v>
      </c>
      <c r="AP11" s="14">
        <v>0</v>
      </c>
      <c r="AQ11">
        <v>0</v>
      </c>
      <c r="AR11">
        <v>0</v>
      </c>
      <c r="AS11" s="15">
        <v>346.17168988313904</v>
      </c>
      <c r="AT11">
        <v>0</v>
      </c>
      <c r="AU11" s="14">
        <v>303.03645689945978</v>
      </c>
      <c r="AV11" s="14">
        <v>0</v>
      </c>
      <c r="AW11" s="15">
        <v>0</v>
      </c>
      <c r="AX11">
        <v>0</v>
      </c>
      <c r="AY11" s="15">
        <v>303.03645689945978</v>
      </c>
      <c r="AZ11">
        <f>COUNT(#REF!)</f>
        <v>0</v>
      </c>
      <c r="BB11" s="15">
        <v>1</v>
      </c>
      <c r="BE11">
        <v>1</v>
      </c>
      <c r="BH11">
        <v>2</v>
      </c>
      <c r="BQ11">
        <v>1</v>
      </c>
      <c r="BW11">
        <v>2</v>
      </c>
      <c r="CY11">
        <v>15</v>
      </c>
      <c r="CZ11">
        <v>2</v>
      </c>
    </row>
    <row r="12" spans="1:284" ht="14.4" x14ac:dyDescent="0.3">
      <c r="A12" t="s">
        <v>486</v>
      </c>
      <c r="B12" s="34" t="s">
        <v>487</v>
      </c>
      <c r="C12" t="s">
        <v>229</v>
      </c>
      <c r="D12" t="s">
        <v>229</v>
      </c>
      <c r="E12" t="s">
        <v>69</v>
      </c>
      <c r="F12" t="s">
        <v>70</v>
      </c>
      <c r="G12" t="s">
        <v>488</v>
      </c>
      <c r="J12" t="s">
        <v>3158</v>
      </c>
      <c r="K12" t="s">
        <v>3159</v>
      </c>
      <c r="L12">
        <v>15</v>
      </c>
      <c r="M12" t="str">
        <f t="shared" si="0"/>
        <v>Havenburcht</v>
      </c>
      <c r="N12" t="str">
        <f t="shared" si="1"/>
        <v>Harbour castle</v>
      </c>
      <c r="O12">
        <v>4</v>
      </c>
      <c r="P12" t="str">
        <f t="shared" si="2"/>
        <v>Donjon in weermuren</v>
      </c>
      <c r="Q12" t="str">
        <f t="shared" si="3"/>
        <v>Donjon in curtain wall</v>
      </c>
      <c r="R12">
        <v>7</v>
      </c>
      <c r="S12" t="str">
        <f t="shared" si="4"/>
        <v>Intakt</v>
      </c>
      <c r="T12" t="str">
        <f t="shared" si="5"/>
        <v>Intact</v>
      </c>
      <c r="U12">
        <v>1</v>
      </c>
      <c r="V12" t="s">
        <v>73</v>
      </c>
      <c r="W12" t="s">
        <v>73</v>
      </c>
      <c r="X12" t="s">
        <v>193</v>
      </c>
      <c r="Y12" t="s">
        <v>194</v>
      </c>
      <c r="AA12" t="str">
        <f t="shared" si="6"/>
        <v>Fort</v>
      </c>
      <c r="AB12" t="str">
        <f t="shared" si="7"/>
        <v>Fortress</v>
      </c>
      <c r="AC12">
        <v>3</v>
      </c>
      <c r="AD12" s="30">
        <v>176</v>
      </c>
      <c r="AE12" s="29" t="e">
        <f>(2*BH12+BI12/2)/3</f>
        <v>#REF!</v>
      </c>
      <c r="AF12">
        <v>109</v>
      </c>
      <c r="AG12" s="29" t="e">
        <f>(2*AE12+BB12)/2.1</f>
        <v>#REF!</v>
      </c>
      <c r="AH12" s="31">
        <f>(500+AI12*BC12)/(100*(AI12+1))</f>
        <v>8.4840909090909093</v>
      </c>
      <c r="AI12" s="30">
        <v>21</v>
      </c>
      <c r="AJ12">
        <v>155</v>
      </c>
      <c r="AK12" s="17">
        <v>468.61240576712282</v>
      </c>
      <c r="AL12" s="14">
        <v>500</v>
      </c>
      <c r="AM12">
        <v>1</v>
      </c>
      <c r="AN12">
        <v>442</v>
      </c>
      <c r="AO12" s="15">
        <v>218.61240576712282</v>
      </c>
      <c r="AP12">
        <v>269</v>
      </c>
      <c r="AQ12" s="14">
        <v>397.40977184595135</v>
      </c>
      <c r="AR12" s="14">
        <v>250</v>
      </c>
      <c r="AS12">
        <v>1</v>
      </c>
      <c r="AT12">
        <v>442</v>
      </c>
      <c r="AU12" s="15">
        <v>147.40977184595138</v>
      </c>
      <c r="AV12">
        <v>485</v>
      </c>
      <c r="AW12" s="14">
        <v>149.77756334364398</v>
      </c>
      <c r="AX12" s="14">
        <v>0</v>
      </c>
      <c r="AY12" s="15">
        <v>0</v>
      </c>
      <c r="AZ12">
        <v>465</v>
      </c>
      <c r="BA12" s="15">
        <v>149.77756334364398</v>
      </c>
      <c r="BB12" s="29">
        <f>(500+BD12*100)/(AI12+1)+AI12/5</f>
        <v>840.56363636363642</v>
      </c>
      <c r="BC12" s="29">
        <v>865</v>
      </c>
      <c r="BD12" s="35">
        <v>179</v>
      </c>
      <c r="BE12" s="31"/>
      <c r="BF12" s="42" t="e">
        <f>AB12*AC12/100</f>
        <v>#VALUE!</v>
      </c>
      <c r="BG12" s="29" t="e">
        <f>(500+BF12*100)/(AC12+1)+AC12/5</f>
        <v>#VALUE!</v>
      </c>
      <c r="BH12" s="29" t="e">
        <f>(5*SUM(EJ12:FH12)+BM12*factor3)*BJ12</f>
        <v>#REF!</v>
      </c>
      <c r="BI12" s="29" t="e">
        <f>SUM(FI12:HC12)+BK12+BL12</f>
        <v>#REF!</v>
      </c>
      <c r="BJ12" s="31">
        <v>1.2</v>
      </c>
      <c r="BK12" s="29">
        <v>224</v>
      </c>
      <c r="BL12" s="29">
        <v>224</v>
      </c>
      <c r="BM12">
        <f>COUNT(BO12:CM12)</f>
        <v>4</v>
      </c>
      <c r="BW12">
        <v>1</v>
      </c>
      <c r="BZ12">
        <v>4</v>
      </c>
      <c r="CA12">
        <v>3</v>
      </c>
      <c r="CK12">
        <v>3</v>
      </c>
      <c r="EJ12" t="e">
        <f>HE12*#REF!</f>
        <v>#REF!</v>
      </c>
      <c r="EK12" t="e">
        <f>HF12*#REF!</f>
        <v>#REF!</v>
      </c>
      <c r="EL12" t="e">
        <f>HG12*#REF!</f>
        <v>#REF!</v>
      </c>
      <c r="EM12" t="e">
        <f>HH12*#REF!</f>
        <v>#REF!</v>
      </c>
      <c r="EN12" t="e">
        <f>HI12*#REF!</f>
        <v>#REF!</v>
      </c>
      <c r="EO12" t="e">
        <f>HJ12*#REF!</f>
        <v>#REF!</v>
      </c>
      <c r="EP12" t="e">
        <f>HK12*#REF!</f>
        <v>#REF!</v>
      </c>
      <c r="EQ12" t="e">
        <f>HL12*#REF!</f>
        <v>#REF!</v>
      </c>
      <c r="ER12" t="e">
        <f>HM12*#REF!</f>
        <v>#REF!</v>
      </c>
      <c r="ES12" t="e">
        <f>HN12*#REF!</f>
        <v>#REF!</v>
      </c>
      <c r="ET12" t="e">
        <f>HO12*#REF!</f>
        <v>#REF!</v>
      </c>
      <c r="EU12" t="e">
        <f>HP12*#REF!</f>
        <v>#REF!</v>
      </c>
      <c r="EV12" t="e">
        <f>HQ12*#REF!</f>
        <v>#REF!</v>
      </c>
      <c r="EW12" t="e">
        <f>HR12*#REF!</f>
        <v>#REF!</v>
      </c>
      <c r="EX12" t="e">
        <f>HS12*#REF!</f>
        <v>#REF!</v>
      </c>
      <c r="EY12" t="e">
        <f>HT12*#REF!</f>
        <v>#REF!</v>
      </c>
      <c r="EZ12" t="e">
        <f>HU12*#REF!</f>
        <v>#REF!</v>
      </c>
      <c r="FA12" t="e">
        <f>HV12*#REF!</f>
        <v>#REF!</v>
      </c>
      <c r="FB12" t="e">
        <f>HW12*#REF!</f>
        <v>#REF!</v>
      </c>
      <c r="FC12" t="e">
        <f>HX12*#REF!</f>
        <v>#REF!</v>
      </c>
      <c r="FD12" t="e">
        <f>HY12*#REF!</f>
        <v>#REF!</v>
      </c>
      <c r="FE12" t="e">
        <f>HZ12*#REF!</f>
        <v>#REF!</v>
      </c>
      <c r="FF12" t="e">
        <f>IA12*#REF!</f>
        <v>#REF!</v>
      </c>
      <c r="FG12" t="e">
        <f>IA12*#REF!</f>
        <v>#REF!</v>
      </c>
      <c r="FH12" t="e">
        <f>IC12*#REF!</f>
        <v>#REF!</v>
      </c>
      <c r="FI12" t="e">
        <f>ID12*#REF!</f>
        <v>#REF!</v>
      </c>
      <c r="FJ12" t="e">
        <f>IE12*#REF!</f>
        <v>#REF!</v>
      </c>
      <c r="FK12" t="e">
        <f>IF12*#REF!</f>
        <v>#REF!</v>
      </c>
      <c r="FL12" t="e">
        <f>IG12*#REF!</f>
        <v>#REF!</v>
      </c>
      <c r="FM12" t="e">
        <f>IH12*#REF!</f>
        <v>#REF!</v>
      </c>
      <c r="FN12" t="e">
        <f>II12*#REF!</f>
        <v>#REF!</v>
      </c>
      <c r="FO12" t="e">
        <f>IJ12*#REF!</f>
        <v>#REF!</v>
      </c>
      <c r="FP12" t="e">
        <f>IK12*#REF!</f>
        <v>#REF!</v>
      </c>
      <c r="FQ12" t="e">
        <f>IL12*#REF!</f>
        <v>#REF!</v>
      </c>
      <c r="FR12" t="e">
        <f>IM12*#REF!</f>
        <v>#REF!</v>
      </c>
      <c r="FS12" t="e">
        <f>IN12*#REF!</f>
        <v>#REF!</v>
      </c>
      <c r="FT12" t="e">
        <f>IO12*#REF!</f>
        <v>#REF!</v>
      </c>
      <c r="FU12" t="e">
        <f>IP12*#REF!</f>
        <v>#REF!</v>
      </c>
      <c r="FV12" t="e">
        <f>IQ12*#REF!</f>
        <v>#REF!</v>
      </c>
      <c r="FW12" t="e">
        <f>IR12*#REF!</f>
        <v>#REF!</v>
      </c>
      <c r="FX12" t="e">
        <f>IS12*#REF!</f>
        <v>#REF!</v>
      </c>
      <c r="FY12" t="e">
        <f>IT12*#REF!</f>
        <v>#REF!</v>
      </c>
      <c r="FZ12" t="e">
        <f>IU12*#REF!</f>
        <v>#REF!</v>
      </c>
      <c r="GA12" t="e">
        <f>IV12*#REF!</f>
        <v>#REF!</v>
      </c>
      <c r="GB12" t="e">
        <f>IW12*#REF!</f>
        <v>#REF!</v>
      </c>
      <c r="GC12" t="e">
        <f>IX12*#REF!</f>
        <v>#REF!</v>
      </c>
      <c r="GD12" t="e">
        <f>IY12*#REF!</f>
        <v>#REF!</v>
      </c>
      <c r="GE12" t="e">
        <f>IZ12*#REF!</f>
        <v>#REF!</v>
      </c>
      <c r="GF12" t="e">
        <f>JA12*#REF!</f>
        <v>#REF!</v>
      </c>
      <c r="GG12" t="e">
        <f>JB12*#REF!</f>
        <v>#REF!</v>
      </c>
      <c r="GH12" t="e">
        <f>JC12*#REF!</f>
        <v>#REF!</v>
      </c>
      <c r="GI12" t="e">
        <f>JD12*#REF!</f>
        <v>#REF!</v>
      </c>
      <c r="GJ12" t="e">
        <f>JE12*#REF!</f>
        <v>#REF!</v>
      </c>
      <c r="GK12" t="e">
        <f>JF12*#REF!</f>
        <v>#REF!</v>
      </c>
      <c r="GL12" t="e">
        <f>JG12*#REF!</f>
        <v>#REF!</v>
      </c>
      <c r="GM12" t="e">
        <f>JH12*#REF!</f>
        <v>#REF!</v>
      </c>
      <c r="GN12" t="e">
        <f>JI12*#REF!</f>
        <v>#REF!</v>
      </c>
      <c r="GO12" t="e">
        <f>JJ12*#REF!</f>
        <v>#REF!</v>
      </c>
      <c r="GP12" t="e">
        <f>JK12*#REF!</f>
        <v>#REF!</v>
      </c>
      <c r="GQ12" t="e">
        <f>JL12*#REF!</f>
        <v>#REF!</v>
      </c>
      <c r="GR12" t="e">
        <f>JM12*#REF!</f>
        <v>#REF!</v>
      </c>
      <c r="GS12" t="e">
        <f>JN12*#REF!</f>
        <v>#REF!</v>
      </c>
      <c r="GT12" t="e">
        <f>JO12*#REF!</f>
        <v>#REF!</v>
      </c>
      <c r="GU12" t="e">
        <f>JP12*#REF!</f>
        <v>#REF!</v>
      </c>
      <c r="GV12" t="e">
        <f>JQ12*#REF!</f>
        <v>#REF!</v>
      </c>
      <c r="GW12" t="e">
        <f>JR12*#REF!</f>
        <v>#REF!</v>
      </c>
      <c r="GX12" t="e">
        <f>JS12*#REF!</f>
        <v>#REF!</v>
      </c>
      <c r="GY12" t="e">
        <f>JT12*#REF!</f>
        <v>#REF!</v>
      </c>
      <c r="GZ12" t="e">
        <f>JU12*#REF!</f>
        <v>#REF!</v>
      </c>
      <c r="HA12" t="e">
        <f>JV12*#REF!</f>
        <v>#REF!</v>
      </c>
      <c r="HB12" t="e">
        <f>JW12*#REF!</f>
        <v>#REF!</v>
      </c>
      <c r="HC12" t="e">
        <f>JX12*#REF!</f>
        <v>#REF!</v>
      </c>
      <c r="HE12">
        <f t="shared" ref="HE12:IJ12" si="8">SQRT(BO12)</f>
        <v>0</v>
      </c>
      <c r="HF12">
        <f t="shared" si="8"/>
        <v>0</v>
      </c>
      <c r="HG12">
        <f t="shared" si="8"/>
        <v>0</v>
      </c>
      <c r="HH12">
        <f t="shared" si="8"/>
        <v>0</v>
      </c>
      <c r="HI12">
        <f t="shared" si="8"/>
        <v>0</v>
      </c>
      <c r="HJ12">
        <f t="shared" si="8"/>
        <v>0</v>
      </c>
      <c r="HK12">
        <f t="shared" si="8"/>
        <v>0</v>
      </c>
      <c r="HL12">
        <f t="shared" si="8"/>
        <v>0</v>
      </c>
      <c r="HM12">
        <f t="shared" si="8"/>
        <v>1</v>
      </c>
      <c r="HN12">
        <f t="shared" si="8"/>
        <v>0</v>
      </c>
      <c r="HO12">
        <f t="shared" si="8"/>
        <v>0</v>
      </c>
      <c r="HP12">
        <f t="shared" si="8"/>
        <v>2</v>
      </c>
      <c r="HQ12">
        <f t="shared" si="8"/>
        <v>1.7320508075688772</v>
      </c>
      <c r="HR12">
        <f t="shared" si="8"/>
        <v>0</v>
      </c>
      <c r="HS12">
        <f t="shared" si="8"/>
        <v>0</v>
      </c>
      <c r="HT12">
        <f t="shared" si="8"/>
        <v>0</v>
      </c>
      <c r="HU12">
        <f t="shared" si="8"/>
        <v>0</v>
      </c>
      <c r="HV12">
        <f t="shared" si="8"/>
        <v>0</v>
      </c>
      <c r="HW12">
        <f t="shared" si="8"/>
        <v>0</v>
      </c>
      <c r="HX12">
        <f t="shared" si="8"/>
        <v>0</v>
      </c>
      <c r="HY12">
        <f t="shared" si="8"/>
        <v>0</v>
      </c>
      <c r="HZ12">
        <f t="shared" si="8"/>
        <v>0</v>
      </c>
      <c r="IA12">
        <f t="shared" si="8"/>
        <v>1.7320508075688772</v>
      </c>
      <c r="IB12">
        <f t="shared" si="8"/>
        <v>0</v>
      </c>
      <c r="IC12">
        <f t="shared" si="8"/>
        <v>0</v>
      </c>
      <c r="ID12">
        <f t="shared" si="8"/>
        <v>0</v>
      </c>
      <c r="IE12">
        <f t="shared" si="8"/>
        <v>0</v>
      </c>
      <c r="IF12">
        <f t="shared" si="8"/>
        <v>0</v>
      </c>
      <c r="IG12">
        <f t="shared" si="8"/>
        <v>0</v>
      </c>
      <c r="IH12">
        <f t="shared" si="8"/>
        <v>0</v>
      </c>
      <c r="II12">
        <f t="shared" si="8"/>
        <v>0</v>
      </c>
      <c r="IJ12">
        <f t="shared" si="8"/>
        <v>0</v>
      </c>
      <c r="IK12">
        <f t="shared" ref="IK12:JC12" si="9">SQRT(CU12)</f>
        <v>0</v>
      </c>
      <c r="IL12">
        <f t="shared" si="9"/>
        <v>0</v>
      </c>
      <c r="IM12">
        <f t="shared" si="9"/>
        <v>0</v>
      </c>
      <c r="IN12">
        <f t="shared" si="9"/>
        <v>0</v>
      </c>
      <c r="IO12">
        <f t="shared" si="9"/>
        <v>0</v>
      </c>
      <c r="IP12">
        <f t="shared" si="9"/>
        <v>0</v>
      </c>
      <c r="IQ12">
        <f t="shared" si="9"/>
        <v>0</v>
      </c>
      <c r="IR12">
        <f t="shared" si="9"/>
        <v>0</v>
      </c>
      <c r="IS12">
        <f t="shared" si="9"/>
        <v>0</v>
      </c>
      <c r="IT12">
        <f t="shared" si="9"/>
        <v>0</v>
      </c>
      <c r="IU12">
        <f t="shared" si="9"/>
        <v>0</v>
      </c>
      <c r="IV12">
        <f t="shared" si="9"/>
        <v>0</v>
      </c>
      <c r="IW12">
        <f t="shared" si="9"/>
        <v>0</v>
      </c>
      <c r="IX12">
        <f t="shared" si="9"/>
        <v>0</v>
      </c>
      <c r="IY12">
        <f t="shared" si="9"/>
        <v>0</v>
      </c>
      <c r="IZ12">
        <f t="shared" si="9"/>
        <v>0</v>
      </c>
      <c r="JA12">
        <f t="shared" si="9"/>
        <v>0</v>
      </c>
      <c r="JB12">
        <f t="shared" si="9"/>
        <v>0</v>
      </c>
      <c r="JC12">
        <f t="shared" si="9"/>
        <v>0</v>
      </c>
      <c r="JD12">
        <f>SQRT(DM12)</f>
        <v>0</v>
      </c>
      <c r="JE12">
        <f>SQRT(DN12)</f>
        <v>0</v>
      </c>
      <c r="JF12">
        <f t="shared" ref="JF12:JX12" si="10">SQRT(DP12)</f>
        <v>0</v>
      </c>
      <c r="JG12">
        <f t="shared" si="10"/>
        <v>0</v>
      </c>
      <c r="JH12">
        <f t="shared" si="10"/>
        <v>0</v>
      </c>
      <c r="JI12">
        <f t="shared" si="10"/>
        <v>0</v>
      </c>
      <c r="JJ12">
        <f t="shared" si="10"/>
        <v>0</v>
      </c>
      <c r="JK12">
        <f t="shared" si="10"/>
        <v>0</v>
      </c>
      <c r="JL12">
        <f t="shared" si="10"/>
        <v>0</v>
      </c>
      <c r="JM12">
        <f t="shared" si="10"/>
        <v>0</v>
      </c>
      <c r="JN12">
        <f t="shared" si="10"/>
        <v>0</v>
      </c>
      <c r="JO12">
        <f t="shared" si="10"/>
        <v>0</v>
      </c>
      <c r="JP12">
        <f t="shared" si="10"/>
        <v>0</v>
      </c>
      <c r="JQ12">
        <f t="shared" si="10"/>
        <v>0</v>
      </c>
      <c r="JR12">
        <f t="shared" si="10"/>
        <v>0</v>
      </c>
      <c r="JS12">
        <f t="shared" si="10"/>
        <v>0</v>
      </c>
      <c r="JT12">
        <f t="shared" si="10"/>
        <v>0</v>
      </c>
      <c r="JU12">
        <f t="shared" si="10"/>
        <v>0</v>
      </c>
      <c r="JV12">
        <f t="shared" si="10"/>
        <v>0</v>
      </c>
      <c r="JW12">
        <f t="shared" si="10"/>
        <v>0</v>
      </c>
      <c r="JX12">
        <f t="shared" si="10"/>
        <v>0</v>
      </c>
    </row>
    <row r="13" spans="1:284" x14ac:dyDescent="0.25">
      <c r="A13" t="s">
        <v>543</v>
      </c>
      <c r="B13" t="s">
        <v>544</v>
      </c>
      <c r="C13" t="s">
        <v>255</v>
      </c>
      <c r="D13" t="s">
        <v>256</v>
      </c>
      <c r="E13" t="s">
        <v>257</v>
      </c>
      <c r="F13" t="s">
        <v>258</v>
      </c>
      <c r="G13" t="s">
        <v>545</v>
      </c>
      <c r="H13" t="s">
        <v>546</v>
      </c>
      <c r="I13" t="s">
        <v>547</v>
      </c>
      <c r="J13" t="s">
        <v>548</v>
      </c>
      <c r="K13" t="s">
        <v>549</v>
      </c>
      <c r="L13">
        <v>13</v>
      </c>
      <c r="M13" t="str">
        <f t="shared" si="0"/>
        <v>Stadsburcht</v>
      </c>
      <c r="N13" t="str">
        <f t="shared" si="1"/>
        <v>City castle</v>
      </c>
      <c r="O13">
        <v>5</v>
      </c>
      <c r="P13" t="str">
        <f t="shared" si="2"/>
        <v xml:space="preserve"> </v>
      </c>
      <c r="Q13" t="str">
        <f t="shared" si="3"/>
        <v xml:space="preserve"> </v>
      </c>
      <c r="R13">
        <v>0</v>
      </c>
      <c r="S13" t="str">
        <f t="shared" si="4"/>
        <v>Beschadigd</v>
      </c>
      <c r="T13" t="str">
        <f t="shared" si="5"/>
        <v>Damaged</v>
      </c>
      <c r="U13">
        <v>3</v>
      </c>
      <c r="V13" t="s">
        <v>550</v>
      </c>
      <c r="W13" t="s">
        <v>550</v>
      </c>
      <c r="X13" t="s">
        <v>2889</v>
      </c>
      <c r="Y13" t="s">
        <v>551</v>
      </c>
      <c r="Z13" s="20" t="s">
        <v>552</v>
      </c>
      <c r="AA13" t="str">
        <f t="shared" si="6"/>
        <v>Middeleeuws Paleis</v>
      </c>
      <c r="AB13" t="str">
        <f t="shared" si="7"/>
        <v>Palace</v>
      </c>
      <c r="AC13">
        <v>6</v>
      </c>
      <c r="AD13" s="14">
        <v>500</v>
      </c>
      <c r="AE13">
        <v>2</v>
      </c>
      <c r="AF13">
        <v>0</v>
      </c>
      <c r="AG13" s="15">
        <v>78.030249528278304</v>
      </c>
      <c r="AH13">
        <v>0</v>
      </c>
      <c r="AI13" s="14">
        <v>411.36358286161169</v>
      </c>
      <c r="AJ13" s="14">
        <v>500</v>
      </c>
      <c r="AK13">
        <v>2</v>
      </c>
      <c r="AL13">
        <v>0</v>
      </c>
      <c r="AM13" s="15">
        <v>78.030249528278304</v>
      </c>
      <c r="AN13">
        <v>0</v>
      </c>
      <c r="AO13" s="14">
        <v>250.31134676195578</v>
      </c>
      <c r="AP13" s="14">
        <v>0</v>
      </c>
      <c r="AQ13">
        <v>0</v>
      </c>
      <c r="AR13">
        <v>0</v>
      </c>
      <c r="AS13" s="15">
        <v>250.31134676195578</v>
      </c>
      <c r="AT13">
        <v>0</v>
      </c>
      <c r="AU13" s="14">
        <v>282.13066390293159</v>
      </c>
      <c r="AV13" s="14">
        <v>0</v>
      </c>
      <c r="AW13" s="15">
        <v>0</v>
      </c>
      <c r="AX13">
        <v>0</v>
      </c>
      <c r="AY13" s="15">
        <v>282.13066390293159</v>
      </c>
      <c r="AZ13">
        <f>COUNT(#REF!)</f>
        <v>0</v>
      </c>
      <c r="BB13" s="15"/>
      <c r="BV13">
        <v>7</v>
      </c>
      <c r="BY13">
        <v>7</v>
      </c>
      <c r="CC13">
        <v>1</v>
      </c>
      <c r="CG13">
        <v>3</v>
      </c>
      <c r="CH13">
        <v>2</v>
      </c>
      <c r="CI13">
        <v>10</v>
      </c>
      <c r="DB13">
        <v>1</v>
      </c>
      <c r="DQ13" s="20"/>
    </row>
    <row r="14" spans="1:284" ht="14.4" x14ac:dyDescent="0.3">
      <c r="A14" t="s">
        <v>2729</v>
      </c>
      <c r="B14" s="33" t="s">
        <v>697</v>
      </c>
      <c r="C14" s="28" t="s">
        <v>199</v>
      </c>
      <c r="D14" t="s">
        <v>200</v>
      </c>
      <c r="G14" t="s">
        <v>698</v>
      </c>
      <c r="H14" t="s">
        <v>411</v>
      </c>
      <c r="I14" t="s">
        <v>412</v>
      </c>
      <c r="J14" s="28" t="s">
        <v>73</v>
      </c>
      <c r="K14" s="28" t="s">
        <v>73</v>
      </c>
      <c r="M14" t="str">
        <f t="shared" si="0"/>
        <v xml:space="preserve"> </v>
      </c>
      <c r="N14" t="str">
        <f t="shared" si="1"/>
        <v xml:space="preserve"> </v>
      </c>
      <c r="P14" t="str">
        <f t="shared" si="2"/>
        <v xml:space="preserve"> </v>
      </c>
      <c r="Q14" t="str">
        <f t="shared" si="3"/>
        <v xml:space="preserve"> </v>
      </c>
      <c r="S14" t="str">
        <f t="shared" si="4"/>
        <v xml:space="preserve"> </v>
      </c>
      <c r="T14" t="str">
        <f t="shared" si="5"/>
        <v xml:space="preserve"> </v>
      </c>
      <c r="V14" t="s">
        <v>73</v>
      </c>
      <c r="W14" t="s">
        <v>73</v>
      </c>
      <c r="X14" t="s">
        <v>2892</v>
      </c>
      <c r="Y14" t="s">
        <v>227</v>
      </c>
      <c r="AA14" t="str">
        <f t="shared" si="6"/>
        <v>Renaissance</v>
      </c>
      <c r="AB14" t="str">
        <f t="shared" si="7"/>
        <v>Renaissance</v>
      </c>
      <c r="AC14">
        <v>1</v>
      </c>
      <c r="AD14" s="29" t="e">
        <f>(2*AH14+BJ14)/2.1</f>
        <v>#REF!</v>
      </c>
      <c r="AE14" s="40">
        <v>1000</v>
      </c>
      <c r="AF14" s="41">
        <v>1</v>
      </c>
      <c r="AG14" s="30">
        <v>967</v>
      </c>
      <c r="AH14" s="29" t="e">
        <f>(2*BK14+BL14/2)/3</f>
        <v>#REF!</v>
      </c>
      <c r="AI14">
        <v>741</v>
      </c>
      <c r="AJ14" s="29" t="e">
        <f>(2*AH14+BE14)/2.1</f>
        <v>#REF!</v>
      </c>
      <c r="AK14" s="31">
        <f>(500+AL14*BF14)/(100*(AL14+1))</f>
        <v>7.5</v>
      </c>
      <c r="AL14" s="30">
        <v>1</v>
      </c>
      <c r="AM14">
        <v>905</v>
      </c>
      <c r="AN14" s="14">
        <v>9.4881973585349328</v>
      </c>
      <c r="AO14" s="14">
        <v>0</v>
      </c>
      <c r="AP14">
        <v>0</v>
      </c>
      <c r="AQ14">
        <v>495</v>
      </c>
      <c r="AR14" s="15">
        <v>9.4881973585349453</v>
      </c>
      <c r="AS14">
        <v>583</v>
      </c>
      <c r="AT14" s="14">
        <v>124.98285141682034</v>
      </c>
      <c r="AU14" s="14">
        <v>0</v>
      </c>
      <c r="AV14">
        <v>0</v>
      </c>
      <c r="AW14">
        <v>495</v>
      </c>
      <c r="AX14" s="15">
        <v>124.98285141682034</v>
      </c>
      <c r="AY14">
        <v>536</v>
      </c>
      <c r="AZ14" s="14">
        <v>130.04456584980886</v>
      </c>
      <c r="BA14" s="14">
        <v>0</v>
      </c>
      <c r="BB14" s="15">
        <v>0</v>
      </c>
      <c r="BC14">
        <v>521</v>
      </c>
      <c r="BD14" s="15">
        <v>130.04456584980886</v>
      </c>
      <c r="BE14" s="29">
        <f>(500+BG14*100)/(AL14+1)+AL14/5</f>
        <v>750.2</v>
      </c>
      <c r="BF14" s="29">
        <v>1000</v>
      </c>
      <c r="BG14" s="35">
        <v>10</v>
      </c>
      <c r="BH14" s="29"/>
      <c r="BI14" s="42">
        <f>AE14*AF14/100</f>
        <v>10</v>
      </c>
      <c r="BJ14" s="29">
        <f>(500+BI14*100)/(AF14+1)+AF14/5</f>
        <v>750.2</v>
      </c>
      <c r="BK14" s="29" t="e">
        <f>(5*SUM(EF14:FC14)+BP14*factor3)*BM14</f>
        <v>#REF!</v>
      </c>
      <c r="BL14" s="29" t="e">
        <f>SUM(FD14:GQ14)+BN14+BO14</f>
        <v>#REF!</v>
      </c>
      <c r="BM14" s="32">
        <v>0.85</v>
      </c>
      <c r="BN14" s="29"/>
      <c r="BO14" s="29"/>
      <c r="BP14">
        <f>COUNT(BR14:CO14)</f>
        <v>0</v>
      </c>
      <c r="DT14">
        <v>4</v>
      </c>
      <c r="EF14" t="e">
        <f>GT14*#REF!</f>
        <v>#REF!</v>
      </c>
      <c r="EG14" t="e">
        <f>GU14*#REF!</f>
        <v>#REF!</v>
      </c>
      <c r="EH14" t="e">
        <f>GV14*#REF!</f>
        <v>#REF!</v>
      </c>
      <c r="EI14" t="e">
        <f>GW14*#REF!</f>
        <v>#REF!</v>
      </c>
      <c r="EJ14" t="e">
        <f>GX14*#REF!</f>
        <v>#REF!</v>
      </c>
      <c r="EK14" t="e">
        <f>GY14*#REF!</f>
        <v>#REF!</v>
      </c>
      <c r="EL14" t="e">
        <f>GZ14*#REF!</f>
        <v>#REF!</v>
      </c>
      <c r="EM14" t="e">
        <f>HA14*#REF!</f>
        <v>#REF!</v>
      </c>
      <c r="EN14" t="e">
        <f>HB14*#REF!</f>
        <v>#REF!</v>
      </c>
      <c r="EO14" t="e">
        <f>HC14*#REF!</f>
        <v>#REF!</v>
      </c>
      <c r="EP14" t="e">
        <f>HD14*#REF!</f>
        <v>#REF!</v>
      </c>
      <c r="EQ14" t="e">
        <f>HE14*#REF!</f>
        <v>#REF!</v>
      </c>
      <c r="ER14" t="e">
        <f>HF14*#REF!</f>
        <v>#REF!</v>
      </c>
      <c r="ES14" t="e">
        <f>HG14*#REF!</f>
        <v>#REF!</v>
      </c>
      <c r="ET14" t="e">
        <f>HH14*#REF!</f>
        <v>#REF!</v>
      </c>
      <c r="EU14" t="e">
        <f>HI14*#REF!</f>
        <v>#REF!</v>
      </c>
      <c r="EV14" t="e">
        <f>HJ14*#REF!</f>
        <v>#REF!</v>
      </c>
      <c r="EW14" t="e">
        <f>HK14*#REF!</f>
        <v>#REF!</v>
      </c>
      <c r="EX14" t="e">
        <f>HL14*#REF!</f>
        <v>#REF!</v>
      </c>
      <c r="EY14" t="e">
        <f>HM14*#REF!</f>
        <v>#REF!</v>
      </c>
      <c r="EZ14" t="e">
        <f>HN14*#REF!</f>
        <v>#REF!</v>
      </c>
      <c r="FA14" t="e">
        <f>HO14*#REF!</f>
        <v>#REF!</v>
      </c>
      <c r="FB14" t="e">
        <f>HP14*#REF!</f>
        <v>#REF!</v>
      </c>
      <c r="FC14" t="e">
        <f>HQ14*#REF!</f>
        <v>#REF!</v>
      </c>
      <c r="FD14" t="e">
        <f>HR14*#REF!</f>
        <v>#REF!</v>
      </c>
      <c r="FE14" t="e">
        <f>HS14*#REF!</f>
        <v>#REF!</v>
      </c>
      <c r="FF14" t="e">
        <f>HT14*#REF!</f>
        <v>#REF!</v>
      </c>
      <c r="FG14" t="e">
        <f>HU14*#REF!</f>
        <v>#REF!</v>
      </c>
      <c r="FH14" t="e">
        <f>HV14*#REF!</f>
        <v>#REF!</v>
      </c>
      <c r="FI14" t="e">
        <f>HW14*#REF!</f>
        <v>#REF!</v>
      </c>
      <c r="FJ14" t="e">
        <f>HX14*#REF!</f>
        <v>#REF!</v>
      </c>
      <c r="FK14" t="e">
        <f>HY14*#REF!</f>
        <v>#REF!</v>
      </c>
      <c r="FL14" t="e">
        <f>HZ14*#REF!</f>
        <v>#REF!</v>
      </c>
      <c r="FM14" t="e">
        <f>IA14*#REF!</f>
        <v>#REF!</v>
      </c>
      <c r="FN14" t="e">
        <f>IB14*#REF!</f>
        <v>#REF!</v>
      </c>
      <c r="FO14" t="e">
        <f>IC14*#REF!</f>
        <v>#REF!</v>
      </c>
      <c r="FP14" t="e">
        <f>ID14*#REF!</f>
        <v>#REF!</v>
      </c>
      <c r="FQ14" t="e">
        <f>IE14*#REF!</f>
        <v>#REF!</v>
      </c>
      <c r="FR14" t="e">
        <f>IF14*#REF!</f>
        <v>#REF!</v>
      </c>
      <c r="FS14" t="e">
        <f>IG14*#REF!</f>
        <v>#REF!</v>
      </c>
      <c r="FT14" t="e">
        <f>IH14*#REF!</f>
        <v>#REF!</v>
      </c>
      <c r="FU14" t="e">
        <f>II14*#REF!</f>
        <v>#REF!</v>
      </c>
      <c r="FV14" t="e">
        <f>IJ14*#REF!</f>
        <v>#REF!</v>
      </c>
      <c r="FW14" t="e">
        <f>IK14*#REF!</f>
        <v>#REF!</v>
      </c>
      <c r="FX14" t="e">
        <f>IL14*#REF!</f>
        <v>#REF!</v>
      </c>
      <c r="FY14" t="e">
        <f>IM14*#REF!</f>
        <v>#REF!</v>
      </c>
      <c r="FZ14" t="e">
        <f>IN14*#REF!</f>
        <v>#REF!</v>
      </c>
      <c r="GA14" t="e">
        <f>IO14*#REF!</f>
        <v>#REF!</v>
      </c>
      <c r="GB14" t="e">
        <f>IP14*#REF!</f>
        <v>#REF!</v>
      </c>
      <c r="GC14" t="e">
        <f>IQ14*#REF!</f>
        <v>#REF!</v>
      </c>
      <c r="GD14" t="e">
        <f>IR14*#REF!</f>
        <v>#REF!</v>
      </c>
      <c r="GE14" t="e">
        <f>IS14*#REF!</f>
        <v>#REF!</v>
      </c>
      <c r="GF14" t="e">
        <f>IT14*#REF!</f>
        <v>#REF!</v>
      </c>
      <c r="GG14" t="e">
        <f>IU14*#REF!</f>
        <v>#REF!</v>
      </c>
      <c r="GH14" t="e">
        <f>IV14*#REF!</f>
        <v>#REF!</v>
      </c>
      <c r="GI14" t="e">
        <f>IW14*#REF!</f>
        <v>#REF!</v>
      </c>
      <c r="GJ14" t="e">
        <f>IX14*#REF!</f>
        <v>#REF!</v>
      </c>
      <c r="GK14" t="e">
        <f>IY14*#REF!</f>
        <v>#REF!</v>
      </c>
      <c r="GL14" t="e">
        <f>IZ14*#REF!</f>
        <v>#REF!</v>
      </c>
      <c r="GM14" t="e">
        <f>JA14*#REF!</f>
        <v>#REF!</v>
      </c>
      <c r="GN14" t="e">
        <f>JB14*#REF!</f>
        <v>#REF!</v>
      </c>
      <c r="GO14" t="e">
        <f>JC14*#REF!</f>
        <v>#REF!</v>
      </c>
      <c r="GP14" t="e">
        <f>JD14*#REF!</f>
        <v>#REF!</v>
      </c>
      <c r="GQ14" t="e">
        <f>JE14*#REF!</f>
        <v>#REF!</v>
      </c>
      <c r="GR14" t="e">
        <f>JF14*#REF!</f>
        <v>#REF!</v>
      </c>
      <c r="GT14">
        <f t="shared" ref="GT14:HY14" si="11">SQRT(BR14)</f>
        <v>0</v>
      </c>
      <c r="GU14">
        <f t="shared" si="11"/>
        <v>0</v>
      </c>
      <c r="GV14">
        <f t="shared" si="11"/>
        <v>0</v>
      </c>
      <c r="GW14">
        <f t="shared" si="11"/>
        <v>0</v>
      </c>
      <c r="GX14">
        <f t="shared" si="11"/>
        <v>0</v>
      </c>
      <c r="GY14">
        <f t="shared" si="11"/>
        <v>0</v>
      </c>
      <c r="GZ14">
        <f t="shared" si="11"/>
        <v>0</v>
      </c>
      <c r="HA14">
        <f t="shared" si="11"/>
        <v>0</v>
      </c>
      <c r="HB14">
        <f t="shared" si="11"/>
        <v>0</v>
      </c>
      <c r="HC14">
        <f t="shared" si="11"/>
        <v>0</v>
      </c>
      <c r="HD14">
        <f t="shared" si="11"/>
        <v>0</v>
      </c>
      <c r="HE14">
        <f t="shared" si="11"/>
        <v>0</v>
      </c>
      <c r="HF14">
        <f t="shared" si="11"/>
        <v>0</v>
      </c>
      <c r="HG14">
        <f t="shared" si="11"/>
        <v>0</v>
      </c>
      <c r="HH14">
        <f t="shared" si="11"/>
        <v>0</v>
      </c>
      <c r="HI14">
        <f t="shared" si="11"/>
        <v>0</v>
      </c>
      <c r="HJ14">
        <f t="shared" si="11"/>
        <v>0</v>
      </c>
      <c r="HK14">
        <f t="shared" si="11"/>
        <v>0</v>
      </c>
      <c r="HL14">
        <f t="shared" si="11"/>
        <v>0</v>
      </c>
      <c r="HM14">
        <f t="shared" si="11"/>
        <v>0</v>
      </c>
      <c r="HN14">
        <f t="shared" si="11"/>
        <v>0</v>
      </c>
      <c r="HO14">
        <f t="shared" si="11"/>
        <v>0</v>
      </c>
      <c r="HP14">
        <f t="shared" si="11"/>
        <v>0</v>
      </c>
      <c r="HQ14">
        <f t="shared" si="11"/>
        <v>0</v>
      </c>
      <c r="HR14">
        <f t="shared" si="11"/>
        <v>0</v>
      </c>
      <c r="HS14">
        <f t="shared" si="11"/>
        <v>0</v>
      </c>
      <c r="HT14">
        <f t="shared" si="11"/>
        <v>0</v>
      </c>
      <c r="HU14">
        <f t="shared" si="11"/>
        <v>0</v>
      </c>
      <c r="HV14">
        <f t="shared" si="11"/>
        <v>0</v>
      </c>
      <c r="HW14">
        <f t="shared" si="11"/>
        <v>0</v>
      </c>
      <c r="HX14">
        <f t="shared" si="11"/>
        <v>0</v>
      </c>
      <c r="HY14">
        <f t="shared" si="11"/>
        <v>0</v>
      </c>
      <c r="HZ14">
        <f t="shared" ref="HZ14:JE14" si="12">SQRT(CX14)</f>
        <v>0</v>
      </c>
      <c r="IA14">
        <f t="shared" si="12"/>
        <v>0</v>
      </c>
      <c r="IB14">
        <f t="shared" si="12"/>
        <v>0</v>
      </c>
      <c r="IC14">
        <f t="shared" si="12"/>
        <v>0</v>
      </c>
      <c r="ID14">
        <f t="shared" si="12"/>
        <v>0</v>
      </c>
      <c r="IE14">
        <f t="shared" si="12"/>
        <v>0</v>
      </c>
      <c r="IF14">
        <f t="shared" si="12"/>
        <v>0</v>
      </c>
      <c r="IG14">
        <f t="shared" si="12"/>
        <v>0</v>
      </c>
      <c r="IH14">
        <f t="shared" si="12"/>
        <v>0</v>
      </c>
      <c r="II14">
        <f t="shared" si="12"/>
        <v>0</v>
      </c>
      <c r="IJ14">
        <f t="shared" si="12"/>
        <v>0</v>
      </c>
      <c r="IK14">
        <f t="shared" si="12"/>
        <v>0</v>
      </c>
      <c r="IL14">
        <f t="shared" si="12"/>
        <v>0</v>
      </c>
      <c r="IM14">
        <f t="shared" si="12"/>
        <v>0</v>
      </c>
      <c r="IN14">
        <f t="shared" si="12"/>
        <v>0</v>
      </c>
      <c r="IO14">
        <f t="shared" si="12"/>
        <v>0</v>
      </c>
      <c r="IP14">
        <f t="shared" si="12"/>
        <v>0</v>
      </c>
      <c r="IQ14">
        <f t="shared" si="12"/>
        <v>0</v>
      </c>
      <c r="IR14">
        <f t="shared" si="12"/>
        <v>0</v>
      </c>
      <c r="IS14">
        <f t="shared" si="12"/>
        <v>0</v>
      </c>
      <c r="IT14">
        <f t="shared" si="12"/>
        <v>0</v>
      </c>
      <c r="IU14">
        <f t="shared" si="12"/>
        <v>0</v>
      </c>
      <c r="IV14">
        <f t="shared" si="12"/>
        <v>2</v>
      </c>
      <c r="IW14">
        <f t="shared" si="12"/>
        <v>0</v>
      </c>
      <c r="IX14">
        <f t="shared" si="12"/>
        <v>0</v>
      </c>
      <c r="IY14">
        <f t="shared" si="12"/>
        <v>0</v>
      </c>
      <c r="IZ14">
        <f t="shared" si="12"/>
        <v>0</v>
      </c>
      <c r="JA14">
        <f t="shared" si="12"/>
        <v>0</v>
      </c>
      <c r="JB14">
        <f t="shared" si="12"/>
        <v>0</v>
      </c>
      <c r="JC14">
        <f t="shared" si="12"/>
        <v>0</v>
      </c>
      <c r="JD14">
        <f t="shared" si="12"/>
        <v>0</v>
      </c>
      <c r="JE14">
        <f t="shared" si="12"/>
        <v>0</v>
      </c>
    </row>
    <row r="15" spans="1:284" x14ac:dyDescent="0.25">
      <c r="A15" t="s">
        <v>723</v>
      </c>
      <c r="B15" t="s">
        <v>724</v>
      </c>
      <c r="C15" t="s">
        <v>420</v>
      </c>
      <c r="D15" t="s">
        <v>421</v>
      </c>
      <c r="E15" t="s">
        <v>179</v>
      </c>
      <c r="F15" t="s">
        <v>180</v>
      </c>
      <c r="G15" t="s">
        <v>725</v>
      </c>
      <c r="M15" t="str">
        <f t="shared" si="0"/>
        <v xml:space="preserve"> </v>
      </c>
      <c r="N15" t="str">
        <f t="shared" si="1"/>
        <v xml:space="preserve"> </v>
      </c>
      <c r="P15" t="str">
        <f t="shared" si="2"/>
        <v xml:space="preserve"> </v>
      </c>
      <c r="Q15" t="str">
        <f t="shared" si="3"/>
        <v xml:space="preserve"> </v>
      </c>
      <c r="S15" t="str">
        <f t="shared" si="4"/>
        <v xml:space="preserve"> </v>
      </c>
      <c r="T15" t="str">
        <f t="shared" si="5"/>
        <v xml:space="preserve"> </v>
      </c>
      <c r="X15" t="s">
        <v>2894</v>
      </c>
      <c r="Y15" t="s">
        <v>385</v>
      </c>
      <c r="AA15" t="str">
        <f t="shared" si="6"/>
        <v>Stadsommuring</v>
      </c>
      <c r="AB15" t="str">
        <f t="shared" si="7"/>
        <v>Walled city</v>
      </c>
      <c r="AC15">
        <v>2</v>
      </c>
      <c r="AD15" s="14">
        <v>0</v>
      </c>
      <c r="AE15">
        <v>0</v>
      </c>
      <c r="AF15">
        <v>0</v>
      </c>
      <c r="AG15" s="15">
        <v>193.14327116948175</v>
      </c>
      <c r="AH15">
        <v>0</v>
      </c>
      <c r="AI15" s="14">
        <v>193.14327116948175</v>
      </c>
      <c r="AJ15" s="14">
        <v>0</v>
      </c>
      <c r="AK15">
        <v>0</v>
      </c>
      <c r="AL15">
        <v>0</v>
      </c>
      <c r="AM15" s="15">
        <v>193.14327116948175</v>
      </c>
      <c r="AN15">
        <v>0</v>
      </c>
      <c r="AO15" s="14">
        <v>372.47022801352671</v>
      </c>
      <c r="AP15" s="14">
        <v>0</v>
      </c>
      <c r="AQ15">
        <v>0</v>
      </c>
      <c r="AR15">
        <v>0</v>
      </c>
      <c r="AS15" s="15">
        <v>372.47022801352671</v>
      </c>
      <c r="AT15">
        <v>0</v>
      </c>
      <c r="AU15" s="14">
        <v>308.35166372754747</v>
      </c>
      <c r="AV15" s="14">
        <v>0</v>
      </c>
      <c r="AW15" s="15">
        <v>0</v>
      </c>
      <c r="AX15">
        <v>0</v>
      </c>
      <c r="AY15" s="15">
        <v>308.35166372754747</v>
      </c>
      <c r="AZ15">
        <f>COUNT(#REF!)</f>
        <v>0</v>
      </c>
      <c r="BB15" s="15">
        <v>1</v>
      </c>
      <c r="BE15">
        <v>1</v>
      </c>
      <c r="BH15">
        <v>1</v>
      </c>
      <c r="CN15">
        <f>SQRT(7)</f>
        <v>2.6457513110645907</v>
      </c>
      <c r="CW15">
        <v>4</v>
      </c>
    </row>
    <row r="16" spans="1:284" x14ac:dyDescent="0.25">
      <c r="A16" t="s">
        <v>790</v>
      </c>
      <c r="B16" t="s">
        <v>791</v>
      </c>
      <c r="C16" t="s">
        <v>199</v>
      </c>
      <c r="D16" t="s">
        <v>200</v>
      </c>
      <c r="H16" t="s">
        <v>411</v>
      </c>
      <c r="I16" t="s">
        <v>412</v>
      </c>
      <c r="M16" t="str">
        <f t="shared" si="0"/>
        <v>Havenburcht</v>
      </c>
      <c r="N16" t="str">
        <f t="shared" si="1"/>
        <v>Harbour castle</v>
      </c>
      <c r="O16">
        <v>4</v>
      </c>
      <c r="P16" t="str">
        <f t="shared" si="2"/>
        <v xml:space="preserve"> </v>
      </c>
      <c r="Q16" t="str">
        <f t="shared" si="3"/>
        <v xml:space="preserve"> </v>
      </c>
      <c r="S16" t="str">
        <f t="shared" si="4"/>
        <v xml:space="preserve"> </v>
      </c>
      <c r="T16" t="str">
        <f t="shared" si="5"/>
        <v xml:space="preserve"> </v>
      </c>
      <c r="X16" t="s">
        <v>2892</v>
      </c>
      <c r="Y16" t="s">
        <v>227</v>
      </c>
      <c r="AA16" t="str">
        <f t="shared" si="6"/>
        <v>Renaissance</v>
      </c>
      <c r="AB16" t="str">
        <f t="shared" si="7"/>
        <v>Renaissance</v>
      </c>
      <c r="AC16">
        <v>1</v>
      </c>
      <c r="AD16" s="14">
        <v>0</v>
      </c>
      <c r="AE16">
        <v>0</v>
      </c>
      <c r="AF16">
        <v>0</v>
      </c>
      <c r="AG16" s="15">
        <v>56.646469100037621</v>
      </c>
      <c r="AH16">
        <v>0</v>
      </c>
      <c r="AI16" s="14">
        <v>56.646469100037621</v>
      </c>
      <c r="AJ16" s="14">
        <v>0</v>
      </c>
      <c r="AK16">
        <v>0</v>
      </c>
      <c r="AL16">
        <v>0</v>
      </c>
      <c r="AM16" s="15">
        <v>56.646469100037621</v>
      </c>
      <c r="AN16">
        <v>0</v>
      </c>
      <c r="AO16" s="14">
        <v>262.77485927785142</v>
      </c>
      <c r="AP16" s="14">
        <v>0</v>
      </c>
      <c r="AQ16">
        <v>0</v>
      </c>
      <c r="AR16">
        <v>0</v>
      </c>
      <c r="AS16" s="15">
        <v>262.77485927785142</v>
      </c>
      <c r="AT16">
        <v>0</v>
      </c>
      <c r="AU16" s="14">
        <v>266.71408621603439</v>
      </c>
      <c r="AV16" s="14">
        <v>0</v>
      </c>
      <c r="AW16" s="15">
        <v>0</v>
      </c>
      <c r="AX16">
        <v>0</v>
      </c>
      <c r="AY16" s="15">
        <v>266.71408621603439</v>
      </c>
      <c r="AZ16">
        <f>COUNT(#REF!)</f>
        <v>0</v>
      </c>
      <c r="BB16" s="15"/>
      <c r="BT16">
        <v>10</v>
      </c>
      <c r="BW16">
        <v>7</v>
      </c>
      <c r="DI16">
        <v>10</v>
      </c>
    </row>
    <row r="17" spans="1:265" x14ac:dyDescent="0.25">
      <c r="A17" t="s">
        <v>806</v>
      </c>
      <c r="B17" s="28" t="s">
        <v>807</v>
      </c>
      <c r="C17" s="28" t="s">
        <v>199</v>
      </c>
      <c r="D17" t="s">
        <v>200</v>
      </c>
      <c r="G17" t="s">
        <v>808</v>
      </c>
      <c r="H17" t="s">
        <v>308</v>
      </c>
      <c r="I17" t="s">
        <v>309</v>
      </c>
      <c r="J17" s="28"/>
      <c r="K17" s="28"/>
      <c r="M17" t="str">
        <f t="shared" si="0"/>
        <v>Waterburcht (Slot)</v>
      </c>
      <c r="N17" t="str">
        <f t="shared" si="1"/>
        <v>Water castle</v>
      </c>
      <c r="O17">
        <v>3</v>
      </c>
      <c r="P17" t="str">
        <f t="shared" si="2"/>
        <v xml:space="preserve"> </v>
      </c>
      <c r="Q17" t="str">
        <f t="shared" si="3"/>
        <v xml:space="preserve"> </v>
      </c>
      <c r="S17" t="str">
        <f t="shared" si="4"/>
        <v xml:space="preserve"> </v>
      </c>
      <c r="T17" t="str">
        <f t="shared" si="5"/>
        <v xml:space="preserve"> </v>
      </c>
      <c r="V17" t="s">
        <v>73</v>
      </c>
      <c r="W17" t="s">
        <v>73</v>
      </c>
      <c r="X17" t="s">
        <v>2892</v>
      </c>
      <c r="Y17" t="s">
        <v>227</v>
      </c>
      <c r="AA17" t="str">
        <f t="shared" si="6"/>
        <v>Renaissance</v>
      </c>
      <c r="AB17" t="str">
        <f t="shared" si="7"/>
        <v>Renaissance</v>
      </c>
      <c r="AC17">
        <v>1</v>
      </c>
      <c r="AD17" s="14">
        <v>400</v>
      </c>
      <c r="AE17">
        <v>7</v>
      </c>
      <c r="AF17">
        <v>0</v>
      </c>
      <c r="AG17" s="15">
        <v>171.04156525447007</v>
      </c>
      <c r="AH17">
        <v>0</v>
      </c>
      <c r="AI17" s="14">
        <v>521.04156525447002</v>
      </c>
      <c r="AJ17" s="14">
        <v>400</v>
      </c>
      <c r="AK17">
        <v>7</v>
      </c>
      <c r="AL17">
        <v>0</v>
      </c>
      <c r="AM17" s="15">
        <v>171.04156525447007</v>
      </c>
      <c r="AN17">
        <v>0</v>
      </c>
      <c r="AO17" s="14">
        <v>322.97497931857504</v>
      </c>
      <c r="AP17" s="14">
        <v>0</v>
      </c>
      <c r="AQ17">
        <v>0</v>
      </c>
      <c r="AR17">
        <v>0</v>
      </c>
      <c r="AS17" s="15">
        <v>322.97497931857504</v>
      </c>
      <c r="AT17">
        <v>0</v>
      </c>
      <c r="AU17" s="14">
        <v>327.3456114364476</v>
      </c>
      <c r="AV17" s="14">
        <v>0</v>
      </c>
      <c r="AW17" s="15">
        <v>0</v>
      </c>
      <c r="AX17">
        <v>0</v>
      </c>
      <c r="AY17" s="15">
        <v>327.3456114364476</v>
      </c>
      <c r="AZ17">
        <f>COUNT(#REF!)</f>
        <v>0</v>
      </c>
      <c r="BB17" s="15"/>
      <c r="BO17">
        <v>2</v>
      </c>
      <c r="BP17">
        <v>1</v>
      </c>
      <c r="BT17">
        <v>8</v>
      </c>
      <c r="BW17">
        <v>9</v>
      </c>
      <c r="CC17">
        <v>1</v>
      </c>
      <c r="DE17">
        <v>3</v>
      </c>
      <c r="DI17">
        <v>8</v>
      </c>
    </row>
    <row r="18" spans="1:265" x14ac:dyDescent="0.25">
      <c r="A18" t="s">
        <v>3676</v>
      </c>
      <c r="B18" t="s">
        <v>5314</v>
      </c>
    </row>
    <row r="19" spans="1:265" x14ac:dyDescent="0.25">
      <c r="A19" t="s">
        <v>5048</v>
      </c>
    </row>
    <row r="20" spans="1:265" x14ac:dyDescent="0.25">
      <c r="A20" t="s">
        <v>967</v>
      </c>
      <c r="B20" t="s">
        <v>968</v>
      </c>
      <c r="C20" s="28" t="s">
        <v>255</v>
      </c>
      <c r="D20" t="s">
        <v>256</v>
      </c>
      <c r="E20" t="s">
        <v>257</v>
      </c>
      <c r="F20" t="s">
        <v>258</v>
      </c>
      <c r="G20" t="s">
        <v>969</v>
      </c>
      <c r="H20" t="s">
        <v>315</v>
      </c>
      <c r="I20" t="s">
        <v>316</v>
      </c>
      <c r="J20" s="28" t="s">
        <v>970</v>
      </c>
      <c r="K20" s="28" t="s">
        <v>970</v>
      </c>
      <c r="L20">
        <v>21</v>
      </c>
      <c r="M20" t="str">
        <f t="shared" ref="M20:M48" si="13">VLOOKUP(O20,ligging,2,FALSE)</f>
        <v>Waterburcht (Slot)</v>
      </c>
      <c r="N20" t="str">
        <f t="shared" ref="N20:N48" si="14">VLOOKUP(O20,ligging,3,FALSE)</f>
        <v>Water castle</v>
      </c>
      <c r="O20">
        <v>3</v>
      </c>
      <c r="P20" t="str">
        <f t="shared" ref="P20:P48" si="15">VLOOKUP(R20,bouwconcept,2,FALSE)</f>
        <v>Rechthoekig of veelhoekig</v>
      </c>
      <c r="Q20" t="str">
        <f t="shared" ref="Q20:Q48" si="16">VLOOKUP(R20,bouwconcept,3,FALSE)</f>
        <v>Rectangular or polygonal</v>
      </c>
      <c r="R20">
        <v>5</v>
      </c>
      <c r="S20" t="str">
        <f t="shared" ref="S20:S48" si="17">VLOOKUP(U20,condition,2,FALSE)</f>
        <v>Verwoest</v>
      </c>
      <c r="T20" t="str">
        <f t="shared" ref="T20:T48" si="18">VLOOKUP(U20,condition,3,FALSE)</f>
        <v>Destroyed</v>
      </c>
      <c r="U20">
        <v>5</v>
      </c>
      <c r="X20" t="s">
        <v>971</v>
      </c>
      <c r="Y20" t="s">
        <v>971</v>
      </c>
      <c r="AA20" t="str">
        <f t="shared" ref="AA20:AA48" si="19">VLOOKUP(AC20,nocastle,2,FALSE)</f>
        <v>Nieuw</v>
      </c>
      <c r="AB20" t="str">
        <f t="shared" ref="AB20:AB48" si="20">VLOOKUP(AC20,nocastle,3,FALSE)</f>
        <v>New</v>
      </c>
      <c r="AC20">
        <v>4</v>
      </c>
      <c r="AD20" s="14">
        <v>0</v>
      </c>
      <c r="AE20">
        <v>0</v>
      </c>
      <c r="AF20">
        <v>0</v>
      </c>
      <c r="AG20" s="15">
        <v>0</v>
      </c>
      <c r="AH20">
        <v>0</v>
      </c>
      <c r="AI20" s="14">
        <v>0</v>
      </c>
      <c r="AJ20" s="14">
        <v>0</v>
      </c>
      <c r="AK20">
        <v>0</v>
      </c>
      <c r="AL20">
        <v>0</v>
      </c>
      <c r="AM20" s="15">
        <v>0</v>
      </c>
      <c r="AN20">
        <v>0</v>
      </c>
      <c r="AO20" s="14">
        <v>0</v>
      </c>
      <c r="AP20" s="14">
        <v>0</v>
      </c>
      <c r="AQ20">
        <v>0</v>
      </c>
      <c r="AR20">
        <v>0</v>
      </c>
      <c r="AS20" s="15">
        <v>0</v>
      </c>
      <c r="AT20">
        <v>0</v>
      </c>
      <c r="AU20" s="14">
        <v>0</v>
      </c>
      <c r="AV20" s="14">
        <v>0</v>
      </c>
      <c r="AW20" s="15">
        <v>0</v>
      </c>
      <c r="AX20">
        <v>0</v>
      </c>
      <c r="AY20" s="15">
        <v>0</v>
      </c>
      <c r="AZ20">
        <f>COUNT(#REF!)</f>
        <v>0</v>
      </c>
      <c r="BB20" s="15"/>
    </row>
    <row r="21" spans="1:265" x14ac:dyDescent="0.25">
      <c r="A21" t="s">
        <v>1144</v>
      </c>
      <c r="B21" t="s">
        <v>1145</v>
      </c>
      <c r="C21" t="s">
        <v>84</v>
      </c>
      <c r="D21" t="s">
        <v>84</v>
      </c>
      <c r="E21" t="s">
        <v>85</v>
      </c>
      <c r="F21" t="s">
        <v>86</v>
      </c>
      <c r="G21" t="s">
        <v>1145</v>
      </c>
      <c r="J21" t="s">
        <v>191</v>
      </c>
      <c r="K21" t="s">
        <v>191</v>
      </c>
      <c r="L21">
        <v>16</v>
      </c>
      <c r="M21" t="str">
        <f t="shared" si="13"/>
        <v xml:space="preserve"> </v>
      </c>
      <c r="N21" t="str">
        <f t="shared" si="14"/>
        <v xml:space="preserve"> </v>
      </c>
      <c r="P21" t="str">
        <f t="shared" si="15"/>
        <v xml:space="preserve"> </v>
      </c>
      <c r="Q21" t="str">
        <f t="shared" si="16"/>
        <v xml:space="preserve"> </v>
      </c>
      <c r="S21" t="str">
        <f t="shared" si="17"/>
        <v xml:space="preserve"> </v>
      </c>
      <c r="T21" t="str">
        <f t="shared" si="18"/>
        <v xml:space="preserve"> </v>
      </c>
      <c r="V21" t="s">
        <v>73</v>
      </c>
      <c r="W21" t="s">
        <v>73</v>
      </c>
      <c r="X21" t="s">
        <v>193</v>
      </c>
      <c r="Y21" t="s">
        <v>194</v>
      </c>
      <c r="AA21" t="str">
        <f t="shared" si="19"/>
        <v>Fort</v>
      </c>
      <c r="AB21" t="str">
        <f t="shared" si="20"/>
        <v>Fortress</v>
      </c>
      <c r="AC21">
        <v>3</v>
      </c>
      <c r="AD21" s="14">
        <v>0</v>
      </c>
      <c r="AE21">
        <v>0</v>
      </c>
      <c r="AF21">
        <v>0</v>
      </c>
      <c r="AG21" s="18">
        <v>0</v>
      </c>
      <c r="AH21">
        <v>0</v>
      </c>
      <c r="AI21" s="14">
        <v>0</v>
      </c>
      <c r="AJ21" s="14">
        <v>0</v>
      </c>
      <c r="AK21">
        <v>0</v>
      </c>
      <c r="AL21">
        <v>0</v>
      </c>
      <c r="AM21" s="15">
        <v>0</v>
      </c>
      <c r="AN21">
        <v>0</v>
      </c>
      <c r="AO21" s="14">
        <v>0</v>
      </c>
      <c r="AP21" s="14">
        <v>0</v>
      </c>
      <c r="AQ21">
        <v>0</v>
      </c>
      <c r="AR21">
        <v>0</v>
      </c>
      <c r="AS21" s="15">
        <v>0</v>
      </c>
      <c r="AT21">
        <v>0</v>
      </c>
      <c r="AU21" s="14">
        <v>0</v>
      </c>
      <c r="AV21" s="14">
        <v>0</v>
      </c>
      <c r="AW21" s="15">
        <v>0</v>
      </c>
      <c r="AX21">
        <v>0</v>
      </c>
      <c r="AY21" s="15">
        <v>0</v>
      </c>
      <c r="AZ21">
        <f>COUNT(#REF!)</f>
        <v>0</v>
      </c>
      <c r="BA21">
        <v>2</v>
      </c>
      <c r="BB21" s="15"/>
    </row>
    <row r="22" spans="1:265" x14ac:dyDescent="0.25">
      <c r="A22" t="s">
        <v>1231</v>
      </c>
      <c r="B22" t="s">
        <v>1232</v>
      </c>
      <c r="C22" s="28" t="s">
        <v>137</v>
      </c>
      <c r="D22" t="s">
        <v>138</v>
      </c>
      <c r="E22" t="s">
        <v>139</v>
      </c>
      <c r="F22" t="s">
        <v>140</v>
      </c>
      <c r="G22" t="s">
        <v>1233</v>
      </c>
      <c r="H22" t="s">
        <v>651</v>
      </c>
      <c r="I22" t="s">
        <v>652</v>
      </c>
      <c r="J22" s="28"/>
      <c r="K22" s="28"/>
      <c r="M22" t="str">
        <f t="shared" si="13"/>
        <v>Waterburcht (Slot)</v>
      </c>
      <c r="N22" t="str">
        <f t="shared" si="14"/>
        <v>Water castle</v>
      </c>
      <c r="O22">
        <v>3</v>
      </c>
      <c r="P22" t="str">
        <f t="shared" si="15"/>
        <v xml:space="preserve"> </v>
      </c>
      <c r="Q22" t="str">
        <f t="shared" si="16"/>
        <v xml:space="preserve"> </v>
      </c>
      <c r="S22" t="str">
        <f t="shared" si="17"/>
        <v xml:space="preserve"> </v>
      </c>
      <c r="T22" t="str">
        <f t="shared" si="18"/>
        <v xml:space="preserve"> </v>
      </c>
      <c r="V22" t="s">
        <v>73</v>
      </c>
      <c r="W22" t="s">
        <v>73</v>
      </c>
      <c r="X22" t="s">
        <v>2890</v>
      </c>
      <c r="Y22" t="s">
        <v>146</v>
      </c>
      <c r="AA22" t="str">
        <f t="shared" si="19"/>
        <v>Middeleeuws Paleis</v>
      </c>
      <c r="AB22" t="str">
        <f t="shared" si="20"/>
        <v>Palace</v>
      </c>
      <c r="AC22">
        <v>6</v>
      </c>
      <c r="AD22" s="29" t="e">
        <f>(2*AH22+AE22)/2</f>
        <v>#REF!</v>
      </c>
      <c r="AE22" s="29">
        <f>(1000+AF22*BA22)/(AF22+2)+AF22/10</f>
        <v>711.81111111110999</v>
      </c>
      <c r="AF22" s="30">
        <v>7</v>
      </c>
      <c r="AG22" s="30">
        <v>75</v>
      </c>
      <c r="AH22" s="29" t="e">
        <f>(2*BB22+BC22/2)/3</f>
        <v>#REF!</v>
      </c>
      <c r="AI22">
        <v>388</v>
      </c>
      <c r="AJ22" s="16">
        <v>310.48737898281252</v>
      </c>
      <c r="AK22" s="14">
        <v>0</v>
      </c>
      <c r="AL22">
        <v>2</v>
      </c>
      <c r="AM22">
        <v>135</v>
      </c>
      <c r="AN22" s="15">
        <v>310.48737898281252</v>
      </c>
      <c r="AO22">
        <v>286</v>
      </c>
      <c r="AP22" s="14">
        <v>373.16663108520413</v>
      </c>
      <c r="AQ22" s="14">
        <v>0</v>
      </c>
      <c r="AR22">
        <v>0</v>
      </c>
      <c r="AS22">
        <v>135</v>
      </c>
      <c r="AT22" s="15">
        <v>373.16663108520413</v>
      </c>
      <c r="AU22">
        <v>164</v>
      </c>
      <c r="AV22" s="14">
        <v>400.06174469694577</v>
      </c>
      <c r="AW22" s="14">
        <v>0</v>
      </c>
      <c r="AX22" s="15">
        <v>0</v>
      </c>
      <c r="AY22">
        <v>118</v>
      </c>
      <c r="AZ22" s="15">
        <v>400.06174469694577</v>
      </c>
      <c r="BA22" s="29">
        <v>771.42857142856997</v>
      </c>
      <c r="BB22" s="29" t="e">
        <f>(5*SUM(DW22:ET22)+BG22*factor3)*BD22</f>
        <v>#REF!</v>
      </c>
      <c r="BC22" s="29" t="e">
        <f>SUM(EU22:GH22)+BE22+BF22</f>
        <v>#REF!</v>
      </c>
      <c r="BD22" s="31">
        <v>0.7</v>
      </c>
      <c r="BE22" s="29"/>
      <c r="BF22" s="29"/>
      <c r="BG22">
        <f>COUNT(BH22:CF22)</f>
        <v>8</v>
      </c>
      <c r="BJ22">
        <v>1</v>
      </c>
      <c r="BS22">
        <v>1</v>
      </c>
      <c r="BT22">
        <v>21</v>
      </c>
      <c r="BX22">
        <v>6</v>
      </c>
      <c r="BY22">
        <v>22</v>
      </c>
      <c r="CA22">
        <v>1</v>
      </c>
      <c r="CB22">
        <v>4</v>
      </c>
      <c r="CD22">
        <v>30</v>
      </c>
      <c r="DC22">
        <v>3</v>
      </c>
      <c r="DD22">
        <v>1</v>
      </c>
      <c r="DW22" t="e">
        <f>GJ22*#REF!</f>
        <v>#REF!</v>
      </c>
      <c r="DX22" t="e">
        <f>GK22*#REF!</f>
        <v>#REF!</v>
      </c>
      <c r="DY22" t="e">
        <f>GL22*#REF!</f>
        <v>#REF!</v>
      </c>
      <c r="DZ22" t="e">
        <f>GM22*#REF!</f>
        <v>#REF!</v>
      </c>
      <c r="EA22" t="e">
        <f>GN22*#REF!</f>
        <v>#REF!</v>
      </c>
      <c r="EB22" t="e">
        <f>GO22*#REF!</f>
        <v>#REF!</v>
      </c>
      <c r="EC22" t="e">
        <f>GP22*#REF!</f>
        <v>#REF!</v>
      </c>
      <c r="ED22" t="e">
        <f>GQ22*#REF!</f>
        <v>#REF!</v>
      </c>
      <c r="EE22" t="e">
        <f>GR22*#REF!</f>
        <v>#REF!</v>
      </c>
      <c r="EF22" t="e">
        <f>GS22*#REF!</f>
        <v>#REF!</v>
      </c>
      <c r="EG22" t="e">
        <f>GT22*#REF!</f>
        <v>#REF!</v>
      </c>
      <c r="EH22" t="e">
        <f>GU22*#REF!</f>
        <v>#REF!</v>
      </c>
      <c r="EI22" t="e">
        <f>GV22*#REF!</f>
        <v>#REF!</v>
      </c>
      <c r="EJ22" t="e">
        <f>GW22*#REF!</f>
        <v>#REF!</v>
      </c>
      <c r="EK22" t="e">
        <f>GX22*#REF!</f>
        <v>#REF!</v>
      </c>
      <c r="EL22" t="e">
        <f>GY22*#REF!</f>
        <v>#REF!</v>
      </c>
      <c r="EM22" t="e">
        <f>GZ22*#REF!</f>
        <v>#REF!</v>
      </c>
      <c r="EN22" t="e">
        <f>HA22*#REF!</f>
        <v>#REF!</v>
      </c>
      <c r="EO22" t="e">
        <f>HB22*#REF!</f>
        <v>#REF!</v>
      </c>
      <c r="EP22" t="e">
        <f>HC22*#REF!</f>
        <v>#REF!</v>
      </c>
      <c r="EQ22" t="e">
        <f>HD22*#REF!</f>
        <v>#REF!</v>
      </c>
      <c r="ER22" t="e">
        <f>HE22*#REF!</f>
        <v>#REF!</v>
      </c>
      <c r="ES22" t="e">
        <f>HF22*#REF!</f>
        <v>#REF!</v>
      </c>
      <c r="ET22" t="e">
        <f>HG22*#REF!</f>
        <v>#REF!</v>
      </c>
      <c r="EU22" t="e">
        <f>HH22*#REF!</f>
        <v>#REF!</v>
      </c>
      <c r="EV22" t="e">
        <f>HI22*#REF!</f>
        <v>#REF!</v>
      </c>
      <c r="EW22" t="e">
        <f>HJ22*#REF!</f>
        <v>#REF!</v>
      </c>
      <c r="EX22" t="e">
        <f>HK22*#REF!</f>
        <v>#REF!</v>
      </c>
      <c r="EY22" t="e">
        <f>HL22*#REF!</f>
        <v>#REF!</v>
      </c>
      <c r="EZ22" t="e">
        <f>HM22*#REF!</f>
        <v>#REF!</v>
      </c>
      <c r="FA22" t="e">
        <f>HN22*#REF!</f>
        <v>#REF!</v>
      </c>
      <c r="FB22" t="e">
        <f>HO22*#REF!</f>
        <v>#REF!</v>
      </c>
      <c r="FC22" t="e">
        <f>HP22*#REF!</f>
        <v>#REF!</v>
      </c>
      <c r="FD22" t="e">
        <f>HQ22*#REF!</f>
        <v>#REF!</v>
      </c>
      <c r="FE22" t="e">
        <f>HR22*#REF!</f>
        <v>#REF!</v>
      </c>
      <c r="FF22" t="e">
        <f>HS22*#REF!</f>
        <v>#REF!</v>
      </c>
      <c r="FG22" t="e">
        <f>HT22*#REF!</f>
        <v>#REF!</v>
      </c>
      <c r="FH22" t="e">
        <f>HU22*#REF!</f>
        <v>#REF!</v>
      </c>
      <c r="FI22" t="e">
        <f>HV22*#REF!</f>
        <v>#REF!</v>
      </c>
      <c r="FJ22" t="e">
        <f>HW22*#REF!</f>
        <v>#REF!</v>
      </c>
      <c r="FK22" t="e">
        <f>HX22*#REF!</f>
        <v>#REF!</v>
      </c>
      <c r="FL22" t="e">
        <f>HY22*#REF!</f>
        <v>#REF!</v>
      </c>
      <c r="FM22" t="e">
        <f>HZ22*#REF!</f>
        <v>#REF!</v>
      </c>
      <c r="FN22" t="e">
        <f>IA22*#REF!</f>
        <v>#REF!</v>
      </c>
      <c r="FO22" t="e">
        <f>IB22*#REF!</f>
        <v>#REF!</v>
      </c>
      <c r="FP22" t="e">
        <f>IC22*#REF!</f>
        <v>#REF!</v>
      </c>
      <c r="FQ22" t="e">
        <f>ID22*#REF!</f>
        <v>#REF!</v>
      </c>
      <c r="FR22" t="e">
        <f>IE22*#REF!</f>
        <v>#REF!</v>
      </c>
      <c r="FS22" t="e">
        <f>IF22*#REF!</f>
        <v>#REF!</v>
      </c>
      <c r="FT22" t="e">
        <f>IG22*#REF!</f>
        <v>#REF!</v>
      </c>
      <c r="FU22" t="e">
        <f>IH22*#REF!</f>
        <v>#REF!</v>
      </c>
      <c r="FV22" t="e">
        <f>II22*#REF!</f>
        <v>#REF!</v>
      </c>
      <c r="FW22" t="e">
        <f>IJ22*#REF!</f>
        <v>#REF!</v>
      </c>
      <c r="FX22" t="e">
        <f>IK22*#REF!</f>
        <v>#REF!</v>
      </c>
      <c r="FY22" t="e">
        <f>IL22*#REF!</f>
        <v>#REF!</v>
      </c>
      <c r="FZ22" t="e">
        <f>IM22*#REF!</f>
        <v>#REF!</v>
      </c>
      <c r="GA22" t="e">
        <f>IN22*#REF!</f>
        <v>#REF!</v>
      </c>
      <c r="GB22" t="e">
        <f>IO22*#REF!</f>
        <v>#REF!</v>
      </c>
      <c r="GC22" t="e">
        <f>IP22*#REF!</f>
        <v>#REF!</v>
      </c>
      <c r="GD22" t="e">
        <f>IQ22*#REF!</f>
        <v>#REF!</v>
      </c>
      <c r="GE22" t="e">
        <f>IR22*#REF!</f>
        <v>#REF!</v>
      </c>
      <c r="GF22" t="e">
        <f>IS22*#REF!</f>
        <v>#REF!</v>
      </c>
      <c r="GG22" t="e">
        <f>IT22*#REF!</f>
        <v>#REF!</v>
      </c>
      <c r="GH22" t="e">
        <f>IU22*#REF!</f>
        <v>#REF!</v>
      </c>
      <c r="GJ22">
        <f t="shared" ref="GJ22:HO22" si="21">SQRT(BI22)</f>
        <v>0</v>
      </c>
      <c r="GK22">
        <f t="shared" si="21"/>
        <v>1</v>
      </c>
      <c r="GL22">
        <f t="shared" si="21"/>
        <v>0</v>
      </c>
      <c r="GM22">
        <f t="shared" si="21"/>
        <v>0</v>
      </c>
      <c r="GN22">
        <f t="shared" si="21"/>
        <v>0</v>
      </c>
      <c r="GO22">
        <f t="shared" si="21"/>
        <v>0</v>
      </c>
      <c r="GP22">
        <f t="shared" si="21"/>
        <v>0</v>
      </c>
      <c r="GQ22">
        <f t="shared" si="21"/>
        <v>0</v>
      </c>
      <c r="GR22">
        <f t="shared" si="21"/>
        <v>0</v>
      </c>
      <c r="GS22">
        <f t="shared" si="21"/>
        <v>0</v>
      </c>
      <c r="GT22">
        <f t="shared" si="21"/>
        <v>1</v>
      </c>
      <c r="GU22">
        <f t="shared" si="21"/>
        <v>4.5825756949558398</v>
      </c>
      <c r="GV22">
        <f t="shared" si="21"/>
        <v>0</v>
      </c>
      <c r="GW22">
        <f t="shared" si="21"/>
        <v>0</v>
      </c>
      <c r="GX22">
        <f t="shared" si="21"/>
        <v>0</v>
      </c>
      <c r="GY22">
        <f t="shared" si="21"/>
        <v>2.4494897427831779</v>
      </c>
      <c r="GZ22">
        <f t="shared" si="21"/>
        <v>4.6904157598234297</v>
      </c>
      <c r="HA22">
        <f t="shared" si="21"/>
        <v>0</v>
      </c>
      <c r="HB22">
        <f t="shared" si="21"/>
        <v>1</v>
      </c>
      <c r="HC22">
        <f t="shared" si="21"/>
        <v>2</v>
      </c>
      <c r="HD22">
        <f t="shared" si="21"/>
        <v>0</v>
      </c>
      <c r="HE22">
        <f t="shared" si="21"/>
        <v>5.4772255750516612</v>
      </c>
      <c r="HF22">
        <f t="shared" si="21"/>
        <v>0</v>
      </c>
      <c r="HG22">
        <f t="shared" si="21"/>
        <v>0</v>
      </c>
      <c r="HH22">
        <f t="shared" si="21"/>
        <v>0</v>
      </c>
      <c r="HI22">
        <f t="shared" si="21"/>
        <v>0</v>
      </c>
      <c r="HJ22">
        <f t="shared" si="21"/>
        <v>0</v>
      </c>
      <c r="HK22">
        <f t="shared" si="21"/>
        <v>0</v>
      </c>
      <c r="HL22">
        <f t="shared" si="21"/>
        <v>0</v>
      </c>
      <c r="HM22">
        <f t="shared" si="21"/>
        <v>0</v>
      </c>
      <c r="HN22">
        <f t="shared" si="21"/>
        <v>0</v>
      </c>
      <c r="HO22">
        <f t="shared" si="21"/>
        <v>0</v>
      </c>
      <c r="HP22">
        <f t="shared" ref="HP22:IU22" si="22">SQRT(CO22)</f>
        <v>0</v>
      </c>
      <c r="HQ22">
        <f t="shared" si="22"/>
        <v>0</v>
      </c>
      <c r="HR22">
        <f t="shared" si="22"/>
        <v>0</v>
      </c>
      <c r="HS22">
        <f t="shared" si="22"/>
        <v>0</v>
      </c>
      <c r="HT22">
        <f t="shared" si="22"/>
        <v>0</v>
      </c>
      <c r="HU22">
        <f t="shared" si="22"/>
        <v>0</v>
      </c>
      <c r="HV22">
        <f t="shared" si="22"/>
        <v>0</v>
      </c>
      <c r="HW22">
        <f t="shared" si="22"/>
        <v>0</v>
      </c>
      <c r="HX22">
        <f t="shared" si="22"/>
        <v>0</v>
      </c>
      <c r="HY22">
        <f t="shared" si="22"/>
        <v>0</v>
      </c>
      <c r="HZ22">
        <f t="shared" si="22"/>
        <v>0</v>
      </c>
      <c r="IA22">
        <f t="shared" si="22"/>
        <v>0</v>
      </c>
      <c r="IB22">
        <f t="shared" si="22"/>
        <v>0</v>
      </c>
      <c r="IC22">
        <f t="shared" si="22"/>
        <v>0</v>
      </c>
      <c r="ID22">
        <f t="shared" si="22"/>
        <v>1.7320508075688772</v>
      </c>
      <c r="IE22">
        <f t="shared" si="22"/>
        <v>1</v>
      </c>
      <c r="IF22">
        <f t="shared" si="22"/>
        <v>0</v>
      </c>
      <c r="IG22">
        <f t="shared" si="22"/>
        <v>0</v>
      </c>
      <c r="IH22">
        <f t="shared" si="22"/>
        <v>0</v>
      </c>
      <c r="II22">
        <f t="shared" si="22"/>
        <v>0</v>
      </c>
      <c r="IJ22">
        <f t="shared" si="22"/>
        <v>0</v>
      </c>
      <c r="IK22">
        <f t="shared" si="22"/>
        <v>0</v>
      </c>
      <c r="IL22">
        <f t="shared" si="22"/>
        <v>0</v>
      </c>
      <c r="IM22">
        <f t="shared" si="22"/>
        <v>0</v>
      </c>
      <c r="IN22">
        <f t="shared" si="22"/>
        <v>0</v>
      </c>
      <c r="IO22">
        <f t="shared" si="22"/>
        <v>0</v>
      </c>
      <c r="IP22">
        <f t="shared" si="22"/>
        <v>0</v>
      </c>
      <c r="IQ22">
        <f t="shared" si="22"/>
        <v>0</v>
      </c>
      <c r="IR22">
        <f t="shared" si="22"/>
        <v>0</v>
      </c>
      <c r="IS22">
        <f t="shared" si="22"/>
        <v>0</v>
      </c>
      <c r="IT22">
        <f t="shared" si="22"/>
        <v>0</v>
      </c>
      <c r="IU22">
        <f t="shared" si="22"/>
        <v>0</v>
      </c>
    </row>
    <row r="23" spans="1:265" x14ac:dyDescent="0.25">
      <c r="A23" t="s">
        <v>1257</v>
      </c>
      <c r="B23" t="s">
        <v>2471</v>
      </c>
      <c r="C23" t="s">
        <v>137</v>
      </c>
      <c r="D23" t="s">
        <v>138</v>
      </c>
      <c r="E23" t="s">
        <v>139</v>
      </c>
      <c r="F23" t="s">
        <v>140</v>
      </c>
      <c r="G23" t="s">
        <v>1258</v>
      </c>
      <c r="H23" t="s">
        <v>296</v>
      </c>
      <c r="I23" t="s">
        <v>297</v>
      </c>
      <c r="J23" s="28" t="s">
        <v>2547</v>
      </c>
      <c r="K23" s="28" t="s">
        <v>2548</v>
      </c>
      <c r="L23">
        <v>1</v>
      </c>
      <c r="M23" t="str">
        <f t="shared" si="13"/>
        <v>Stadsburcht</v>
      </c>
      <c r="N23" t="str">
        <f t="shared" si="14"/>
        <v>City castle</v>
      </c>
      <c r="O23">
        <v>5</v>
      </c>
      <c r="P23" t="str">
        <f t="shared" si="15"/>
        <v>Donjon binnen weermuren</v>
      </c>
      <c r="Q23" t="str">
        <f t="shared" si="16"/>
        <v>Donjon inside curtain wall</v>
      </c>
      <c r="R23">
        <v>6</v>
      </c>
      <c r="S23" t="str">
        <f t="shared" si="17"/>
        <v>Herbouwd/Verbouwd</v>
      </c>
      <c r="T23" t="str">
        <f t="shared" si="18"/>
        <v>Rebuild/Restored</v>
      </c>
      <c r="U23">
        <v>2</v>
      </c>
      <c r="V23" t="s">
        <v>73</v>
      </c>
      <c r="W23" t="s">
        <v>73</v>
      </c>
      <c r="X23" t="s">
        <v>2890</v>
      </c>
      <c r="Y23" t="s">
        <v>146</v>
      </c>
      <c r="Z23" s="20" t="s">
        <v>1259</v>
      </c>
      <c r="AA23" t="str">
        <f t="shared" si="19"/>
        <v>Middeleeuws Paleis</v>
      </c>
      <c r="AB23" t="str">
        <f t="shared" si="20"/>
        <v>Palace</v>
      </c>
      <c r="AC23">
        <v>6</v>
      </c>
      <c r="AD23" s="14">
        <v>0</v>
      </c>
      <c r="AE23">
        <v>0</v>
      </c>
      <c r="AF23">
        <v>0</v>
      </c>
      <c r="AG23" s="15">
        <v>262.98961497255203</v>
      </c>
      <c r="AH23">
        <v>0</v>
      </c>
      <c r="AI23" s="14">
        <v>262.98961497255209</v>
      </c>
      <c r="AJ23" s="14">
        <v>0</v>
      </c>
      <c r="AK23">
        <v>0</v>
      </c>
      <c r="AL23">
        <v>0</v>
      </c>
      <c r="AM23" s="15">
        <v>262.98961497255203</v>
      </c>
      <c r="AN23">
        <v>0</v>
      </c>
      <c r="AO23" s="14">
        <v>338.82648723202533</v>
      </c>
      <c r="AP23" s="14">
        <v>0</v>
      </c>
      <c r="AQ23">
        <v>0</v>
      </c>
      <c r="AR23">
        <v>0</v>
      </c>
      <c r="AS23" s="15">
        <v>338.82648723202533</v>
      </c>
      <c r="AT23">
        <v>0</v>
      </c>
      <c r="AU23" s="14">
        <v>395.08353509133252</v>
      </c>
      <c r="AV23" s="14">
        <v>0</v>
      </c>
      <c r="AW23" s="15">
        <v>0</v>
      </c>
      <c r="AX23">
        <v>0</v>
      </c>
      <c r="AY23" s="15">
        <v>395.08353509133252</v>
      </c>
      <c r="AZ23">
        <f>COUNT(#REF!)</f>
        <v>0</v>
      </c>
      <c r="BA23">
        <v>-1</v>
      </c>
      <c r="BB23" s="15"/>
      <c r="BE23">
        <v>1</v>
      </c>
      <c r="BW23">
        <v>1</v>
      </c>
      <c r="CC23">
        <v>13</v>
      </c>
      <c r="CJ23">
        <v>2</v>
      </c>
      <c r="CK23">
        <v>5</v>
      </c>
      <c r="CU23">
        <v>4</v>
      </c>
      <c r="CV23">
        <v>11</v>
      </c>
      <c r="CY23">
        <v>4</v>
      </c>
      <c r="DB23">
        <v>20</v>
      </c>
      <c r="DQ23" s="20"/>
    </row>
    <row r="24" spans="1:265" x14ac:dyDescent="0.25">
      <c r="A24" t="s">
        <v>3425</v>
      </c>
      <c r="B24" t="s">
        <v>3426</v>
      </c>
      <c r="C24" t="s">
        <v>74</v>
      </c>
      <c r="D24" t="s">
        <v>74</v>
      </c>
      <c r="G24" t="s">
        <v>3432</v>
      </c>
      <c r="J24" t="s">
        <v>3429</v>
      </c>
      <c r="K24" t="s">
        <v>3433</v>
      </c>
      <c r="M24" t="str">
        <f t="shared" si="13"/>
        <v>Hoogteburcht</v>
      </c>
      <c r="N24" t="str">
        <f t="shared" si="14"/>
        <v>Mountain castle</v>
      </c>
      <c r="O24">
        <v>1</v>
      </c>
      <c r="P24" t="str">
        <f t="shared" si="15"/>
        <v>Mottekasteel</v>
      </c>
      <c r="Q24" t="str">
        <f t="shared" si="16"/>
        <v>Motte-and-bailey</v>
      </c>
      <c r="R24">
        <v>1</v>
      </c>
      <c r="S24" t="str">
        <f t="shared" si="17"/>
        <v>Ruïne/Restant</v>
      </c>
      <c r="T24" t="str">
        <f t="shared" si="18"/>
        <v>Ruined/Partly remained</v>
      </c>
      <c r="U24">
        <v>4</v>
      </c>
      <c r="V24" t="s">
        <v>73</v>
      </c>
      <c r="W24" t="s">
        <v>73</v>
      </c>
      <c r="X24" t="s">
        <v>2891</v>
      </c>
      <c r="Y24" t="s">
        <v>423</v>
      </c>
      <c r="AA24" t="str">
        <f t="shared" si="19"/>
        <v>Oudheid</v>
      </c>
      <c r="AB24" t="str">
        <f t="shared" si="20"/>
        <v>Prehistoric</v>
      </c>
      <c r="AC24">
        <v>5</v>
      </c>
      <c r="AD24" s="14">
        <v>0</v>
      </c>
      <c r="AE24">
        <v>0</v>
      </c>
      <c r="AF24">
        <v>0</v>
      </c>
      <c r="AG24" s="15">
        <v>217.1529567765013</v>
      </c>
      <c r="AH24">
        <v>0</v>
      </c>
      <c r="AI24" s="14">
        <v>217.15295677650124</v>
      </c>
      <c r="AJ24" s="14">
        <v>0</v>
      </c>
      <c r="AK24">
        <v>0</v>
      </c>
      <c r="AL24">
        <v>0</v>
      </c>
      <c r="AM24" s="15">
        <v>217.1529567765013</v>
      </c>
      <c r="AN24">
        <v>0</v>
      </c>
      <c r="AO24" s="14">
        <v>329.3863015037748</v>
      </c>
      <c r="AP24" s="14">
        <v>0</v>
      </c>
      <c r="AQ24">
        <v>0</v>
      </c>
      <c r="AR24">
        <v>0</v>
      </c>
      <c r="AS24" s="15">
        <v>329.3863015037748</v>
      </c>
      <c r="AT24">
        <v>0</v>
      </c>
      <c r="AU24" s="14">
        <v>290.00601147541545</v>
      </c>
      <c r="AV24" s="14">
        <v>0</v>
      </c>
      <c r="AW24" s="15">
        <v>0</v>
      </c>
      <c r="AX24">
        <v>0</v>
      </c>
      <c r="AY24" s="15">
        <v>290.00601147541545</v>
      </c>
      <c r="AZ24">
        <f>COUNT(#REF!)</f>
        <v>0</v>
      </c>
      <c r="BB24" s="15"/>
      <c r="BD24">
        <v>1</v>
      </c>
      <c r="BE24">
        <v>1</v>
      </c>
      <c r="BH24">
        <v>2</v>
      </c>
      <c r="BS24">
        <v>1</v>
      </c>
      <c r="BU24">
        <v>9</v>
      </c>
      <c r="CY24">
        <v>2</v>
      </c>
      <c r="CZ24">
        <v>1</v>
      </c>
      <c r="DH24">
        <v>3</v>
      </c>
    </row>
    <row r="25" spans="1:265" x14ac:dyDescent="0.25">
      <c r="A25" t="s">
        <v>1393</v>
      </c>
      <c r="B25" t="s">
        <v>2403</v>
      </c>
      <c r="C25" t="s">
        <v>137</v>
      </c>
      <c r="D25" t="s">
        <v>138</v>
      </c>
      <c r="E25" t="s">
        <v>139</v>
      </c>
      <c r="F25" t="s">
        <v>140</v>
      </c>
      <c r="G25" t="s">
        <v>1394</v>
      </c>
      <c r="H25" t="s">
        <v>1234</v>
      </c>
      <c r="I25" t="s">
        <v>1235</v>
      </c>
      <c r="J25" t="s">
        <v>2403</v>
      </c>
      <c r="K25" t="s">
        <v>2403</v>
      </c>
      <c r="L25">
        <v>11</v>
      </c>
      <c r="M25" t="str">
        <f t="shared" si="13"/>
        <v>Hoogteburcht</v>
      </c>
      <c r="N25" t="str">
        <f t="shared" si="14"/>
        <v>Mountain castle</v>
      </c>
      <c r="O25">
        <v>1</v>
      </c>
      <c r="P25" t="str">
        <f t="shared" si="15"/>
        <v>Donjon in weermuren</v>
      </c>
      <c r="Q25" t="str">
        <f t="shared" si="16"/>
        <v>Donjon in curtain wall</v>
      </c>
      <c r="R25">
        <v>7</v>
      </c>
      <c r="S25" t="str">
        <f t="shared" si="17"/>
        <v>Herbouwd/Verbouwd</v>
      </c>
      <c r="T25" t="str">
        <f t="shared" si="18"/>
        <v>Rebuild/Restored</v>
      </c>
      <c r="U25">
        <v>2</v>
      </c>
      <c r="X25" t="s">
        <v>2893</v>
      </c>
      <c r="Y25" t="s">
        <v>2724</v>
      </c>
      <c r="Z25" s="20" t="s">
        <v>1395</v>
      </c>
      <c r="AA25" t="str">
        <f t="shared" si="19"/>
        <v>Romantiek</v>
      </c>
      <c r="AB25" t="str">
        <f t="shared" si="20"/>
        <v>Romantic</v>
      </c>
      <c r="AC25">
        <v>7</v>
      </c>
      <c r="AD25" s="14">
        <v>400</v>
      </c>
      <c r="AE25">
        <v>1</v>
      </c>
      <c r="AF25">
        <v>0</v>
      </c>
      <c r="AG25" s="15">
        <v>186.95849793877264</v>
      </c>
      <c r="AH25">
        <v>0</v>
      </c>
      <c r="AI25" s="14">
        <v>386.95849793877267</v>
      </c>
      <c r="AJ25" s="14">
        <v>400</v>
      </c>
      <c r="AK25">
        <v>1</v>
      </c>
      <c r="AL25">
        <v>0</v>
      </c>
      <c r="AM25" s="15">
        <v>186.95849793877264</v>
      </c>
      <c r="AN25">
        <v>0</v>
      </c>
      <c r="AO25" s="14">
        <v>326.59837097551173</v>
      </c>
      <c r="AP25" s="14">
        <v>0</v>
      </c>
      <c r="AQ25">
        <v>0</v>
      </c>
      <c r="AR25">
        <v>0</v>
      </c>
      <c r="AS25" s="15">
        <v>326.59837097551173</v>
      </c>
      <c r="AT25">
        <v>0</v>
      </c>
      <c r="AU25" s="14">
        <v>325.17225957821518</v>
      </c>
      <c r="AV25" s="14">
        <v>0</v>
      </c>
      <c r="AW25" s="15">
        <v>0</v>
      </c>
      <c r="AX25">
        <v>0</v>
      </c>
      <c r="AY25" s="15">
        <v>325.17225957821518</v>
      </c>
      <c r="AZ25">
        <f>COUNT(#REF!)</f>
        <v>0</v>
      </c>
      <c r="BA25">
        <v>-1</v>
      </c>
      <c r="BB25" s="15"/>
      <c r="BF25">
        <v>2</v>
      </c>
      <c r="CC25">
        <v>2</v>
      </c>
      <c r="CJ25">
        <v>3</v>
      </c>
      <c r="CK25">
        <v>6</v>
      </c>
      <c r="CU25">
        <v>3</v>
      </c>
      <c r="CV25">
        <v>6</v>
      </c>
      <c r="DB25">
        <v>5</v>
      </c>
      <c r="DE25">
        <v>3</v>
      </c>
      <c r="DQ25" s="20"/>
    </row>
    <row r="26" spans="1:265" x14ac:dyDescent="0.25">
      <c r="A26" t="s">
        <v>1431</v>
      </c>
      <c r="B26" t="s">
        <v>2498</v>
      </c>
      <c r="C26" t="s">
        <v>74</v>
      </c>
      <c r="D26" t="s">
        <v>74</v>
      </c>
      <c r="E26" t="s">
        <v>75</v>
      </c>
      <c r="F26" t="s">
        <v>76</v>
      </c>
      <c r="G26" t="s">
        <v>1432</v>
      </c>
      <c r="M26" t="str">
        <f t="shared" si="13"/>
        <v xml:space="preserve"> </v>
      </c>
      <c r="N26" t="str">
        <f t="shared" si="14"/>
        <v xml:space="preserve"> </v>
      </c>
      <c r="P26" t="str">
        <f t="shared" si="15"/>
        <v xml:space="preserve"> </v>
      </c>
      <c r="Q26" t="str">
        <f t="shared" si="16"/>
        <v xml:space="preserve"> </v>
      </c>
      <c r="S26" t="str">
        <f t="shared" si="17"/>
        <v xml:space="preserve"> </v>
      </c>
      <c r="T26" t="str">
        <f t="shared" si="18"/>
        <v xml:space="preserve"> </v>
      </c>
      <c r="V26" t="s">
        <v>73</v>
      </c>
      <c r="W26" t="s">
        <v>73</v>
      </c>
      <c r="X26" t="s">
        <v>2894</v>
      </c>
      <c r="Y26" s="36" t="s">
        <v>385</v>
      </c>
      <c r="Z26" s="36"/>
      <c r="AA26" s="36" t="str">
        <f t="shared" si="19"/>
        <v>Stadsommuring</v>
      </c>
      <c r="AB26" s="36" t="str">
        <f t="shared" si="20"/>
        <v>Walled city</v>
      </c>
      <c r="AC26">
        <v>2</v>
      </c>
      <c r="AD26" s="37">
        <v>0</v>
      </c>
      <c r="AE26" s="36">
        <v>0</v>
      </c>
      <c r="AF26" s="36">
        <v>0</v>
      </c>
      <c r="AG26" s="38">
        <v>307.58792121665732</v>
      </c>
      <c r="AH26">
        <v>0</v>
      </c>
      <c r="AI26" s="14">
        <v>307.58792121665738</v>
      </c>
      <c r="AJ26" s="14">
        <v>0</v>
      </c>
      <c r="AK26">
        <v>0</v>
      </c>
      <c r="AL26">
        <v>0</v>
      </c>
      <c r="AM26" s="15">
        <v>307.58792121665732</v>
      </c>
      <c r="AN26">
        <v>0</v>
      </c>
      <c r="AO26" s="14">
        <v>237.07879293846855</v>
      </c>
      <c r="AP26" s="14">
        <v>0</v>
      </c>
      <c r="AQ26">
        <v>0</v>
      </c>
      <c r="AR26">
        <v>0</v>
      </c>
      <c r="AS26" s="15">
        <v>237.07879293846855</v>
      </c>
      <c r="AT26">
        <v>0</v>
      </c>
      <c r="AU26" s="14">
        <v>61.655062377173145</v>
      </c>
      <c r="AV26" s="14">
        <v>0</v>
      </c>
      <c r="AW26" s="15">
        <v>0</v>
      </c>
      <c r="AX26">
        <v>0</v>
      </c>
      <c r="AY26" s="15">
        <v>61.655062377173145</v>
      </c>
      <c r="AZ26">
        <f>COUNT(#REF!)</f>
        <v>0</v>
      </c>
      <c r="BB26" s="15">
        <v>1</v>
      </c>
      <c r="BN26">
        <v>2</v>
      </c>
      <c r="CN26">
        <f>SQRT(34)</f>
        <v>5.8309518948453007</v>
      </c>
      <c r="CW26">
        <v>5</v>
      </c>
      <c r="CX26">
        <v>2</v>
      </c>
      <c r="CZ26">
        <v>7</v>
      </c>
      <c r="DK26">
        <v>2</v>
      </c>
    </row>
    <row r="27" spans="1:265" ht="14.4" x14ac:dyDescent="0.3">
      <c r="A27" t="s">
        <v>1461</v>
      </c>
      <c r="B27" s="34" t="s">
        <v>3131</v>
      </c>
      <c r="C27" t="s">
        <v>1462</v>
      </c>
      <c r="D27" t="s">
        <v>1463</v>
      </c>
      <c r="E27" t="s">
        <v>75</v>
      </c>
      <c r="F27" t="s">
        <v>76</v>
      </c>
      <c r="G27" t="s">
        <v>1464</v>
      </c>
      <c r="J27" t="s">
        <v>1465</v>
      </c>
      <c r="K27" t="s">
        <v>1465</v>
      </c>
      <c r="M27" t="str">
        <f t="shared" si="13"/>
        <v xml:space="preserve"> </v>
      </c>
      <c r="N27" t="str">
        <f t="shared" si="14"/>
        <v xml:space="preserve"> </v>
      </c>
      <c r="P27" t="str">
        <f t="shared" si="15"/>
        <v xml:space="preserve"> </v>
      </c>
      <c r="Q27" t="str">
        <f t="shared" si="16"/>
        <v xml:space="preserve"> </v>
      </c>
      <c r="S27" t="str">
        <f t="shared" si="17"/>
        <v xml:space="preserve"> </v>
      </c>
      <c r="T27" t="str">
        <f t="shared" si="18"/>
        <v xml:space="preserve"> </v>
      </c>
      <c r="X27" t="s">
        <v>2891</v>
      </c>
      <c r="Y27" t="s">
        <v>423</v>
      </c>
      <c r="Z27" t="s">
        <v>73</v>
      </c>
      <c r="AA27" t="str">
        <f t="shared" si="19"/>
        <v>Oudheid</v>
      </c>
      <c r="AB27" t="str">
        <f t="shared" si="20"/>
        <v>Prehistoric</v>
      </c>
      <c r="AC27">
        <v>5</v>
      </c>
      <c r="AD27" s="29" t="e">
        <f>(2*AH27+BJ27)/2.1</f>
        <v>#REF!</v>
      </c>
      <c r="AE27" s="40">
        <v>550</v>
      </c>
      <c r="AF27" s="41">
        <v>2</v>
      </c>
      <c r="AG27" s="30">
        <v>814</v>
      </c>
      <c r="AH27" s="29" t="e">
        <f>(2*BK27+BL27/2)/3</f>
        <v>#REF!</v>
      </c>
      <c r="AI27">
        <v>621</v>
      </c>
      <c r="AJ27" s="29" t="e">
        <f>(2*AH27+BE27)/2.1</f>
        <v>#REF!</v>
      </c>
      <c r="AK27" s="31">
        <f>(500+AL27*BF27)/(100*(AL27+1))</f>
        <v>7.5</v>
      </c>
      <c r="AL27" s="30">
        <v>1</v>
      </c>
      <c r="AM27">
        <v>654</v>
      </c>
      <c r="AN27" s="14">
        <v>103.7050354042608</v>
      </c>
      <c r="AO27" s="14">
        <v>0</v>
      </c>
      <c r="AP27">
        <v>0</v>
      </c>
      <c r="AQ27">
        <v>835</v>
      </c>
      <c r="AR27" s="15">
        <v>103.70503540426074</v>
      </c>
      <c r="AS27">
        <v>838</v>
      </c>
      <c r="AT27" s="14">
        <v>32.074895864741364</v>
      </c>
      <c r="AU27" s="14">
        <v>0</v>
      </c>
      <c r="AV27">
        <v>0</v>
      </c>
      <c r="AW27">
        <v>835</v>
      </c>
      <c r="AX27" s="15">
        <v>32.074895864741364</v>
      </c>
      <c r="AY27">
        <v>817</v>
      </c>
      <c r="AZ27" s="14">
        <v>29.352182518111363</v>
      </c>
      <c r="BA27" s="14">
        <v>0</v>
      </c>
      <c r="BB27" s="15">
        <v>0</v>
      </c>
      <c r="BC27">
        <v>831</v>
      </c>
      <c r="BD27" s="15">
        <v>29.352182518111363</v>
      </c>
      <c r="BE27" s="29">
        <f>(500+BG27*100)/(AL27+1)+AL27/5</f>
        <v>750.2</v>
      </c>
      <c r="BF27" s="29">
        <v>1000</v>
      </c>
      <c r="BG27" s="35">
        <v>10</v>
      </c>
      <c r="BH27" s="31"/>
      <c r="BI27" s="42">
        <f>AE27*AF27/100</f>
        <v>11</v>
      </c>
      <c r="BJ27" s="29">
        <f>(500+BI27*100)/(AF27+1)+AF27/5</f>
        <v>533.73333333333335</v>
      </c>
      <c r="BK27" s="29" t="e">
        <f>(5*SUM(EF27:FC27)+BP27*factor3)*BM27</f>
        <v>#REF!</v>
      </c>
      <c r="BL27" s="29" t="e">
        <f>SUM(FD27:GQ27)+BN27+BO27</f>
        <v>#REF!</v>
      </c>
      <c r="BM27" s="31">
        <v>1.2</v>
      </c>
      <c r="BN27" s="29">
        <v>224</v>
      </c>
      <c r="BO27" s="29"/>
      <c r="BP27">
        <f>COUNT(BR27:CO27)</f>
        <v>1</v>
      </c>
      <c r="BV27">
        <v>1</v>
      </c>
      <c r="EF27" t="e">
        <f>GT27*#REF!</f>
        <v>#REF!</v>
      </c>
      <c r="EG27" t="e">
        <f>GU27*#REF!</f>
        <v>#REF!</v>
      </c>
      <c r="EH27" t="e">
        <f>GV27*#REF!</f>
        <v>#REF!</v>
      </c>
      <c r="EI27" t="e">
        <f>GW27*#REF!</f>
        <v>#REF!</v>
      </c>
      <c r="EJ27" t="e">
        <f>GX27*#REF!</f>
        <v>#REF!</v>
      </c>
      <c r="EK27" t="e">
        <f>GY27*#REF!</f>
        <v>#REF!</v>
      </c>
      <c r="EL27" t="e">
        <f>GZ27*#REF!</f>
        <v>#REF!</v>
      </c>
      <c r="EM27" t="e">
        <f>HA27*#REF!</f>
        <v>#REF!</v>
      </c>
      <c r="EN27" t="e">
        <f>HB27*#REF!</f>
        <v>#REF!</v>
      </c>
      <c r="EO27" t="e">
        <f>HC27*#REF!</f>
        <v>#REF!</v>
      </c>
      <c r="EP27" t="e">
        <f>HD27*#REF!</f>
        <v>#REF!</v>
      </c>
      <c r="EQ27" t="e">
        <f>HE27*#REF!</f>
        <v>#REF!</v>
      </c>
      <c r="ER27" t="e">
        <f>HF27*#REF!</f>
        <v>#REF!</v>
      </c>
      <c r="ES27" t="e">
        <f>HG27*#REF!</f>
        <v>#REF!</v>
      </c>
      <c r="ET27" t="e">
        <f>HH27*#REF!</f>
        <v>#REF!</v>
      </c>
      <c r="EU27" t="e">
        <f>HI27*#REF!</f>
        <v>#REF!</v>
      </c>
      <c r="EV27" t="e">
        <f>HJ27*#REF!</f>
        <v>#REF!</v>
      </c>
      <c r="EW27" t="e">
        <f>HK27*#REF!</f>
        <v>#REF!</v>
      </c>
      <c r="EX27" t="e">
        <f>HL27*#REF!</f>
        <v>#REF!</v>
      </c>
      <c r="EY27" t="e">
        <f>HM27*#REF!</f>
        <v>#REF!</v>
      </c>
      <c r="EZ27" t="e">
        <f>HN27*#REF!</f>
        <v>#REF!</v>
      </c>
      <c r="FA27" t="e">
        <f>HO27*#REF!</f>
        <v>#REF!</v>
      </c>
      <c r="FB27" t="e">
        <f>HP27*#REF!</f>
        <v>#REF!</v>
      </c>
      <c r="FC27" t="e">
        <f>HQ27*#REF!</f>
        <v>#REF!</v>
      </c>
      <c r="FD27" t="e">
        <f>HR27*#REF!</f>
        <v>#REF!</v>
      </c>
      <c r="FE27" t="e">
        <f>HS27*#REF!</f>
        <v>#REF!</v>
      </c>
      <c r="FF27" t="e">
        <f>HT27*#REF!</f>
        <v>#REF!</v>
      </c>
      <c r="FG27" t="e">
        <f>HU27*#REF!</f>
        <v>#REF!</v>
      </c>
      <c r="FH27" t="e">
        <f>HV27*#REF!</f>
        <v>#REF!</v>
      </c>
      <c r="FI27" t="e">
        <f>HW27*#REF!</f>
        <v>#REF!</v>
      </c>
      <c r="FJ27" t="e">
        <f>HX27*#REF!</f>
        <v>#REF!</v>
      </c>
      <c r="FK27" t="e">
        <f>HY27*#REF!</f>
        <v>#REF!</v>
      </c>
      <c r="FL27" t="e">
        <f>HZ27*#REF!</f>
        <v>#REF!</v>
      </c>
      <c r="FM27" t="e">
        <f>IA27*#REF!</f>
        <v>#REF!</v>
      </c>
      <c r="FN27" t="e">
        <f>IB27*#REF!</f>
        <v>#REF!</v>
      </c>
      <c r="FO27" t="e">
        <f>IC27*#REF!</f>
        <v>#REF!</v>
      </c>
      <c r="FP27" t="e">
        <f>ID27*#REF!</f>
        <v>#REF!</v>
      </c>
      <c r="FQ27" t="e">
        <f>IE27*#REF!</f>
        <v>#REF!</v>
      </c>
      <c r="FR27" t="e">
        <f>IF27*#REF!</f>
        <v>#REF!</v>
      </c>
      <c r="FS27" t="e">
        <f>IG27*#REF!</f>
        <v>#REF!</v>
      </c>
      <c r="FT27" t="e">
        <f>IH27*#REF!</f>
        <v>#REF!</v>
      </c>
      <c r="FU27" t="e">
        <f>II27*#REF!</f>
        <v>#REF!</v>
      </c>
      <c r="FV27" t="e">
        <f>IJ27*#REF!</f>
        <v>#REF!</v>
      </c>
      <c r="FW27" t="e">
        <f>IK27*#REF!</f>
        <v>#REF!</v>
      </c>
      <c r="FX27" t="e">
        <f>IL27*#REF!</f>
        <v>#REF!</v>
      </c>
      <c r="FY27" t="e">
        <f>IM27*#REF!</f>
        <v>#REF!</v>
      </c>
      <c r="FZ27" t="e">
        <f>IN27*#REF!</f>
        <v>#REF!</v>
      </c>
      <c r="GA27" t="e">
        <f>IO27*#REF!</f>
        <v>#REF!</v>
      </c>
      <c r="GB27" t="e">
        <f>IP27*#REF!</f>
        <v>#REF!</v>
      </c>
      <c r="GC27" t="e">
        <f>IQ27*#REF!</f>
        <v>#REF!</v>
      </c>
      <c r="GD27" t="e">
        <f>IR27*#REF!</f>
        <v>#REF!</v>
      </c>
      <c r="GE27" t="e">
        <f>IS27*#REF!</f>
        <v>#REF!</v>
      </c>
      <c r="GF27" t="e">
        <f>IT27*#REF!</f>
        <v>#REF!</v>
      </c>
      <c r="GG27" t="e">
        <f>IU27*#REF!</f>
        <v>#REF!</v>
      </c>
      <c r="GH27" t="e">
        <f>IV27*#REF!</f>
        <v>#REF!</v>
      </c>
      <c r="GI27" t="e">
        <f>IW27*#REF!</f>
        <v>#REF!</v>
      </c>
      <c r="GJ27" t="e">
        <f>IX27*#REF!</f>
        <v>#REF!</v>
      </c>
      <c r="GK27" t="e">
        <f>IY27*#REF!</f>
        <v>#REF!</v>
      </c>
      <c r="GL27" t="e">
        <f>IZ27*#REF!</f>
        <v>#REF!</v>
      </c>
      <c r="GM27" t="e">
        <f>JA27*#REF!</f>
        <v>#REF!</v>
      </c>
      <c r="GN27" t="e">
        <f>JB27*#REF!</f>
        <v>#REF!</v>
      </c>
      <c r="GO27" t="e">
        <f>JC27*#REF!</f>
        <v>#REF!</v>
      </c>
      <c r="GP27" t="e">
        <f>JD27*#REF!</f>
        <v>#REF!</v>
      </c>
      <c r="GQ27" t="e">
        <f>JE27*#REF!</f>
        <v>#REF!</v>
      </c>
      <c r="GR27" t="e">
        <f>JF27*#REF!</f>
        <v>#REF!</v>
      </c>
      <c r="GT27">
        <f t="shared" ref="GT27:HY27" si="23">SQRT(BR27)</f>
        <v>0</v>
      </c>
      <c r="GU27">
        <f t="shared" si="23"/>
        <v>0</v>
      </c>
      <c r="GV27">
        <f t="shared" si="23"/>
        <v>0</v>
      </c>
      <c r="GW27">
        <f t="shared" si="23"/>
        <v>0</v>
      </c>
      <c r="GX27">
        <f t="shared" si="23"/>
        <v>1</v>
      </c>
      <c r="GY27">
        <f t="shared" si="23"/>
        <v>0</v>
      </c>
      <c r="GZ27">
        <f t="shared" si="23"/>
        <v>0</v>
      </c>
      <c r="HA27">
        <f t="shared" si="23"/>
        <v>0</v>
      </c>
      <c r="HB27">
        <f t="shared" si="23"/>
        <v>0</v>
      </c>
      <c r="HC27">
        <f t="shared" si="23"/>
        <v>0</v>
      </c>
      <c r="HD27">
        <f t="shared" si="23"/>
        <v>0</v>
      </c>
      <c r="HE27">
        <f t="shared" si="23"/>
        <v>0</v>
      </c>
      <c r="HF27">
        <f t="shared" si="23"/>
        <v>0</v>
      </c>
      <c r="HG27">
        <f t="shared" si="23"/>
        <v>0</v>
      </c>
      <c r="HH27">
        <f t="shared" si="23"/>
        <v>0</v>
      </c>
      <c r="HI27">
        <f t="shared" si="23"/>
        <v>0</v>
      </c>
      <c r="HJ27">
        <f t="shared" si="23"/>
        <v>0</v>
      </c>
      <c r="HK27">
        <f t="shared" si="23"/>
        <v>0</v>
      </c>
      <c r="HL27">
        <f t="shared" si="23"/>
        <v>0</v>
      </c>
      <c r="HM27">
        <f t="shared" si="23"/>
        <v>0</v>
      </c>
      <c r="HN27">
        <f t="shared" si="23"/>
        <v>0</v>
      </c>
      <c r="HO27">
        <f t="shared" si="23"/>
        <v>0</v>
      </c>
      <c r="HP27">
        <f t="shared" si="23"/>
        <v>0</v>
      </c>
      <c r="HQ27">
        <f t="shared" si="23"/>
        <v>0</v>
      </c>
      <c r="HR27">
        <f t="shared" si="23"/>
        <v>0</v>
      </c>
      <c r="HS27">
        <f t="shared" si="23"/>
        <v>0</v>
      </c>
      <c r="HT27">
        <f t="shared" si="23"/>
        <v>0</v>
      </c>
      <c r="HU27">
        <f t="shared" si="23"/>
        <v>0</v>
      </c>
      <c r="HV27">
        <f t="shared" si="23"/>
        <v>0</v>
      </c>
      <c r="HW27">
        <f t="shared" si="23"/>
        <v>0</v>
      </c>
      <c r="HX27">
        <f t="shared" si="23"/>
        <v>0</v>
      </c>
      <c r="HY27">
        <f t="shared" si="23"/>
        <v>0</v>
      </c>
      <c r="HZ27">
        <f t="shared" ref="HZ27:JE27" si="24">SQRT(CX27)</f>
        <v>0</v>
      </c>
      <c r="IA27">
        <f t="shared" si="24"/>
        <v>0</v>
      </c>
      <c r="IB27">
        <f t="shared" si="24"/>
        <v>0</v>
      </c>
      <c r="IC27">
        <f t="shared" si="24"/>
        <v>0</v>
      </c>
      <c r="ID27">
        <f t="shared" si="24"/>
        <v>0</v>
      </c>
      <c r="IE27">
        <f t="shared" si="24"/>
        <v>0</v>
      </c>
      <c r="IF27">
        <f t="shared" si="24"/>
        <v>0</v>
      </c>
      <c r="IG27">
        <f t="shared" si="24"/>
        <v>0</v>
      </c>
      <c r="IH27">
        <f t="shared" si="24"/>
        <v>0</v>
      </c>
      <c r="II27">
        <f t="shared" si="24"/>
        <v>0</v>
      </c>
      <c r="IJ27">
        <f t="shared" si="24"/>
        <v>0</v>
      </c>
      <c r="IK27">
        <f t="shared" si="24"/>
        <v>0</v>
      </c>
      <c r="IL27">
        <f t="shared" si="24"/>
        <v>0</v>
      </c>
      <c r="IM27">
        <f t="shared" si="24"/>
        <v>0</v>
      </c>
      <c r="IN27">
        <f t="shared" si="24"/>
        <v>0</v>
      </c>
      <c r="IO27">
        <f t="shared" si="24"/>
        <v>0</v>
      </c>
      <c r="IP27">
        <f t="shared" si="24"/>
        <v>0</v>
      </c>
      <c r="IQ27">
        <f t="shared" si="24"/>
        <v>0</v>
      </c>
      <c r="IR27">
        <f t="shared" si="24"/>
        <v>0</v>
      </c>
      <c r="IS27">
        <f t="shared" si="24"/>
        <v>0</v>
      </c>
      <c r="IT27">
        <f t="shared" si="24"/>
        <v>0</v>
      </c>
      <c r="IU27">
        <f t="shared" si="24"/>
        <v>0</v>
      </c>
      <c r="IV27">
        <f t="shared" si="24"/>
        <v>0</v>
      </c>
      <c r="IW27">
        <f t="shared" si="24"/>
        <v>0</v>
      </c>
      <c r="IX27">
        <f t="shared" si="24"/>
        <v>0</v>
      </c>
      <c r="IY27">
        <f t="shared" si="24"/>
        <v>0</v>
      </c>
      <c r="IZ27">
        <f t="shared" si="24"/>
        <v>0</v>
      </c>
      <c r="JA27">
        <f t="shared" si="24"/>
        <v>0</v>
      </c>
      <c r="JB27">
        <f t="shared" si="24"/>
        <v>0</v>
      </c>
      <c r="JC27">
        <f t="shared" si="24"/>
        <v>0</v>
      </c>
      <c r="JD27">
        <f t="shared" si="24"/>
        <v>0</v>
      </c>
      <c r="JE27">
        <f t="shared" si="24"/>
        <v>0</v>
      </c>
    </row>
    <row r="28" spans="1:265" x14ac:dyDescent="0.25">
      <c r="A28" t="s">
        <v>1495</v>
      </c>
      <c r="B28" t="s">
        <v>2516</v>
      </c>
      <c r="C28" t="s">
        <v>149</v>
      </c>
      <c r="D28" t="s">
        <v>150</v>
      </c>
      <c r="E28" t="s">
        <v>151</v>
      </c>
      <c r="F28" t="s">
        <v>152</v>
      </c>
      <c r="G28" t="s">
        <v>1496</v>
      </c>
      <c r="H28" t="s">
        <v>154</v>
      </c>
      <c r="I28" t="s">
        <v>155</v>
      </c>
      <c r="L28">
        <v>16</v>
      </c>
      <c r="M28" t="str">
        <f t="shared" si="13"/>
        <v>Waterburcht (Slot)</v>
      </c>
      <c r="N28" t="str">
        <f t="shared" si="14"/>
        <v>Water castle</v>
      </c>
      <c r="O28">
        <v>3</v>
      </c>
      <c r="P28" t="str">
        <f t="shared" si="15"/>
        <v>Rechthoekig of veelhoekig</v>
      </c>
      <c r="Q28" t="str">
        <f t="shared" si="16"/>
        <v>Rectangular or polygonal</v>
      </c>
      <c r="R28">
        <v>5</v>
      </c>
      <c r="S28" t="str">
        <f t="shared" si="17"/>
        <v>Intakt</v>
      </c>
      <c r="T28" t="str">
        <f t="shared" si="18"/>
        <v>Intact</v>
      </c>
      <c r="U28">
        <v>1</v>
      </c>
      <c r="V28" t="s">
        <v>73</v>
      </c>
      <c r="W28" t="s">
        <v>73</v>
      </c>
      <c r="X28" t="s">
        <v>2892</v>
      </c>
      <c r="Y28" t="s">
        <v>227</v>
      </c>
      <c r="Z28" s="20" t="s">
        <v>1497</v>
      </c>
      <c r="AA28" t="str">
        <f t="shared" si="19"/>
        <v>Renaissance</v>
      </c>
      <c r="AB28" t="str">
        <f t="shared" si="20"/>
        <v>Renaissance</v>
      </c>
      <c r="AC28">
        <v>1</v>
      </c>
      <c r="AD28" s="14">
        <v>0</v>
      </c>
      <c r="AE28">
        <v>0</v>
      </c>
      <c r="AF28">
        <v>0</v>
      </c>
      <c r="AG28" s="15">
        <v>406.4219392186252</v>
      </c>
      <c r="AH28">
        <v>0</v>
      </c>
      <c r="AI28" s="14">
        <v>406.4219392186252</v>
      </c>
      <c r="AJ28" s="14">
        <v>0</v>
      </c>
      <c r="AK28">
        <v>0</v>
      </c>
      <c r="AL28">
        <v>0</v>
      </c>
      <c r="AM28" s="15">
        <v>406.4219392186252</v>
      </c>
      <c r="AN28">
        <v>0</v>
      </c>
      <c r="AO28" s="14">
        <v>482.20599661495811</v>
      </c>
      <c r="AP28" s="14">
        <v>0</v>
      </c>
      <c r="AQ28">
        <v>0</v>
      </c>
      <c r="AR28">
        <v>0</v>
      </c>
      <c r="AS28" s="15">
        <v>482.20599661495811</v>
      </c>
      <c r="AT28">
        <v>0</v>
      </c>
      <c r="AU28" s="14">
        <v>493.27235778203385</v>
      </c>
      <c r="AV28" s="14">
        <v>0</v>
      </c>
      <c r="AW28" s="15">
        <v>0</v>
      </c>
      <c r="AX28">
        <v>0</v>
      </c>
      <c r="AY28" s="15">
        <v>493.27235778203385</v>
      </c>
      <c r="AZ28">
        <f>COUNT(#REF!)</f>
        <v>0</v>
      </c>
      <c r="BA28">
        <v>5</v>
      </c>
      <c r="BB28" s="15">
        <v>1</v>
      </c>
      <c r="BQ28">
        <v>1</v>
      </c>
      <c r="BR28">
        <v>1</v>
      </c>
      <c r="CC28">
        <v>4</v>
      </c>
      <c r="CD28">
        <v>2</v>
      </c>
      <c r="CF28">
        <v>10</v>
      </c>
      <c r="CP28">
        <v>2</v>
      </c>
      <c r="DE28">
        <v>3</v>
      </c>
      <c r="DQ28" s="20"/>
    </row>
    <row r="29" spans="1:265" x14ac:dyDescent="0.25">
      <c r="A29" t="s">
        <v>1544</v>
      </c>
      <c r="B29" t="s">
        <v>2695</v>
      </c>
      <c r="C29" t="s">
        <v>137</v>
      </c>
      <c r="D29" t="s">
        <v>138</v>
      </c>
      <c r="E29" t="s">
        <v>139</v>
      </c>
      <c r="F29" t="s">
        <v>140</v>
      </c>
      <c r="G29" t="s">
        <v>295</v>
      </c>
      <c r="H29" t="s">
        <v>689</v>
      </c>
      <c r="I29" t="s">
        <v>690</v>
      </c>
      <c r="J29" t="s">
        <v>1545</v>
      </c>
      <c r="K29" t="s">
        <v>1546</v>
      </c>
      <c r="M29" t="str">
        <f t="shared" si="13"/>
        <v>Rotskasteel</v>
      </c>
      <c r="N29" t="str">
        <f t="shared" si="14"/>
        <v>Rock castle</v>
      </c>
      <c r="O29">
        <v>2</v>
      </c>
      <c r="P29" t="str">
        <f t="shared" si="15"/>
        <v xml:space="preserve"> </v>
      </c>
      <c r="Q29" t="str">
        <f t="shared" si="16"/>
        <v xml:space="preserve"> </v>
      </c>
      <c r="S29" t="str">
        <f t="shared" si="17"/>
        <v xml:space="preserve"> </v>
      </c>
      <c r="T29" t="str">
        <f t="shared" si="18"/>
        <v xml:space="preserve"> </v>
      </c>
      <c r="X29" t="s">
        <v>2893</v>
      </c>
      <c r="Y29" t="s">
        <v>2724</v>
      </c>
      <c r="AA29" t="str">
        <f t="shared" si="19"/>
        <v>Romantiek</v>
      </c>
      <c r="AB29" t="str">
        <f t="shared" si="20"/>
        <v>Romantic</v>
      </c>
      <c r="AC29">
        <v>7</v>
      </c>
      <c r="AD29" s="14">
        <v>0</v>
      </c>
      <c r="AE29">
        <v>0</v>
      </c>
      <c r="AF29">
        <v>0</v>
      </c>
      <c r="AG29" s="15">
        <v>248.16379590151169</v>
      </c>
      <c r="AH29">
        <v>0</v>
      </c>
      <c r="AI29" s="14">
        <v>248.16379590151166</v>
      </c>
      <c r="AJ29" s="14">
        <v>0</v>
      </c>
      <c r="AK29">
        <v>0</v>
      </c>
      <c r="AL29">
        <v>0</v>
      </c>
      <c r="AM29" s="15">
        <v>248.16379590151169</v>
      </c>
      <c r="AN29">
        <v>0</v>
      </c>
      <c r="AO29" s="14">
        <v>406.91290371892092</v>
      </c>
      <c r="AP29" s="14">
        <v>0</v>
      </c>
      <c r="AQ29">
        <v>0</v>
      </c>
      <c r="AR29">
        <v>0</v>
      </c>
      <c r="AS29" s="15">
        <v>406.91290371892092</v>
      </c>
      <c r="AT29">
        <v>0</v>
      </c>
      <c r="AU29" s="14">
        <v>390.63420800130473</v>
      </c>
      <c r="AV29" s="14">
        <v>0</v>
      </c>
      <c r="AW29" s="15">
        <v>0</v>
      </c>
      <c r="AX29">
        <v>0</v>
      </c>
      <c r="AY29" s="15">
        <v>390.63420800130473</v>
      </c>
      <c r="AZ29">
        <f>COUNT(#REF!)</f>
        <v>0</v>
      </c>
      <c r="BA29">
        <v>-1</v>
      </c>
      <c r="BB29" s="15"/>
      <c r="BE29">
        <v>2</v>
      </c>
      <c r="BQ29">
        <v>1</v>
      </c>
      <c r="BS29">
        <v>2</v>
      </c>
      <c r="CC29">
        <v>4</v>
      </c>
      <c r="CJ29">
        <v>2</v>
      </c>
      <c r="CK29">
        <v>5</v>
      </c>
      <c r="CV29">
        <v>2</v>
      </c>
      <c r="CX29">
        <v>2</v>
      </c>
      <c r="DC29">
        <v>1</v>
      </c>
      <c r="DE29">
        <v>1</v>
      </c>
    </row>
    <row r="30" spans="1:265" x14ac:dyDescent="0.25">
      <c r="A30" t="s">
        <v>1595</v>
      </c>
      <c r="B30" t="s">
        <v>1596</v>
      </c>
      <c r="C30" t="s">
        <v>282</v>
      </c>
      <c r="D30" t="s">
        <v>283</v>
      </c>
      <c r="E30" t="s">
        <v>162</v>
      </c>
      <c r="F30" t="s">
        <v>163</v>
      </c>
      <c r="G30" t="s">
        <v>1597</v>
      </c>
      <c r="H30" t="s">
        <v>518</v>
      </c>
      <c r="I30" t="s">
        <v>519</v>
      </c>
      <c r="M30" t="str">
        <f t="shared" si="13"/>
        <v xml:space="preserve"> </v>
      </c>
      <c r="N30" t="str">
        <f t="shared" si="14"/>
        <v xml:space="preserve"> </v>
      </c>
      <c r="P30" t="str">
        <f t="shared" si="15"/>
        <v>Mottekasteel</v>
      </c>
      <c r="Q30" t="str">
        <f t="shared" si="16"/>
        <v>Motte-and-bailey</v>
      </c>
      <c r="R30">
        <v>1</v>
      </c>
      <c r="S30" t="str">
        <f t="shared" si="17"/>
        <v>Ruïne/Restant</v>
      </c>
      <c r="T30" t="str">
        <f t="shared" si="18"/>
        <v>Ruined/Partly remained</v>
      </c>
      <c r="U30">
        <v>4</v>
      </c>
      <c r="V30" t="s">
        <v>73</v>
      </c>
      <c r="W30" t="s">
        <v>73</v>
      </c>
      <c r="X30" t="s">
        <v>2891</v>
      </c>
      <c r="Y30" t="s">
        <v>423</v>
      </c>
      <c r="AA30" t="str">
        <f t="shared" si="19"/>
        <v>Oudheid</v>
      </c>
      <c r="AB30" t="str">
        <f t="shared" si="20"/>
        <v>Prehistoric</v>
      </c>
      <c r="AC30">
        <v>5</v>
      </c>
      <c r="AD30" s="14">
        <v>0</v>
      </c>
      <c r="AE30">
        <v>0</v>
      </c>
      <c r="AF30">
        <v>0</v>
      </c>
      <c r="AG30" s="15">
        <v>217.1529567765013</v>
      </c>
      <c r="AH30">
        <v>0</v>
      </c>
      <c r="AI30" s="14">
        <v>217.15295677650124</v>
      </c>
      <c r="AJ30" s="14">
        <v>0</v>
      </c>
      <c r="AK30">
        <v>0</v>
      </c>
      <c r="AL30">
        <v>0</v>
      </c>
      <c r="AM30" s="15">
        <v>217.1529567765013</v>
      </c>
      <c r="AN30">
        <v>0</v>
      </c>
      <c r="AO30" s="14">
        <v>329.3863015037748</v>
      </c>
      <c r="AP30" s="14">
        <v>0</v>
      </c>
      <c r="AQ30">
        <v>0</v>
      </c>
      <c r="AR30">
        <v>0</v>
      </c>
      <c r="AS30" s="15">
        <v>329.3863015037748</v>
      </c>
      <c r="AT30">
        <v>0</v>
      </c>
      <c r="AU30" s="14">
        <v>290.00601147541545</v>
      </c>
      <c r="AV30" s="14">
        <v>0</v>
      </c>
      <c r="AW30" s="15">
        <v>0</v>
      </c>
      <c r="AX30">
        <v>0</v>
      </c>
      <c r="AY30" s="15">
        <v>290.00601147541545</v>
      </c>
      <c r="AZ30">
        <f>COUNT(#REF!)</f>
        <v>0</v>
      </c>
      <c r="BB30" s="15"/>
      <c r="BD30">
        <v>1</v>
      </c>
      <c r="BE30">
        <v>1</v>
      </c>
      <c r="BH30">
        <v>2</v>
      </c>
      <c r="BS30">
        <v>1</v>
      </c>
      <c r="BU30">
        <v>9</v>
      </c>
      <c r="CY30">
        <v>2</v>
      </c>
      <c r="CZ30">
        <v>1</v>
      </c>
      <c r="DH30">
        <v>3</v>
      </c>
    </row>
    <row r="31" spans="1:265" x14ac:dyDescent="0.25">
      <c r="A31" t="s">
        <v>3427</v>
      </c>
      <c r="B31" t="s">
        <v>3428</v>
      </c>
      <c r="C31" t="s">
        <v>74</v>
      </c>
      <c r="D31" t="s">
        <v>74</v>
      </c>
      <c r="J31" t="s">
        <v>3429</v>
      </c>
      <c r="K31" t="s">
        <v>3433</v>
      </c>
      <c r="M31" t="str">
        <f t="shared" si="13"/>
        <v>Rotskasteel</v>
      </c>
      <c r="N31" t="str">
        <f t="shared" si="14"/>
        <v>Rock castle</v>
      </c>
      <c r="O31">
        <v>2</v>
      </c>
      <c r="P31" t="str">
        <f t="shared" si="15"/>
        <v>Donjon binnen weermuren</v>
      </c>
      <c r="Q31" t="str">
        <f t="shared" si="16"/>
        <v>Donjon inside curtain wall</v>
      </c>
      <c r="R31">
        <v>6</v>
      </c>
      <c r="S31" t="str">
        <f t="shared" si="17"/>
        <v>Ruïne/Restant</v>
      </c>
      <c r="T31" t="str">
        <f t="shared" si="18"/>
        <v>Ruined/Partly remained</v>
      </c>
      <c r="U31">
        <v>4</v>
      </c>
      <c r="V31" t="s">
        <v>73</v>
      </c>
      <c r="W31" t="s">
        <v>73</v>
      </c>
      <c r="X31" t="s">
        <v>2891</v>
      </c>
      <c r="Y31" t="s">
        <v>423</v>
      </c>
      <c r="AA31" t="str">
        <f t="shared" si="19"/>
        <v>Oudheid</v>
      </c>
      <c r="AB31" t="str">
        <f t="shared" si="20"/>
        <v>Prehistoric</v>
      </c>
      <c r="AC31">
        <v>5</v>
      </c>
      <c r="AD31" s="14">
        <v>0</v>
      </c>
      <c r="AE31">
        <v>0</v>
      </c>
      <c r="AF31">
        <v>0</v>
      </c>
      <c r="AG31" s="15">
        <v>217.1529567765013</v>
      </c>
      <c r="AH31">
        <v>0</v>
      </c>
      <c r="AI31" s="14">
        <v>217.15295677650124</v>
      </c>
      <c r="AJ31" s="14">
        <v>0</v>
      </c>
      <c r="AK31">
        <v>0</v>
      </c>
      <c r="AL31">
        <v>0</v>
      </c>
      <c r="AM31" s="15">
        <v>217.1529567765013</v>
      </c>
      <c r="AN31">
        <v>0</v>
      </c>
      <c r="AO31" s="14">
        <v>329.3863015037748</v>
      </c>
      <c r="AP31" s="14">
        <v>0</v>
      </c>
      <c r="AQ31">
        <v>0</v>
      </c>
      <c r="AR31">
        <v>0</v>
      </c>
      <c r="AS31" s="15">
        <v>329.3863015037748</v>
      </c>
      <c r="AT31">
        <v>0</v>
      </c>
      <c r="AU31" s="14">
        <v>290.00601147541545</v>
      </c>
      <c r="AV31" s="14">
        <v>0</v>
      </c>
      <c r="AW31" s="15">
        <v>0</v>
      </c>
      <c r="AX31">
        <v>0</v>
      </c>
      <c r="AY31" s="15">
        <v>290.00601147541545</v>
      </c>
      <c r="AZ31">
        <f>COUNT(#REF!)</f>
        <v>0</v>
      </c>
      <c r="BB31" s="15"/>
      <c r="BD31">
        <v>1</v>
      </c>
      <c r="BE31">
        <v>1</v>
      </c>
      <c r="BH31">
        <v>2</v>
      </c>
      <c r="BS31">
        <v>1</v>
      </c>
      <c r="BU31">
        <v>9</v>
      </c>
      <c r="CY31">
        <v>2</v>
      </c>
      <c r="CZ31">
        <v>1</v>
      </c>
      <c r="DH31">
        <v>3</v>
      </c>
    </row>
    <row r="32" spans="1:265" x14ac:dyDescent="0.25">
      <c r="A32" t="s">
        <v>1688</v>
      </c>
      <c r="B32" t="s">
        <v>1689</v>
      </c>
      <c r="C32" s="28" t="s">
        <v>199</v>
      </c>
      <c r="D32" t="s">
        <v>200</v>
      </c>
      <c r="H32" t="s">
        <v>649</v>
      </c>
      <c r="I32" t="s">
        <v>650</v>
      </c>
      <c r="J32" s="28"/>
      <c r="K32" s="28"/>
      <c r="M32" t="str">
        <f t="shared" si="13"/>
        <v>Waterburcht (Slot)</v>
      </c>
      <c r="N32" t="str">
        <f t="shared" si="14"/>
        <v>Water castle</v>
      </c>
      <c r="O32">
        <v>3</v>
      </c>
      <c r="P32" t="str">
        <f t="shared" si="15"/>
        <v xml:space="preserve"> </v>
      </c>
      <c r="Q32" t="str">
        <f t="shared" si="16"/>
        <v xml:space="preserve"> </v>
      </c>
      <c r="S32" t="str">
        <f t="shared" si="17"/>
        <v xml:space="preserve"> </v>
      </c>
      <c r="T32" t="str">
        <f t="shared" si="18"/>
        <v xml:space="preserve"> </v>
      </c>
      <c r="V32" t="s">
        <v>73</v>
      </c>
      <c r="W32" t="s">
        <v>73</v>
      </c>
      <c r="X32" t="s">
        <v>2894</v>
      </c>
      <c r="Y32" t="s">
        <v>385</v>
      </c>
      <c r="AA32" t="str">
        <f t="shared" si="19"/>
        <v>Stadsommuring</v>
      </c>
      <c r="AB32" t="str">
        <f t="shared" si="20"/>
        <v>Walled city</v>
      </c>
      <c r="AC32">
        <v>2</v>
      </c>
      <c r="AD32" s="14">
        <v>333.33333333333007</v>
      </c>
      <c r="AE32">
        <v>3</v>
      </c>
      <c r="AF32">
        <v>0</v>
      </c>
      <c r="AG32" s="15">
        <v>151.8937198456521</v>
      </c>
      <c r="AH32">
        <v>0</v>
      </c>
      <c r="AI32" s="14">
        <v>401.89371984564957</v>
      </c>
      <c r="AJ32" s="14">
        <v>333.33333333333007</v>
      </c>
      <c r="AK32">
        <v>3</v>
      </c>
      <c r="AL32">
        <v>0</v>
      </c>
      <c r="AM32" s="15">
        <v>151.8937198456521</v>
      </c>
      <c r="AN32">
        <v>0</v>
      </c>
      <c r="AO32" s="14">
        <v>438.88172165318929</v>
      </c>
      <c r="AP32" s="14">
        <v>0</v>
      </c>
      <c r="AQ32">
        <v>0</v>
      </c>
      <c r="AR32">
        <v>0</v>
      </c>
      <c r="AS32" s="15">
        <v>438.88172165318929</v>
      </c>
      <c r="AT32">
        <v>0</v>
      </c>
      <c r="AU32" s="14">
        <v>408.08623366424229</v>
      </c>
      <c r="AV32" s="14">
        <v>0</v>
      </c>
      <c r="AW32" s="15">
        <v>0</v>
      </c>
      <c r="AX32">
        <v>0</v>
      </c>
      <c r="AY32" s="15">
        <v>408.08623366424229</v>
      </c>
      <c r="AZ32">
        <f>COUNT(#REF!)</f>
        <v>0</v>
      </c>
      <c r="BB32" s="15"/>
      <c r="BR32">
        <v>1</v>
      </c>
      <c r="CC32">
        <v>3</v>
      </c>
      <c r="CU32">
        <v>4</v>
      </c>
      <c r="CW32">
        <v>4</v>
      </c>
      <c r="CY32">
        <v>1</v>
      </c>
    </row>
    <row r="33" spans="1:284" x14ac:dyDescent="0.25">
      <c r="A33" s="4" t="s">
        <v>1725</v>
      </c>
      <c r="B33" s="4" t="s">
        <v>2693</v>
      </c>
      <c r="C33" s="28" t="s">
        <v>137</v>
      </c>
      <c r="D33" t="s">
        <v>138</v>
      </c>
      <c r="E33" t="s">
        <v>139</v>
      </c>
      <c r="F33" t="s">
        <v>140</v>
      </c>
      <c r="G33" t="s">
        <v>1726</v>
      </c>
      <c r="H33" t="s">
        <v>689</v>
      </c>
      <c r="I33" t="s">
        <v>690</v>
      </c>
      <c r="J33" s="28" t="s">
        <v>2592</v>
      </c>
      <c r="K33" s="28" t="s">
        <v>2593</v>
      </c>
      <c r="L33">
        <v>19</v>
      </c>
      <c r="M33" t="str">
        <f t="shared" si="13"/>
        <v>Rotskasteel</v>
      </c>
      <c r="N33" t="str">
        <f t="shared" si="14"/>
        <v>Rock castle</v>
      </c>
      <c r="O33">
        <v>2</v>
      </c>
      <c r="P33" t="str">
        <f t="shared" si="15"/>
        <v>Donjon in weermuren</v>
      </c>
      <c r="Q33" t="str">
        <f t="shared" si="16"/>
        <v>Donjon in curtain wall</v>
      </c>
      <c r="R33">
        <v>7</v>
      </c>
      <c r="S33" t="str">
        <f t="shared" si="17"/>
        <v>Intakt</v>
      </c>
      <c r="T33" t="str">
        <f t="shared" si="18"/>
        <v>Intact</v>
      </c>
      <c r="U33">
        <v>1</v>
      </c>
      <c r="V33" t="s">
        <v>73</v>
      </c>
      <c r="W33" t="s">
        <v>73</v>
      </c>
      <c r="X33" t="s">
        <v>2893</v>
      </c>
      <c r="Y33" t="s">
        <v>2724</v>
      </c>
      <c r="AA33" t="str">
        <f t="shared" si="19"/>
        <v>Romantiek</v>
      </c>
      <c r="AB33" t="str">
        <f t="shared" si="20"/>
        <v>Romantic</v>
      </c>
      <c r="AC33">
        <v>7</v>
      </c>
      <c r="AD33" s="14">
        <v>427.27272727272998</v>
      </c>
      <c r="AE33">
        <v>33</v>
      </c>
      <c r="AF33">
        <v>0</v>
      </c>
      <c r="AG33" s="15">
        <v>464.86960111521097</v>
      </c>
      <c r="AH33">
        <v>0</v>
      </c>
      <c r="AI33" s="14">
        <v>879.57548346815474</v>
      </c>
      <c r="AJ33" s="14">
        <v>427.27272727272998</v>
      </c>
      <c r="AK33">
        <v>33</v>
      </c>
      <c r="AL33">
        <v>0</v>
      </c>
      <c r="AM33" s="15">
        <v>464.86960111521097</v>
      </c>
      <c r="AN33">
        <v>0</v>
      </c>
      <c r="AO33" s="14">
        <v>695.771812166362</v>
      </c>
      <c r="AP33" s="14">
        <v>0</v>
      </c>
      <c r="AQ33">
        <v>0</v>
      </c>
      <c r="AR33">
        <v>0</v>
      </c>
      <c r="AS33" s="15">
        <v>695.771812166362</v>
      </c>
      <c r="AT33">
        <v>0</v>
      </c>
      <c r="AU33" s="14">
        <v>596.9512630370906</v>
      </c>
      <c r="AV33" s="14">
        <v>0</v>
      </c>
      <c r="AW33" s="15">
        <v>0</v>
      </c>
      <c r="AX33">
        <v>0</v>
      </c>
      <c r="AY33" s="15">
        <v>596.9512630370906</v>
      </c>
      <c r="AZ33">
        <f>COUNT(#REF!)</f>
        <v>0</v>
      </c>
      <c r="BA33">
        <v>-1</v>
      </c>
      <c r="BB33" s="15"/>
      <c r="BC33" s="15"/>
      <c r="BE33">
        <v>4</v>
      </c>
      <c r="BF33">
        <v>9</v>
      </c>
      <c r="BG33">
        <v>1</v>
      </c>
      <c r="BP33">
        <v>5</v>
      </c>
      <c r="BS33">
        <v>1</v>
      </c>
      <c r="BW33">
        <v>2</v>
      </c>
      <c r="CA33">
        <v>8</v>
      </c>
      <c r="CD33">
        <v>7</v>
      </c>
      <c r="CF33" s="15"/>
      <c r="CJ33">
        <v>6</v>
      </c>
      <c r="CK33">
        <v>10</v>
      </c>
      <c r="CU33">
        <v>3</v>
      </c>
      <c r="CV33">
        <v>1</v>
      </c>
      <c r="CX33">
        <v>3</v>
      </c>
      <c r="DB33">
        <v>4</v>
      </c>
      <c r="DE33">
        <v>1</v>
      </c>
      <c r="DI33">
        <v>1</v>
      </c>
    </row>
    <row r="34" spans="1:284" ht="14.4" x14ac:dyDescent="0.3">
      <c r="A34" t="s">
        <v>1824</v>
      </c>
      <c r="B34" s="34" t="s">
        <v>1825</v>
      </c>
      <c r="C34" t="s">
        <v>229</v>
      </c>
      <c r="D34" t="s">
        <v>229</v>
      </c>
      <c r="E34" t="s">
        <v>69</v>
      </c>
      <c r="F34" t="s">
        <v>70</v>
      </c>
      <c r="G34" t="s">
        <v>2083</v>
      </c>
      <c r="M34" t="str">
        <f t="shared" si="13"/>
        <v xml:space="preserve"> </v>
      </c>
      <c r="N34" t="str">
        <f t="shared" si="14"/>
        <v xml:space="preserve"> </v>
      </c>
      <c r="P34" t="str">
        <f t="shared" si="15"/>
        <v xml:space="preserve"> </v>
      </c>
      <c r="Q34" t="str">
        <f t="shared" si="16"/>
        <v xml:space="preserve"> </v>
      </c>
      <c r="S34" t="str">
        <f t="shared" si="17"/>
        <v xml:space="preserve"> </v>
      </c>
      <c r="T34" t="str">
        <f t="shared" si="18"/>
        <v xml:space="preserve"> </v>
      </c>
      <c r="V34" t="s">
        <v>73</v>
      </c>
      <c r="W34" t="s">
        <v>73</v>
      </c>
      <c r="X34" t="s">
        <v>2894</v>
      </c>
      <c r="Y34" t="s">
        <v>385</v>
      </c>
      <c r="AA34" t="str">
        <f t="shared" si="19"/>
        <v>Romantiek</v>
      </c>
      <c r="AB34" t="str">
        <f t="shared" si="20"/>
        <v>Romantic</v>
      </c>
      <c r="AC34">
        <v>7</v>
      </c>
      <c r="AD34" s="29" t="e">
        <f>(2*AH34+BJ34)/2.1</f>
        <v>#REF!</v>
      </c>
      <c r="AE34" s="40">
        <v>861.53846153845996</v>
      </c>
      <c r="AF34" s="41">
        <v>13</v>
      </c>
      <c r="AG34" s="30">
        <v>777</v>
      </c>
      <c r="AH34" s="29" t="e">
        <f>(2*BK34+BL34/2)/3</f>
        <v>#REF!</v>
      </c>
      <c r="AI34">
        <v>465</v>
      </c>
      <c r="AJ34" s="29" t="e">
        <f>(2*AH34+BE34)/2.1</f>
        <v>#REF!</v>
      </c>
      <c r="AK34" s="31">
        <f>(500+AL34*BF34)/(100*(AL34+1))</f>
        <v>8.3333333333333002</v>
      </c>
      <c r="AL34" s="30">
        <v>11</v>
      </c>
      <c r="AM34">
        <v>329</v>
      </c>
      <c r="AN34" s="14">
        <v>347.3941163237098</v>
      </c>
      <c r="AO34" s="14">
        <v>400</v>
      </c>
      <c r="AP34">
        <v>2</v>
      </c>
      <c r="AQ34">
        <v>908</v>
      </c>
      <c r="AR34" s="15">
        <v>80.727449657043209</v>
      </c>
      <c r="AS34">
        <v>532</v>
      </c>
      <c r="AT34" s="14">
        <v>150</v>
      </c>
      <c r="AU34" s="14">
        <v>150</v>
      </c>
      <c r="AV34">
        <v>1</v>
      </c>
      <c r="AW34">
        <v>908</v>
      </c>
      <c r="AX34" s="15">
        <v>0</v>
      </c>
      <c r="AY34">
        <v>872</v>
      </c>
      <c r="AZ34" s="14">
        <v>0</v>
      </c>
      <c r="BA34" s="14">
        <v>0</v>
      </c>
      <c r="BB34" s="15">
        <v>0</v>
      </c>
      <c r="BC34">
        <v>907</v>
      </c>
      <c r="BD34" s="15">
        <v>0</v>
      </c>
      <c r="BE34" s="29">
        <f>(500+BG34*100)/(AL34+1)+AL34/5</f>
        <v>835.53333333333342</v>
      </c>
      <c r="BF34" s="29">
        <v>863.63636363635999</v>
      </c>
      <c r="BG34" s="35">
        <v>95</v>
      </c>
      <c r="BH34" s="31"/>
      <c r="BI34" s="42">
        <f>AE34*AF34/100</f>
        <v>111.9999999999998</v>
      </c>
      <c r="BJ34" s="29">
        <f>(500+BI34*100)/(AF34+1)+AF34/5</f>
        <v>838.31428571428432</v>
      </c>
      <c r="BK34" s="29" t="e">
        <f>(5*SUM(EF34:FC34)+BP34*factor3)*BM34</f>
        <v>#REF!</v>
      </c>
      <c r="BL34" s="29" t="e">
        <f>SUM(FD34:GQ34)+BN34+BO34</f>
        <v>#REF!</v>
      </c>
      <c r="BM34" s="31">
        <v>1.2</v>
      </c>
      <c r="BN34" s="29">
        <v>224</v>
      </c>
      <c r="BO34" s="29">
        <v>224</v>
      </c>
      <c r="BP34">
        <f>COUNT(BR34:CO34)</f>
        <v>0</v>
      </c>
      <c r="EF34" t="e">
        <f>GS34*#REF!</f>
        <v>#REF!</v>
      </c>
      <c r="EG34" t="e">
        <f>GT34*#REF!</f>
        <v>#REF!</v>
      </c>
      <c r="EH34" t="e">
        <f>GU34*#REF!</f>
        <v>#REF!</v>
      </c>
      <c r="EI34" t="e">
        <f>GV34*#REF!</f>
        <v>#REF!</v>
      </c>
      <c r="EJ34" t="e">
        <f>GW34*#REF!</f>
        <v>#REF!</v>
      </c>
      <c r="EK34" t="e">
        <f>GX34*#REF!</f>
        <v>#REF!</v>
      </c>
      <c r="EL34" t="e">
        <f>GY34*#REF!</f>
        <v>#REF!</v>
      </c>
      <c r="EM34" t="e">
        <f>GZ34*#REF!</f>
        <v>#REF!</v>
      </c>
      <c r="EN34" t="e">
        <f>HA34*#REF!</f>
        <v>#REF!</v>
      </c>
      <c r="EO34" t="e">
        <f>HB34*#REF!</f>
        <v>#REF!</v>
      </c>
      <c r="EP34" t="e">
        <f>HC34*#REF!</f>
        <v>#REF!</v>
      </c>
      <c r="EQ34" t="e">
        <f>HD34*#REF!</f>
        <v>#REF!</v>
      </c>
      <c r="ER34" t="e">
        <f>HE34*#REF!</f>
        <v>#REF!</v>
      </c>
      <c r="ES34" t="e">
        <f>HF34*#REF!</f>
        <v>#REF!</v>
      </c>
      <c r="ET34" t="e">
        <f>HG34*#REF!</f>
        <v>#REF!</v>
      </c>
      <c r="EU34" t="e">
        <f>HH34*#REF!</f>
        <v>#REF!</v>
      </c>
      <c r="EV34" t="e">
        <f>HI34*#REF!</f>
        <v>#REF!</v>
      </c>
      <c r="EW34" t="e">
        <f>HJ34*#REF!</f>
        <v>#REF!</v>
      </c>
      <c r="EX34" t="e">
        <f>HK34*#REF!</f>
        <v>#REF!</v>
      </c>
      <c r="EY34" t="e">
        <f>HL34*#REF!</f>
        <v>#REF!</v>
      </c>
      <c r="EZ34" t="e">
        <f>HM34*#REF!</f>
        <v>#REF!</v>
      </c>
      <c r="FA34" t="e">
        <f>HN34*#REF!</f>
        <v>#REF!</v>
      </c>
      <c r="FB34" t="e">
        <f>HO34*#REF!</f>
        <v>#REF!</v>
      </c>
      <c r="FC34" t="e">
        <f>HP34*#REF!</f>
        <v>#REF!</v>
      </c>
      <c r="FD34" t="e">
        <f>HQ34*#REF!</f>
        <v>#REF!</v>
      </c>
      <c r="FE34" t="e">
        <f>HR34*#REF!</f>
        <v>#REF!</v>
      </c>
      <c r="FF34" t="e">
        <f>HS34*#REF!</f>
        <v>#REF!</v>
      </c>
      <c r="FG34" t="e">
        <f>HT34*#REF!</f>
        <v>#REF!</v>
      </c>
      <c r="FH34" t="e">
        <f>HU34*#REF!</f>
        <v>#REF!</v>
      </c>
      <c r="FI34" t="e">
        <f>HV34*#REF!</f>
        <v>#REF!</v>
      </c>
      <c r="FJ34" t="e">
        <f>HW34*#REF!</f>
        <v>#REF!</v>
      </c>
      <c r="FK34" t="e">
        <f>HX34*#REF!</f>
        <v>#REF!</v>
      </c>
      <c r="FL34" t="e">
        <f>HY34*#REF!</f>
        <v>#REF!</v>
      </c>
      <c r="FM34" t="e">
        <f>HZ34*#REF!</f>
        <v>#REF!</v>
      </c>
      <c r="FN34" t="e">
        <f>IA34*#REF!</f>
        <v>#REF!</v>
      </c>
      <c r="FO34" t="e">
        <f>IB34*#REF!</f>
        <v>#REF!</v>
      </c>
      <c r="FP34" t="e">
        <f>IC34*#REF!</f>
        <v>#REF!</v>
      </c>
      <c r="FQ34" t="e">
        <f>ID34*#REF!</f>
        <v>#REF!</v>
      </c>
      <c r="FR34" t="e">
        <f>IE34*#REF!</f>
        <v>#REF!</v>
      </c>
      <c r="FS34" t="e">
        <f>IF34*#REF!</f>
        <v>#REF!</v>
      </c>
      <c r="FT34" t="e">
        <f>IG34*#REF!</f>
        <v>#REF!</v>
      </c>
      <c r="FU34" t="e">
        <f>IH34*#REF!</f>
        <v>#REF!</v>
      </c>
      <c r="FV34" t="e">
        <f>II34*#REF!</f>
        <v>#REF!</v>
      </c>
      <c r="FW34" t="e">
        <f>IJ34*#REF!</f>
        <v>#REF!</v>
      </c>
      <c r="FX34" t="e">
        <f>IK34*#REF!</f>
        <v>#REF!</v>
      </c>
      <c r="FY34" t="e">
        <f>IL34*#REF!</f>
        <v>#REF!</v>
      </c>
      <c r="FZ34" t="e">
        <f>IM34*#REF!</f>
        <v>#REF!</v>
      </c>
      <c r="GA34" t="e">
        <f>IN34*#REF!</f>
        <v>#REF!</v>
      </c>
      <c r="GB34" t="e">
        <f>IO34*#REF!</f>
        <v>#REF!</v>
      </c>
      <c r="GC34" t="e">
        <f>IP34*#REF!</f>
        <v>#REF!</v>
      </c>
      <c r="GD34" t="e">
        <f>IQ34*#REF!</f>
        <v>#REF!</v>
      </c>
      <c r="GE34" t="e">
        <f>IR34*#REF!</f>
        <v>#REF!</v>
      </c>
      <c r="GF34" t="e">
        <f>IS34*#REF!</f>
        <v>#REF!</v>
      </c>
      <c r="GG34" t="e">
        <f>IT34*#REF!</f>
        <v>#REF!</v>
      </c>
      <c r="GH34" t="e">
        <f>IU34*#REF!</f>
        <v>#REF!</v>
      </c>
      <c r="GI34" t="e">
        <f>IV34*#REF!</f>
        <v>#REF!</v>
      </c>
      <c r="GJ34" t="e">
        <f>IW34*#REF!</f>
        <v>#REF!</v>
      </c>
      <c r="GK34" t="e">
        <f>IX34*#REF!</f>
        <v>#REF!</v>
      </c>
      <c r="GL34" t="e">
        <f>IY34*#REF!</f>
        <v>#REF!</v>
      </c>
      <c r="GM34" t="e">
        <f>IZ34*#REF!</f>
        <v>#REF!</v>
      </c>
      <c r="GN34" t="e">
        <f>JA34*#REF!</f>
        <v>#REF!</v>
      </c>
      <c r="GO34" t="e">
        <f>JB34*#REF!</f>
        <v>#REF!</v>
      </c>
      <c r="GP34" t="e">
        <f>JC34*#REF!</f>
        <v>#REF!</v>
      </c>
      <c r="GQ34" t="e">
        <f>JD34*#REF!</f>
        <v>#REF!</v>
      </c>
      <c r="GS34">
        <f t="shared" ref="GS34:HX34" si="25">SQRT(BR34)</f>
        <v>0</v>
      </c>
      <c r="GT34">
        <f t="shared" si="25"/>
        <v>0</v>
      </c>
      <c r="GU34">
        <f t="shared" si="25"/>
        <v>0</v>
      </c>
      <c r="GV34">
        <f t="shared" si="25"/>
        <v>0</v>
      </c>
      <c r="GW34">
        <f t="shared" si="25"/>
        <v>0</v>
      </c>
      <c r="GX34">
        <f t="shared" si="25"/>
        <v>0</v>
      </c>
      <c r="GY34">
        <f t="shared" si="25"/>
        <v>0</v>
      </c>
      <c r="GZ34">
        <f t="shared" si="25"/>
        <v>0</v>
      </c>
      <c r="HA34">
        <f t="shared" si="25"/>
        <v>0</v>
      </c>
      <c r="HB34">
        <f t="shared" si="25"/>
        <v>0</v>
      </c>
      <c r="HC34">
        <f t="shared" si="25"/>
        <v>0</v>
      </c>
      <c r="HD34">
        <f t="shared" si="25"/>
        <v>0</v>
      </c>
      <c r="HE34">
        <f t="shared" si="25"/>
        <v>0</v>
      </c>
      <c r="HF34">
        <f t="shared" si="25"/>
        <v>0</v>
      </c>
      <c r="HG34">
        <f t="shared" si="25"/>
        <v>0</v>
      </c>
      <c r="HH34">
        <f t="shared" si="25"/>
        <v>0</v>
      </c>
      <c r="HI34">
        <f t="shared" si="25"/>
        <v>0</v>
      </c>
      <c r="HJ34">
        <f t="shared" si="25"/>
        <v>0</v>
      </c>
      <c r="HK34">
        <f t="shared" si="25"/>
        <v>0</v>
      </c>
      <c r="HL34">
        <f t="shared" si="25"/>
        <v>0</v>
      </c>
      <c r="HM34">
        <f t="shared" si="25"/>
        <v>0</v>
      </c>
      <c r="HN34">
        <f t="shared" si="25"/>
        <v>0</v>
      </c>
      <c r="HO34">
        <f t="shared" si="25"/>
        <v>0</v>
      </c>
      <c r="HP34">
        <f t="shared" si="25"/>
        <v>0</v>
      </c>
      <c r="HQ34">
        <f t="shared" si="25"/>
        <v>0</v>
      </c>
      <c r="HR34">
        <f t="shared" si="25"/>
        <v>0</v>
      </c>
      <c r="HS34">
        <f t="shared" si="25"/>
        <v>0</v>
      </c>
      <c r="HT34">
        <f t="shared" si="25"/>
        <v>0</v>
      </c>
      <c r="HU34">
        <f t="shared" si="25"/>
        <v>0</v>
      </c>
      <c r="HV34">
        <f t="shared" si="25"/>
        <v>0</v>
      </c>
      <c r="HW34">
        <f t="shared" si="25"/>
        <v>0</v>
      </c>
      <c r="HX34">
        <f t="shared" si="25"/>
        <v>0</v>
      </c>
      <c r="HY34">
        <f t="shared" ref="HY34:JD34" si="26">SQRT(CX34)</f>
        <v>0</v>
      </c>
      <c r="HZ34">
        <f t="shared" si="26"/>
        <v>0</v>
      </c>
      <c r="IA34">
        <f t="shared" si="26"/>
        <v>0</v>
      </c>
      <c r="IB34">
        <f t="shared" si="26"/>
        <v>0</v>
      </c>
      <c r="IC34">
        <f t="shared" si="26"/>
        <v>0</v>
      </c>
      <c r="ID34">
        <f t="shared" si="26"/>
        <v>0</v>
      </c>
      <c r="IE34">
        <f t="shared" si="26"/>
        <v>0</v>
      </c>
      <c r="IF34">
        <f t="shared" si="26"/>
        <v>0</v>
      </c>
      <c r="IG34">
        <f t="shared" si="26"/>
        <v>0</v>
      </c>
      <c r="IH34">
        <f t="shared" si="26"/>
        <v>0</v>
      </c>
      <c r="II34">
        <f t="shared" si="26"/>
        <v>0</v>
      </c>
      <c r="IJ34">
        <f t="shared" si="26"/>
        <v>0</v>
      </c>
      <c r="IK34">
        <f t="shared" si="26"/>
        <v>0</v>
      </c>
      <c r="IL34">
        <f t="shared" si="26"/>
        <v>0</v>
      </c>
      <c r="IM34">
        <f t="shared" si="26"/>
        <v>0</v>
      </c>
      <c r="IN34">
        <f t="shared" si="26"/>
        <v>0</v>
      </c>
      <c r="IO34">
        <f t="shared" si="26"/>
        <v>0</v>
      </c>
      <c r="IP34">
        <f t="shared" si="26"/>
        <v>0</v>
      </c>
      <c r="IQ34">
        <f t="shared" si="26"/>
        <v>0</v>
      </c>
      <c r="IR34">
        <f t="shared" si="26"/>
        <v>0</v>
      </c>
      <c r="IS34">
        <f t="shared" si="26"/>
        <v>0</v>
      </c>
      <c r="IT34">
        <f t="shared" si="26"/>
        <v>0</v>
      </c>
      <c r="IU34">
        <f t="shared" si="26"/>
        <v>0</v>
      </c>
      <c r="IV34">
        <f t="shared" si="26"/>
        <v>0</v>
      </c>
      <c r="IW34">
        <f t="shared" si="26"/>
        <v>0</v>
      </c>
      <c r="IX34">
        <f t="shared" si="26"/>
        <v>0</v>
      </c>
      <c r="IY34">
        <f t="shared" si="26"/>
        <v>0</v>
      </c>
      <c r="IZ34">
        <f t="shared" si="26"/>
        <v>0</v>
      </c>
      <c r="JA34">
        <f t="shared" si="26"/>
        <v>0</v>
      </c>
      <c r="JB34">
        <f t="shared" si="26"/>
        <v>0</v>
      </c>
      <c r="JC34">
        <f t="shared" si="26"/>
        <v>0</v>
      </c>
      <c r="JD34">
        <f t="shared" si="26"/>
        <v>0</v>
      </c>
    </row>
    <row r="35" spans="1:284" x14ac:dyDescent="0.25">
      <c r="A35" t="s">
        <v>1829</v>
      </c>
      <c r="B35" t="s">
        <v>1830</v>
      </c>
      <c r="C35" t="s">
        <v>282</v>
      </c>
      <c r="D35" t="s">
        <v>283</v>
      </c>
      <c r="E35" t="s">
        <v>162</v>
      </c>
      <c r="F35" t="s">
        <v>163</v>
      </c>
      <c r="G35" t="s">
        <v>1631</v>
      </c>
      <c r="H35" t="s">
        <v>518</v>
      </c>
      <c r="I35" t="s">
        <v>519</v>
      </c>
      <c r="L35">
        <v>16</v>
      </c>
      <c r="M35" t="str">
        <f t="shared" si="13"/>
        <v xml:space="preserve"> </v>
      </c>
      <c r="N35" t="str">
        <f t="shared" si="14"/>
        <v xml:space="preserve"> </v>
      </c>
      <c r="P35" t="str">
        <f t="shared" si="15"/>
        <v xml:space="preserve"> </v>
      </c>
      <c r="Q35" t="str">
        <f t="shared" si="16"/>
        <v xml:space="preserve"> </v>
      </c>
      <c r="S35" t="str">
        <f t="shared" si="17"/>
        <v xml:space="preserve"> </v>
      </c>
      <c r="T35" t="str">
        <f t="shared" si="18"/>
        <v xml:space="preserve"> </v>
      </c>
      <c r="V35" t="s">
        <v>73</v>
      </c>
      <c r="W35" t="s">
        <v>73</v>
      </c>
      <c r="X35" t="s">
        <v>193</v>
      </c>
      <c r="Y35" t="s">
        <v>194</v>
      </c>
      <c r="AA35" t="str">
        <f t="shared" si="19"/>
        <v>Fort</v>
      </c>
      <c r="AB35" t="str">
        <f t="shared" si="20"/>
        <v>Fortress</v>
      </c>
      <c r="AC35">
        <v>3</v>
      </c>
      <c r="AD35" s="14">
        <v>-300</v>
      </c>
      <c r="AE35">
        <v>1</v>
      </c>
      <c r="AF35">
        <v>0</v>
      </c>
      <c r="AG35" s="15">
        <v>154.15907461093062</v>
      </c>
      <c r="AH35">
        <v>0</v>
      </c>
      <c r="AI35" s="14">
        <v>4.1590746109305883</v>
      </c>
      <c r="AJ35" s="14">
        <v>-300</v>
      </c>
      <c r="AK35">
        <v>1</v>
      </c>
      <c r="AL35">
        <v>0</v>
      </c>
      <c r="AM35" s="15">
        <v>154.15907461093062</v>
      </c>
      <c r="AN35">
        <v>0</v>
      </c>
      <c r="AO35" s="14">
        <v>340.43259939071231</v>
      </c>
      <c r="AP35" s="14">
        <v>0</v>
      </c>
      <c r="AQ35">
        <v>0</v>
      </c>
      <c r="AR35">
        <v>0</v>
      </c>
      <c r="AS35" s="15">
        <v>340.43259939071231</v>
      </c>
      <c r="AT35">
        <v>0</v>
      </c>
      <c r="AU35" s="14">
        <v>311.28834485190566</v>
      </c>
      <c r="AV35" s="14">
        <v>0</v>
      </c>
      <c r="AW35" s="15">
        <v>0</v>
      </c>
      <c r="AX35">
        <v>0</v>
      </c>
      <c r="AY35" s="15">
        <v>311.28834485190566</v>
      </c>
      <c r="AZ35">
        <f>COUNT(#REF!)</f>
        <v>0</v>
      </c>
      <c r="BB35" s="15"/>
      <c r="BE35">
        <v>1</v>
      </c>
      <c r="BH35">
        <v>2</v>
      </c>
      <c r="BR35">
        <v>1</v>
      </c>
      <c r="CC35">
        <v>3</v>
      </c>
      <c r="CZ35">
        <v>1</v>
      </c>
    </row>
    <row r="36" spans="1:284" x14ac:dyDescent="0.25">
      <c r="A36" t="s">
        <v>1864</v>
      </c>
      <c r="B36" t="s">
        <v>1865</v>
      </c>
      <c r="C36" t="s">
        <v>471</v>
      </c>
      <c r="D36" t="s">
        <v>472</v>
      </c>
      <c r="E36" t="s">
        <v>93</v>
      </c>
      <c r="F36" t="s">
        <v>94</v>
      </c>
      <c r="G36" t="s">
        <v>1866</v>
      </c>
      <c r="M36" t="str">
        <f t="shared" si="13"/>
        <v>Stadsburcht</v>
      </c>
      <c r="N36" t="str">
        <f t="shared" si="14"/>
        <v>City castle</v>
      </c>
      <c r="O36">
        <v>5</v>
      </c>
      <c r="P36" t="str">
        <f t="shared" si="15"/>
        <v xml:space="preserve"> </v>
      </c>
      <c r="Q36" t="str">
        <f t="shared" si="16"/>
        <v xml:space="preserve"> </v>
      </c>
      <c r="S36" t="str">
        <f t="shared" si="17"/>
        <v xml:space="preserve"> </v>
      </c>
      <c r="T36" t="str">
        <f t="shared" si="18"/>
        <v xml:space="preserve"> </v>
      </c>
      <c r="X36" t="s">
        <v>2892</v>
      </c>
      <c r="Y36" t="s">
        <v>227</v>
      </c>
      <c r="AA36" t="str">
        <f t="shared" si="19"/>
        <v>Renaissance</v>
      </c>
      <c r="AB36" t="str">
        <f t="shared" si="20"/>
        <v>Renaissance</v>
      </c>
      <c r="AC36">
        <v>1</v>
      </c>
      <c r="AD36" s="14">
        <v>0</v>
      </c>
      <c r="AE36">
        <v>0</v>
      </c>
      <c r="AF36">
        <v>0</v>
      </c>
      <c r="AG36" s="15">
        <v>96.876677280483975</v>
      </c>
      <c r="AH36">
        <v>0</v>
      </c>
      <c r="AI36" s="14">
        <v>96.876677280483932</v>
      </c>
      <c r="AJ36" s="14">
        <v>0</v>
      </c>
      <c r="AK36">
        <v>0</v>
      </c>
      <c r="AL36">
        <v>0</v>
      </c>
      <c r="AM36" s="15">
        <v>96.876677280483975</v>
      </c>
      <c r="AN36">
        <v>0</v>
      </c>
      <c r="AO36" s="14">
        <v>359.16561584824132</v>
      </c>
      <c r="AP36" s="14">
        <v>0</v>
      </c>
      <c r="AQ36">
        <v>0</v>
      </c>
      <c r="AR36">
        <v>0</v>
      </c>
      <c r="AS36" s="15">
        <v>359.16561584824132</v>
      </c>
      <c r="AT36">
        <v>0</v>
      </c>
      <c r="AU36" s="14">
        <v>393.58742524257212</v>
      </c>
      <c r="AV36" s="14">
        <v>0</v>
      </c>
      <c r="AW36" s="15">
        <v>0</v>
      </c>
      <c r="AX36">
        <v>0</v>
      </c>
      <c r="AY36" s="15">
        <v>393.58742524257212</v>
      </c>
      <c r="AZ36">
        <f>COUNT(#REF!)</f>
        <v>0</v>
      </c>
      <c r="BB36" s="15"/>
      <c r="CC36">
        <v>4</v>
      </c>
      <c r="CU36">
        <v>4</v>
      </c>
      <c r="DD36">
        <v>42</v>
      </c>
    </row>
    <row r="37" spans="1:284" ht="14.4" x14ac:dyDescent="0.3">
      <c r="A37" s="39" t="s">
        <v>3400</v>
      </c>
      <c r="B37" s="34" t="s">
        <v>3530</v>
      </c>
      <c r="C37" t="s">
        <v>137</v>
      </c>
      <c r="D37" t="s">
        <v>138</v>
      </c>
      <c r="E37" t="s">
        <v>139</v>
      </c>
      <c r="F37" t="s">
        <v>140</v>
      </c>
      <c r="H37" t="s">
        <v>651</v>
      </c>
      <c r="I37" t="s">
        <v>652</v>
      </c>
      <c r="J37" s="28"/>
      <c r="K37" s="28"/>
      <c r="L37">
        <v>2</v>
      </c>
      <c r="M37" t="str">
        <f t="shared" si="13"/>
        <v xml:space="preserve"> </v>
      </c>
      <c r="N37" t="str">
        <f t="shared" si="14"/>
        <v xml:space="preserve"> </v>
      </c>
      <c r="P37" t="str">
        <f t="shared" si="15"/>
        <v xml:space="preserve"> </v>
      </c>
      <c r="Q37" t="str">
        <f t="shared" si="16"/>
        <v xml:space="preserve"> </v>
      </c>
      <c r="S37" t="str">
        <f t="shared" si="17"/>
        <v>Herbouwd/Verbouwd</v>
      </c>
      <c r="T37" t="str">
        <f t="shared" si="18"/>
        <v>Rebuild/Restored</v>
      </c>
      <c r="U37">
        <v>2</v>
      </c>
      <c r="V37" t="s">
        <v>73</v>
      </c>
      <c r="W37" t="s">
        <v>73</v>
      </c>
      <c r="X37" t="s">
        <v>2891</v>
      </c>
      <c r="Y37" t="s">
        <v>423</v>
      </c>
      <c r="AA37" t="str">
        <f t="shared" si="19"/>
        <v>Oudheid</v>
      </c>
      <c r="AB37" t="str">
        <f t="shared" si="20"/>
        <v>Prehistoric</v>
      </c>
      <c r="AC37">
        <v>5</v>
      </c>
      <c r="AD37" s="29" t="e">
        <f>(2*AH37+BJ37)/2.1</f>
        <v>#REF!</v>
      </c>
      <c r="AE37" s="40"/>
      <c r="AF37" s="41"/>
      <c r="AG37" s="30"/>
      <c r="AH37" s="29" t="e">
        <f>(2*BK37+BL37/2)/3</f>
        <v>#REF!</v>
      </c>
      <c r="AI37"/>
      <c r="AJ37" s="29" t="e">
        <f>(2*AH37+BE37)/2.1</f>
        <v>#REF!</v>
      </c>
      <c r="AK37" s="31">
        <f>(500+AL37*BF37)/(100*(AL37+1))</f>
        <v>5</v>
      </c>
      <c r="AL37" s="30"/>
      <c r="AN37" s="14"/>
      <c r="AO37" s="14"/>
      <c r="AP37"/>
      <c r="AQ37"/>
      <c r="AR37" s="15"/>
      <c r="AT37" s="14"/>
      <c r="AU37" s="14"/>
      <c r="AV37"/>
      <c r="AW37"/>
      <c r="AX37" s="15"/>
      <c r="AZ37" s="14"/>
      <c r="BA37" s="14"/>
      <c r="BB37" s="15"/>
      <c r="BD37" s="15"/>
      <c r="BE37" s="29">
        <f>(500+BG37*100)/(AL37+1)+AL37/5</f>
        <v>500</v>
      </c>
      <c r="BF37" s="29"/>
      <c r="BG37" s="35"/>
      <c r="BH37" s="29"/>
      <c r="BI37" s="42">
        <f>AE37*AF37/100</f>
        <v>0</v>
      </c>
      <c r="BJ37" s="29">
        <f>(500+BI37*100)/(AF37+1)+AF37/5</f>
        <v>500</v>
      </c>
      <c r="BK37" s="29" t="e">
        <f>(5*SUM(EF37:FC37)+BP37*factor3)*BM37</f>
        <v>#REF!</v>
      </c>
      <c r="BL37" s="29" t="e">
        <f>SUM(FD37:GQ37)+BN37+BO37</f>
        <v>#REF!</v>
      </c>
      <c r="BM37" s="31">
        <v>0.7</v>
      </c>
      <c r="BN37" s="29"/>
      <c r="BO37" s="29"/>
      <c r="BP37">
        <f>COUNT(BR37:CO37)</f>
        <v>3</v>
      </c>
      <c r="BQ37" s="43">
        <v>40269</v>
      </c>
      <c r="BY37">
        <v>2</v>
      </c>
      <c r="BZ37">
        <v>2</v>
      </c>
      <c r="CH37">
        <v>8</v>
      </c>
      <c r="EF37" t="e">
        <f>GT37*#REF!</f>
        <v>#REF!</v>
      </c>
      <c r="EG37" t="e">
        <f>GU37*#REF!</f>
        <v>#REF!</v>
      </c>
      <c r="EH37" t="e">
        <f>GV37*#REF!</f>
        <v>#REF!</v>
      </c>
      <c r="EI37" t="e">
        <f>GW37*#REF!</f>
        <v>#REF!</v>
      </c>
      <c r="EJ37" t="e">
        <f>GX37*#REF!</f>
        <v>#REF!</v>
      </c>
      <c r="EK37" t="e">
        <f>GY37*#REF!</f>
        <v>#REF!</v>
      </c>
      <c r="EL37" t="e">
        <f>GZ37*#REF!</f>
        <v>#REF!</v>
      </c>
      <c r="EM37" t="e">
        <f>HA37*#REF!</f>
        <v>#REF!</v>
      </c>
      <c r="EN37" t="e">
        <f>HB37*#REF!</f>
        <v>#REF!</v>
      </c>
      <c r="EO37" t="e">
        <f>HC37*#REF!</f>
        <v>#REF!</v>
      </c>
      <c r="EP37" t="e">
        <f>HD37*#REF!</f>
        <v>#REF!</v>
      </c>
      <c r="EQ37" t="e">
        <f>HE37*#REF!</f>
        <v>#REF!</v>
      </c>
      <c r="ER37" t="e">
        <f>HF37*#REF!</f>
        <v>#REF!</v>
      </c>
      <c r="ES37" t="e">
        <f>HG37*#REF!</f>
        <v>#REF!</v>
      </c>
      <c r="ET37" t="e">
        <f>HH37*#REF!</f>
        <v>#REF!</v>
      </c>
      <c r="EU37" t="e">
        <f>HI37*#REF!</f>
        <v>#REF!</v>
      </c>
      <c r="EV37" t="e">
        <f>HJ37*#REF!</f>
        <v>#REF!</v>
      </c>
      <c r="EW37" t="e">
        <f>HK37*#REF!</f>
        <v>#REF!</v>
      </c>
      <c r="EX37" t="e">
        <f>HL37*#REF!</f>
        <v>#REF!</v>
      </c>
      <c r="EY37" t="e">
        <f>HM37*#REF!</f>
        <v>#REF!</v>
      </c>
      <c r="EZ37" t="e">
        <f>HN37*#REF!</f>
        <v>#REF!</v>
      </c>
      <c r="FA37" t="e">
        <f>HO37*#REF!</f>
        <v>#REF!</v>
      </c>
      <c r="FB37" t="e">
        <f>HP37*#REF!</f>
        <v>#REF!</v>
      </c>
      <c r="FC37" t="e">
        <f>HQ37*#REF!</f>
        <v>#REF!</v>
      </c>
      <c r="FD37" t="e">
        <f>HR37*#REF!</f>
        <v>#REF!</v>
      </c>
      <c r="FE37" t="e">
        <f>HS37*#REF!</f>
        <v>#REF!</v>
      </c>
      <c r="FF37" t="e">
        <f>HT37*#REF!</f>
        <v>#REF!</v>
      </c>
      <c r="FG37" t="e">
        <f>HU37*#REF!</f>
        <v>#REF!</v>
      </c>
      <c r="FH37" t="e">
        <f>HV37*#REF!</f>
        <v>#REF!</v>
      </c>
      <c r="FI37" t="e">
        <f>HW37*#REF!</f>
        <v>#REF!</v>
      </c>
      <c r="FJ37" t="e">
        <f>HX37*#REF!</f>
        <v>#REF!</v>
      </c>
      <c r="FK37" t="e">
        <f>HY37*#REF!</f>
        <v>#REF!</v>
      </c>
      <c r="FL37" t="e">
        <f>HZ37*#REF!</f>
        <v>#REF!</v>
      </c>
      <c r="FM37" t="e">
        <f>IA37*#REF!</f>
        <v>#REF!</v>
      </c>
      <c r="FN37" t="e">
        <f>IB37*#REF!</f>
        <v>#REF!</v>
      </c>
      <c r="FO37" t="e">
        <f>IC37*#REF!</f>
        <v>#REF!</v>
      </c>
      <c r="FP37" t="e">
        <f>ID37*#REF!</f>
        <v>#REF!</v>
      </c>
      <c r="FQ37" t="e">
        <f>IE37*#REF!</f>
        <v>#REF!</v>
      </c>
      <c r="FR37" t="e">
        <f>IF37*#REF!</f>
        <v>#REF!</v>
      </c>
      <c r="FS37" t="e">
        <f>IG37*#REF!</f>
        <v>#REF!</v>
      </c>
      <c r="FT37" t="e">
        <f>IH37*#REF!</f>
        <v>#REF!</v>
      </c>
      <c r="FU37" t="e">
        <f>II37*#REF!</f>
        <v>#REF!</v>
      </c>
      <c r="FV37" t="e">
        <f>IJ37*#REF!</f>
        <v>#REF!</v>
      </c>
      <c r="FW37" t="e">
        <f>IK37*#REF!</f>
        <v>#REF!</v>
      </c>
      <c r="FX37" t="e">
        <f>IL37*#REF!</f>
        <v>#REF!</v>
      </c>
      <c r="FY37" t="e">
        <f>IM37*#REF!</f>
        <v>#REF!</v>
      </c>
      <c r="FZ37" t="e">
        <f>IN37*#REF!</f>
        <v>#REF!</v>
      </c>
      <c r="GA37" t="e">
        <f>IO37*#REF!</f>
        <v>#REF!</v>
      </c>
      <c r="GB37" t="e">
        <f>IP37*#REF!</f>
        <v>#REF!</v>
      </c>
      <c r="GC37" t="e">
        <f>IQ37*#REF!</f>
        <v>#REF!</v>
      </c>
      <c r="GD37" t="e">
        <f>IR37*#REF!</f>
        <v>#REF!</v>
      </c>
      <c r="GE37" t="e">
        <f>IS37*#REF!</f>
        <v>#REF!</v>
      </c>
      <c r="GF37" t="e">
        <f>IT37*#REF!</f>
        <v>#REF!</v>
      </c>
      <c r="GG37" t="e">
        <f>IU37*#REF!</f>
        <v>#REF!</v>
      </c>
      <c r="GH37" t="e">
        <f>IV37*#REF!</f>
        <v>#REF!</v>
      </c>
      <c r="GI37" t="e">
        <f>IW37*#REF!</f>
        <v>#REF!</v>
      </c>
      <c r="GJ37" t="e">
        <f>IX37*#REF!</f>
        <v>#REF!</v>
      </c>
      <c r="GK37" t="e">
        <f>IY37*#REF!</f>
        <v>#REF!</v>
      </c>
      <c r="GL37" t="e">
        <f>IZ37*#REF!</f>
        <v>#REF!</v>
      </c>
      <c r="GM37" t="e">
        <f>JA37*#REF!</f>
        <v>#REF!</v>
      </c>
      <c r="GN37" t="e">
        <f>JB37*#REF!</f>
        <v>#REF!</v>
      </c>
      <c r="GO37" t="e">
        <f>JC37*#REF!</f>
        <v>#REF!</v>
      </c>
      <c r="GP37" t="e">
        <f>JD37*#REF!</f>
        <v>#REF!</v>
      </c>
      <c r="GQ37" t="e">
        <f>JE37*#REF!</f>
        <v>#REF!</v>
      </c>
      <c r="GR37" t="e">
        <f>JF37*#REF!</f>
        <v>#REF!</v>
      </c>
      <c r="GT37">
        <f t="shared" ref="GT37:HC38" si="27">SQRT(BR37)</f>
        <v>0</v>
      </c>
      <c r="GU37">
        <f t="shared" si="27"/>
        <v>0</v>
      </c>
      <c r="GV37">
        <f t="shared" si="27"/>
        <v>0</v>
      </c>
      <c r="GW37">
        <f t="shared" si="27"/>
        <v>0</v>
      </c>
      <c r="GX37">
        <f t="shared" si="27"/>
        <v>0</v>
      </c>
      <c r="GY37">
        <f t="shared" si="27"/>
        <v>0</v>
      </c>
      <c r="GZ37">
        <f t="shared" si="27"/>
        <v>0</v>
      </c>
      <c r="HA37">
        <f t="shared" si="27"/>
        <v>1.4142135623730951</v>
      </c>
      <c r="HB37">
        <f t="shared" si="27"/>
        <v>1.4142135623730951</v>
      </c>
      <c r="HC37">
        <f t="shared" si="27"/>
        <v>0</v>
      </c>
      <c r="HD37">
        <f t="shared" ref="HD37:HM38" si="28">SQRT(CB37)</f>
        <v>0</v>
      </c>
      <c r="HE37">
        <f t="shared" si="28"/>
        <v>0</v>
      </c>
      <c r="HF37">
        <f t="shared" si="28"/>
        <v>0</v>
      </c>
      <c r="HG37">
        <f t="shared" si="28"/>
        <v>0</v>
      </c>
      <c r="HH37">
        <f t="shared" si="28"/>
        <v>0</v>
      </c>
      <c r="HI37">
        <f t="shared" si="28"/>
        <v>0</v>
      </c>
      <c r="HJ37">
        <f t="shared" si="28"/>
        <v>2.8284271247461903</v>
      </c>
      <c r="HK37">
        <f t="shared" si="28"/>
        <v>0</v>
      </c>
      <c r="HL37">
        <f t="shared" si="28"/>
        <v>0</v>
      </c>
      <c r="HM37">
        <f t="shared" si="28"/>
        <v>0</v>
      </c>
      <c r="HN37">
        <f t="shared" ref="HN37:HW38" si="29">SQRT(CL37)</f>
        <v>0</v>
      </c>
      <c r="HO37">
        <f t="shared" si="29"/>
        <v>0</v>
      </c>
      <c r="HP37">
        <f t="shared" si="29"/>
        <v>0</v>
      </c>
      <c r="HQ37">
        <f t="shared" si="29"/>
        <v>0</v>
      </c>
      <c r="HR37">
        <f t="shared" si="29"/>
        <v>0</v>
      </c>
      <c r="HS37">
        <f t="shared" si="29"/>
        <v>0</v>
      </c>
      <c r="HT37">
        <f t="shared" si="29"/>
        <v>0</v>
      </c>
      <c r="HU37">
        <f t="shared" si="29"/>
        <v>0</v>
      </c>
      <c r="HV37">
        <f t="shared" si="29"/>
        <v>0</v>
      </c>
      <c r="HW37">
        <f t="shared" si="29"/>
        <v>0</v>
      </c>
      <c r="HX37">
        <f t="shared" ref="HX37:IG38" si="30">SQRT(CV37)</f>
        <v>0</v>
      </c>
      <c r="HY37">
        <f t="shared" si="30"/>
        <v>0</v>
      </c>
      <c r="HZ37">
        <f t="shared" si="30"/>
        <v>0</v>
      </c>
      <c r="IA37">
        <f t="shared" si="30"/>
        <v>0</v>
      </c>
      <c r="IB37">
        <f t="shared" si="30"/>
        <v>0</v>
      </c>
      <c r="IC37">
        <f t="shared" si="30"/>
        <v>0</v>
      </c>
      <c r="ID37">
        <f t="shared" si="30"/>
        <v>0</v>
      </c>
      <c r="IE37">
        <f t="shared" si="30"/>
        <v>0</v>
      </c>
      <c r="IF37">
        <f t="shared" si="30"/>
        <v>0</v>
      </c>
      <c r="IG37">
        <f t="shared" si="30"/>
        <v>0</v>
      </c>
      <c r="IH37">
        <f t="shared" ref="IH37:IQ38" si="31">SQRT(DF37)</f>
        <v>0</v>
      </c>
      <c r="II37">
        <f t="shared" si="31"/>
        <v>0</v>
      </c>
      <c r="IJ37">
        <f t="shared" si="31"/>
        <v>0</v>
      </c>
      <c r="IK37">
        <f t="shared" si="31"/>
        <v>0</v>
      </c>
      <c r="IL37">
        <f t="shared" si="31"/>
        <v>0</v>
      </c>
      <c r="IM37">
        <f t="shared" si="31"/>
        <v>0</v>
      </c>
      <c r="IN37">
        <f t="shared" si="31"/>
        <v>0</v>
      </c>
      <c r="IO37">
        <f t="shared" si="31"/>
        <v>0</v>
      </c>
      <c r="IP37">
        <f t="shared" si="31"/>
        <v>0</v>
      </c>
      <c r="IQ37">
        <f t="shared" si="31"/>
        <v>0</v>
      </c>
      <c r="IR37">
        <f t="shared" ref="IR37:JA38" si="32">SQRT(DP37)</f>
        <v>0</v>
      </c>
      <c r="IS37">
        <f t="shared" si="32"/>
        <v>0</v>
      </c>
      <c r="IT37">
        <f t="shared" si="32"/>
        <v>0</v>
      </c>
      <c r="IU37">
        <f t="shared" si="32"/>
        <v>0</v>
      </c>
      <c r="IV37">
        <f t="shared" si="32"/>
        <v>0</v>
      </c>
      <c r="IW37">
        <f t="shared" si="32"/>
        <v>0</v>
      </c>
      <c r="IX37">
        <f t="shared" si="32"/>
        <v>0</v>
      </c>
      <c r="IY37">
        <f t="shared" si="32"/>
        <v>0</v>
      </c>
      <c r="IZ37">
        <f t="shared" si="32"/>
        <v>0</v>
      </c>
      <c r="JA37">
        <f t="shared" si="32"/>
        <v>0</v>
      </c>
      <c r="JB37">
        <f t="shared" ref="JB37:JF38" si="33">SQRT(DZ37)</f>
        <v>0</v>
      </c>
      <c r="JC37">
        <f t="shared" si="33"/>
        <v>0</v>
      </c>
      <c r="JD37">
        <f t="shared" si="33"/>
        <v>0</v>
      </c>
      <c r="JE37">
        <f t="shared" si="33"/>
        <v>0</v>
      </c>
      <c r="JF37">
        <f t="shared" si="33"/>
        <v>0</v>
      </c>
    </row>
    <row r="38" spans="1:284" ht="14.4" x14ac:dyDescent="0.3">
      <c r="A38" t="s">
        <v>2007</v>
      </c>
      <c r="B38" s="34" t="s">
        <v>2008</v>
      </c>
      <c r="C38" t="s">
        <v>2764</v>
      </c>
      <c r="D38" t="s">
        <v>283</v>
      </c>
      <c r="E38" t="s">
        <v>162</v>
      </c>
      <c r="F38" t="s">
        <v>163</v>
      </c>
      <c r="G38" t="s">
        <v>1888</v>
      </c>
      <c r="H38" t="s">
        <v>368</v>
      </c>
      <c r="I38" t="s">
        <v>369</v>
      </c>
      <c r="J38" t="s">
        <v>2632</v>
      </c>
      <c r="K38" t="s">
        <v>2633</v>
      </c>
      <c r="M38" t="str">
        <f t="shared" si="13"/>
        <v xml:space="preserve"> </v>
      </c>
      <c r="N38" t="str">
        <f t="shared" si="14"/>
        <v xml:space="preserve"> </v>
      </c>
      <c r="P38" t="str">
        <f t="shared" si="15"/>
        <v xml:space="preserve"> </v>
      </c>
      <c r="Q38" t="str">
        <f t="shared" si="16"/>
        <v xml:space="preserve"> </v>
      </c>
      <c r="S38" t="str">
        <f t="shared" si="17"/>
        <v xml:space="preserve"> </v>
      </c>
      <c r="T38" t="str">
        <f t="shared" si="18"/>
        <v xml:space="preserve"> </v>
      </c>
      <c r="V38" t="s">
        <v>73</v>
      </c>
      <c r="X38" t="s">
        <v>193</v>
      </c>
      <c r="Y38" t="s">
        <v>194</v>
      </c>
      <c r="AA38" t="str">
        <f t="shared" si="19"/>
        <v>Fort</v>
      </c>
      <c r="AB38" t="str">
        <f t="shared" si="20"/>
        <v>Fortress</v>
      </c>
      <c r="AC38">
        <v>3</v>
      </c>
      <c r="AD38" s="29" t="e">
        <f>(2*AH38+BJ38)/2.1</f>
        <v>#REF!</v>
      </c>
      <c r="AE38" s="15"/>
      <c r="AF38" s="41">
        <v>0</v>
      </c>
      <c r="AG38" s="30">
        <v>880</v>
      </c>
      <c r="AH38" s="29" t="e">
        <f>(2*BK38+BL38/2)/3</f>
        <v>#REF!</v>
      </c>
      <c r="AI38">
        <v>923</v>
      </c>
      <c r="AJ38" s="29" t="e">
        <f>(2*AH38+BE38)/2.1</f>
        <v>#REF!</v>
      </c>
      <c r="AK38" s="31">
        <f>(500+AL38*BF38)/(100*(AL38+1))</f>
        <v>5</v>
      </c>
      <c r="AL38" s="30">
        <v>0</v>
      </c>
      <c r="AM38">
        <v>745</v>
      </c>
      <c r="AN38" s="14">
        <v>64.7768427752452</v>
      </c>
      <c r="AO38" s="14">
        <v>0</v>
      </c>
      <c r="AP38">
        <v>0</v>
      </c>
      <c r="AQ38">
        <v>425</v>
      </c>
      <c r="AR38" s="15">
        <v>64.776842775245228</v>
      </c>
      <c r="AS38">
        <v>530</v>
      </c>
      <c r="AT38" s="14">
        <v>150.68422596651155</v>
      </c>
      <c r="AU38" s="14">
        <v>0</v>
      </c>
      <c r="AV38">
        <v>0</v>
      </c>
      <c r="AW38">
        <v>425</v>
      </c>
      <c r="AX38" s="15">
        <v>150.68422596651155</v>
      </c>
      <c r="AY38">
        <v>583</v>
      </c>
      <c r="AZ38" s="14">
        <v>119.82078856117268</v>
      </c>
      <c r="BA38" s="14">
        <v>0</v>
      </c>
      <c r="BB38" s="15">
        <v>0</v>
      </c>
      <c r="BC38">
        <v>573</v>
      </c>
      <c r="BD38" s="15">
        <v>119.82078856117268</v>
      </c>
      <c r="BE38" s="29">
        <f>(500+BG38*100)/(AL38+1)+AL38/5</f>
        <v>500</v>
      </c>
      <c r="BF38" s="29"/>
      <c r="BH38" s="31"/>
      <c r="BI38" s="42">
        <f>AE38*AF38/100</f>
        <v>0</v>
      </c>
      <c r="BJ38" s="29">
        <f>(500+BI38*100)/(AF38+1)+AF38/5</f>
        <v>500</v>
      </c>
      <c r="BK38" s="29" t="e">
        <f>(5*SUM(EF38:FC38)+BP38*factor3)*BM38</f>
        <v>#REF!</v>
      </c>
      <c r="BL38" s="29" t="e">
        <f>SUM(FD38:GQ38)+BN38+BO38</f>
        <v>#REF!</v>
      </c>
      <c r="BM38" s="32">
        <v>0.85</v>
      </c>
      <c r="BN38" s="29"/>
      <c r="BO38" s="29"/>
      <c r="BP38">
        <f>COUNT(BR38:CO38)</f>
        <v>2</v>
      </c>
      <c r="BV38">
        <v>2</v>
      </c>
      <c r="CL38">
        <v>1</v>
      </c>
      <c r="EF38" t="e">
        <f>GT38*#REF!</f>
        <v>#REF!</v>
      </c>
      <c r="EG38" t="e">
        <f>GU38*#REF!</f>
        <v>#REF!</v>
      </c>
      <c r="EH38" t="e">
        <f>GV38*#REF!</f>
        <v>#REF!</v>
      </c>
      <c r="EI38" t="e">
        <f>GW38*#REF!</f>
        <v>#REF!</v>
      </c>
      <c r="EJ38" t="e">
        <f>GX38*#REF!</f>
        <v>#REF!</v>
      </c>
      <c r="EK38" t="e">
        <f>GY38*#REF!</f>
        <v>#REF!</v>
      </c>
      <c r="EL38" t="e">
        <f>GZ38*#REF!</f>
        <v>#REF!</v>
      </c>
      <c r="EM38" t="e">
        <f>HA38*#REF!</f>
        <v>#REF!</v>
      </c>
      <c r="EN38" t="e">
        <f>HB38*#REF!</f>
        <v>#REF!</v>
      </c>
      <c r="EO38" t="e">
        <f>HC38*#REF!</f>
        <v>#REF!</v>
      </c>
      <c r="EP38" t="e">
        <f>HD38*#REF!</f>
        <v>#REF!</v>
      </c>
      <c r="EQ38" t="e">
        <f>HE38*#REF!</f>
        <v>#REF!</v>
      </c>
      <c r="ER38" t="e">
        <f>HF38*#REF!</f>
        <v>#REF!</v>
      </c>
      <c r="ES38" t="e">
        <f>HG38*#REF!</f>
        <v>#REF!</v>
      </c>
      <c r="ET38" t="e">
        <f>HH38*#REF!</f>
        <v>#REF!</v>
      </c>
      <c r="EU38" t="e">
        <f>HI38*#REF!</f>
        <v>#REF!</v>
      </c>
      <c r="EV38" t="e">
        <f>HJ38*#REF!</f>
        <v>#REF!</v>
      </c>
      <c r="EW38" t="e">
        <f>HK38*#REF!</f>
        <v>#REF!</v>
      </c>
      <c r="EX38" t="e">
        <f>HL38*#REF!</f>
        <v>#REF!</v>
      </c>
      <c r="EY38" t="e">
        <f>HM38*#REF!</f>
        <v>#REF!</v>
      </c>
      <c r="EZ38" t="e">
        <f>HN38*#REF!</f>
        <v>#REF!</v>
      </c>
      <c r="FA38" t="e">
        <f>HO38*#REF!</f>
        <v>#REF!</v>
      </c>
      <c r="FB38" t="e">
        <f>HP38*#REF!</f>
        <v>#REF!</v>
      </c>
      <c r="FC38" t="e">
        <f>HQ38*#REF!</f>
        <v>#REF!</v>
      </c>
      <c r="FD38" t="e">
        <f>HR38*#REF!</f>
        <v>#REF!</v>
      </c>
      <c r="FE38" t="e">
        <f>HS38*#REF!</f>
        <v>#REF!</v>
      </c>
      <c r="FF38" t="e">
        <f>HT38*#REF!</f>
        <v>#REF!</v>
      </c>
      <c r="FG38" t="e">
        <f>HU38*#REF!</f>
        <v>#REF!</v>
      </c>
      <c r="FH38" t="e">
        <f>HV38*#REF!</f>
        <v>#REF!</v>
      </c>
      <c r="FI38" t="e">
        <f>HW38*#REF!</f>
        <v>#REF!</v>
      </c>
      <c r="FJ38" t="e">
        <f>HX38*#REF!</f>
        <v>#REF!</v>
      </c>
      <c r="FK38" t="e">
        <f>HY38*#REF!</f>
        <v>#REF!</v>
      </c>
      <c r="FL38" t="e">
        <f>HZ38*#REF!</f>
        <v>#REF!</v>
      </c>
      <c r="FM38" t="e">
        <f>IA38*#REF!</f>
        <v>#REF!</v>
      </c>
      <c r="FN38" t="e">
        <f>IB38*#REF!</f>
        <v>#REF!</v>
      </c>
      <c r="FO38" t="e">
        <f>IC38*#REF!</f>
        <v>#REF!</v>
      </c>
      <c r="FP38" t="e">
        <f>ID38*#REF!</f>
        <v>#REF!</v>
      </c>
      <c r="FQ38" t="e">
        <f>IE38*#REF!</f>
        <v>#REF!</v>
      </c>
      <c r="FR38" t="e">
        <f>IF38*#REF!</f>
        <v>#REF!</v>
      </c>
      <c r="FS38" t="e">
        <f>IG38*#REF!</f>
        <v>#REF!</v>
      </c>
      <c r="FT38" t="e">
        <f>IH38*#REF!</f>
        <v>#REF!</v>
      </c>
      <c r="FU38" t="e">
        <f>II38*#REF!</f>
        <v>#REF!</v>
      </c>
      <c r="FV38" t="e">
        <f>IJ38*#REF!</f>
        <v>#REF!</v>
      </c>
      <c r="FW38" t="e">
        <f>IK38*#REF!</f>
        <v>#REF!</v>
      </c>
      <c r="FX38" t="e">
        <f>IL38*#REF!</f>
        <v>#REF!</v>
      </c>
      <c r="FY38" t="e">
        <f>IM38*#REF!</f>
        <v>#REF!</v>
      </c>
      <c r="FZ38" t="e">
        <f>IN38*#REF!</f>
        <v>#REF!</v>
      </c>
      <c r="GA38" t="e">
        <f>IO38*#REF!</f>
        <v>#REF!</v>
      </c>
      <c r="GB38" t="e">
        <f>IP38*#REF!</f>
        <v>#REF!</v>
      </c>
      <c r="GC38" t="e">
        <f>IQ38*#REF!</f>
        <v>#REF!</v>
      </c>
      <c r="GD38" t="e">
        <f>IR38*#REF!</f>
        <v>#REF!</v>
      </c>
      <c r="GE38" t="e">
        <f>IS38*#REF!</f>
        <v>#REF!</v>
      </c>
      <c r="GF38" t="e">
        <f>IT38*#REF!</f>
        <v>#REF!</v>
      </c>
      <c r="GG38" t="e">
        <f>IU38*#REF!</f>
        <v>#REF!</v>
      </c>
      <c r="GH38" t="e">
        <f>IV38*#REF!</f>
        <v>#REF!</v>
      </c>
      <c r="GI38" t="e">
        <f>IW38*#REF!</f>
        <v>#REF!</v>
      </c>
      <c r="GJ38" t="e">
        <f>IX38*#REF!</f>
        <v>#REF!</v>
      </c>
      <c r="GK38" t="e">
        <f>IY38*#REF!</f>
        <v>#REF!</v>
      </c>
      <c r="GL38" t="e">
        <f>IZ38*#REF!</f>
        <v>#REF!</v>
      </c>
      <c r="GM38" t="e">
        <f>JA38*#REF!</f>
        <v>#REF!</v>
      </c>
      <c r="GN38" t="e">
        <f>JB38*#REF!</f>
        <v>#REF!</v>
      </c>
      <c r="GO38" t="e">
        <f>JC38*#REF!</f>
        <v>#REF!</v>
      </c>
      <c r="GP38" t="e">
        <f>JD38*#REF!</f>
        <v>#REF!</v>
      </c>
      <c r="GQ38" t="e">
        <f>JE38*#REF!</f>
        <v>#REF!</v>
      </c>
      <c r="GR38" t="e">
        <f>JF38*#REF!</f>
        <v>#REF!</v>
      </c>
      <c r="GT38">
        <f t="shared" si="27"/>
        <v>0</v>
      </c>
      <c r="GU38">
        <f t="shared" si="27"/>
        <v>0</v>
      </c>
      <c r="GV38">
        <f t="shared" si="27"/>
        <v>0</v>
      </c>
      <c r="GW38">
        <f t="shared" si="27"/>
        <v>0</v>
      </c>
      <c r="GX38">
        <f t="shared" si="27"/>
        <v>1.4142135623730951</v>
      </c>
      <c r="GY38">
        <f t="shared" si="27"/>
        <v>0</v>
      </c>
      <c r="GZ38">
        <f t="shared" si="27"/>
        <v>0</v>
      </c>
      <c r="HA38">
        <f t="shared" si="27"/>
        <v>0</v>
      </c>
      <c r="HB38">
        <f t="shared" si="27"/>
        <v>0</v>
      </c>
      <c r="HC38">
        <f t="shared" si="27"/>
        <v>0</v>
      </c>
      <c r="HD38">
        <f t="shared" si="28"/>
        <v>0</v>
      </c>
      <c r="HE38">
        <f t="shared" si="28"/>
        <v>0</v>
      </c>
      <c r="HF38">
        <f t="shared" si="28"/>
        <v>0</v>
      </c>
      <c r="HG38">
        <f t="shared" si="28"/>
        <v>0</v>
      </c>
      <c r="HH38">
        <f t="shared" si="28"/>
        <v>0</v>
      </c>
      <c r="HI38">
        <f t="shared" si="28"/>
        <v>0</v>
      </c>
      <c r="HJ38">
        <f t="shared" si="28"/>
        <v>0</v>
      </c>
      <c r="HK38">
        <f t="shared" si="28"/>
        <v>0</v>
      </c>
      <c r="HL38">
        <f t="shared" si="28"/>
        <v>0</v>
      </c>
      <c r="HM38">
        <f t="shared" si="28"/>
        <v>0</v>
      </c>
      <c r="HN38">
        <f t="shared" si="29"/>
        <v>1</v>
      </c>
      <c r="HO38">
        <f t="shared" si="29"/>
        <v>0</v>
      </c>
      <c r="HP38">
        <f t="shared" si="29"/>
        <v>0</v>
      </c>
      <c r="HQ38">
        <f t="shared" si="29"/>
        <v>0</v>
      </c>
      <c r="HR38">
        <f t="shared" si="29"/>
        <v>0</v>
      </c>
      <c r="HS38">
        <f t="shared" si="29"/>
        <v>0</v>
      </c>
      <c r="HT38">
        <f t="shared" si="29"/>
        <v>0</v>
      </c>
      <c r="HU38">
        <f t="shared" si="29"/>
        <v>0</v>
      </c>
      <c r="HV38">
        <f t="shared" si="29"/>
        <v>0</v>
      </c>
      <c r="HW38">
        <f t="shared" si="29"/>
        <v>0</v>
      </c>
      <c r="HX38">
        <f t="shared" si="30"/>
        <v>0</v>
      </c>
      <c r="HY38">
        <f t="shared" si="30"/>
        <v>0</v>
      </c>
      <c r="HZ38">
        <f t="shared" si="30"/>
        <v>0</v>
      </c>
      <c r="IA38">
        <f t="shared" si="30"/>
        <v>0</v>
      </c>
      <c r="IB38">
        <f t="shared" si="30"/>
        <v>0</v>
      </c>
      <c r="IC38">
        <f t="shared" si="30"/>
        <v>0</v>
      </c>
      <c r="ID38">
        <f t="shared" si="30"/>
        <v>0</v>
      </c>
      <c r="IE38">
        <f t="shared" si="30"/>
        <v>0</v>
      </c>
      <c r="IF38">
        <f t="shared" si="30"/>
        <v>0</v>
      </c>
      <c r="IG38">
        <f t="shared" si="30"/>
        <v>0</v>
      </c>
      <c r="IH38">
        <f t="shared" si="31"/>
        <v>0</v>
      </c>
      <c r="II38">
        <f t="shared" si="31"/>
        <v>0</v>
      </c>
      <c r="IJ38">
        <f t="shared" si="31"/>
        <v>0</v>
      </c>
      <c r="IK38">
        <f t="shared" si="31"/>
        <v>0</v>
      </c>
      <c r="IL38">
        <f t="shared" si="31"/>
        <v>0</v>
      </c>
      <c r="IM38">
        <f t="shared" si="31"/>
        <v>0</v>
      </c>
      <c r="IN38">
        <f t="shared" si="31"/>
        <v>0</v>
      </c>
      <c r="IO38">
        <f t="shared" si="31"/>
        <v>0</v>
      </c>
      <c r="IP38">
        <f t="shared" si="31"/>
        <v>0</v>
      </c>
      <c r="IQ38">
        <f t="shared" si="31"/>
        <v>0</v>
      </c>
      <c r="IR38">
        <f t="shared" si="32"/>
        <v>0</v>
      </c>
      <c r="IS38">
        <f t="shared" si="32"/>
        <v>0</v>
      </c>
      <c r="IT38">
        <f t="shared" si="32"/>
        <v>0</v>
      </c>
      <c r="IU38">
        <f t="shared" si="32"/>
        <v>0</v>
      </c>
      <c r="IV38">
        <f t="shared" si="32"/>
        <v>0</v>
      </c>
      <c r="IW38">
        <f t="shared" si="32"/>
        <v>0</v>
      </c>
      <c r="IX38">
        <f t="shared" si="32"/>
        <v>0</v>
      </c>
      <c r="IY38">
        <f t="shared" si="32"/>
        <v>0</v>
      </c>
      <c r="IZ38">
        <f t="shared" si="32"/>
        <v>0</v>
      </c>
      <c r="JA38">
        <f t="shared" si="32"/>
        <v>0</v>
      </c>
      <c r="JB38">
        <f t="shared" si="33"/>
        <v>0</v>
      </c>
      <c r="JC38">
        <f t="shared" si="33"/>
        <v>0</v>
      </c>
      <c r="JD38">
        <f t="shared" si="33"/>
        <v>0</v>
      </c>
      <c r="JE38">
        <f t="shared" si="33"/>
        <v>0</v>
      </c>
      <c r="JF38">
        <f t="shared" si="33"/>
        <v>0</v>
      </c>
    </row>
    <row r="39" spans="1:284" x14ac:dyDescent="0.25">
      <c r="A39" t="s">
        <v>2951</v>
      </c>
      <c r="B39" t="s">
        <v>1998</v>
      </c>
      <c r="C39" t="s">
        <v>67</v>
      </c>
      <c r="D39" t="s">
        <v>68</v>
      </c>
      <c r="E39" t="s">
        <v>69</v>
      </c>
      <c r="F39" t="s">
        <v>70</v>
      </c>
      <c r="G39" t="s">
        <v>1999</v>
      </c>
      <c r="H39" t="s">
        <v>1293</v>
      </c>
      <c r="I39" t="s">
        <v>1294</v>
      </c>
      <c r="M39" t="str">
        <f t="shared" si="13"/>
        <v xml:space="preserve"> </v>
      </c>
      <c r="N39" t="str">
        <f t="shared" si="14"/>
        <v xml:space="preserve"> </v>
      </c>
      <c r="P39" t="str">
        <f t="shared" si="15"/>
        <v xml:space="preserve"> </v>
      </c>
      <c r="Q39" t="str">
        <f t="shared" si="16"/>
        <v xml:space="preserve"> </v>
      </c>
      <c r="S39" t="str">
        <f t="shared" si="17"/>
        <v xml:space="preserve"> </v>
      </c>
      <c r="T39" t="str">
        <f t="shared" si="18"/>
        <v xml:space="preserve"> </v>
      </c>
      <c r="V39" t="s">
        <v>73</v>
      </c>
      <c r="W39" t="s">
        <v>73</v>
      </c>
      <c r="X39" t="s">
        <v>2894</v>
      </c>
      <c r="Y39" t="s">
        <v>385</v>
      </c>
      <c r="AA39" t="str">
        <f t="shared" si="19"/>
        <v>Stadsommuring</v>
      </c>
      <c r="AB39" t="str">
        <f t="shared" si="20"/>
        <v>Walled city</v>
      </c>
      <c r="AC39">
        <v>2</v>
      </c>
      <c r="AD39" s="29" t="e">
        <f>(2*AH39+AE39)/2</f>
        <v>#REF!</v>
      </c>
      <c r="AE39" s="29">
        <f>(1000+AF39*BA39)/(AF39+2)+AF39/10</f>
        <v>648.55882352941478</v>
      </c>
      <c r="AF39" s="30">
        <v>15</v>
      </c>
      <c r="AG39" s="30">
        <v>77</v>
      </c>
      <c r="AH39" s="29" t="e">
        <f>(2*BB39+BC39/2)/3</f>
        <v>#REF!</v>
      </c>
      <c r="AI39">
        <v>286</v>
      </c>
      <c r="AJ39" s="16">
        <v>376.11084179932368</v>
      </c>
      <c r="AK39" s="14">
        <v>81.818181818179937</v>
      </c>
      <c r="AL39">
        <v>11</v>
      </c>
      <c r="AM39">
        <v>76</v>
      </c>
      <c r="AN39" s="15">
        <v>301.11084179932533</v>
      </c>
      <c r="AO39">
        <v>156</v>
      </c>
      <c r="AP39" s="14">
        <v>544.34124679883712</v>
      </c>
      <c r="AQ39" s="14">
        <v>70</v>
      </c>
      <c r="AR39">
        <v>9</v>
      </c>
      <c r="AS39">
        <v>76</v>
      </c>
      <c r="AT39" s="15">
        <v>474.34124679883706</v>
      </c>
      <c r="AU39">
        <v>130</v>
      </c>
      <c r="AV39" s="14">
        <v>480</v>
      </c>
      <c r="AW39" s="14">
        <v>-0.87909771208103393</v>
      </c>
      <c r="AX39" s="15">
        <v>3</v>
      </c>
      <c r="AY39">
        <v>83</v>
      </c>
      <c r="AZ39" s="15">
        <v>480.87909771208103</v>
      </c>
      <c r="BA39" s="29">
        <v>666.66666666667004</v>
      </c>
      <c r="BB39" s="29" t="e">
        <f>(5*SUM(DW39:ET39)+BG39*factor3)*BD39</f>
        <v>#REF!</v>
      </c>
      <c r="BC39" s="29" t="e">
        <f>SUM(EU39:GH39)+BE39+BF39</f>
        <v>#REF!</v>
      </c>
      <c r="BD39" s="29">
        <v>1</v>
      </c>
      <c r="BE39" s="29"/>
      <c r="BF39" s="29"/>
      <c r="BG39">
        <f>COUNT(BH39:CF39)</f>
        <v>9</v>
      </c>
      <c r="BI39">
        <v>1</v>
      </c>
      <c r="BJ39">
        <v>1</v>
      </c>
      <c r="BK39">
        <v>1</v>
      </c>
      <c r="BL39">
        <v>1</v>
      </c>
      <c r="BP39">
        <v>1</v>
      </c>
      <c r="BT39">
        <v>12</v>
      </c>
      <c r="BV39">
        <v>6</v>
      </c>
      <c r="BZ39">
        <v>1</v>
      </c>
      <c r="CA39">
        <v>1</v>
      </c>
      <c r="DG39">
        <v>5</v>
      </c>
      <c r="DH39">
        <v>11</v>
      </c>
      <c r="DW39" t="e">
        <f>GJ39*#REF!</f>
        <v>#REF!</v>
      </c>
      <c r="DX39" t="e">
        <f>GK39*#REF!</f>
        <v>#REF!</v>
      </c>
      <c r="DY39" t="e">
        <f>GL39*#REF!</f>
        <v>#REF!</v>
      </c>
      <c r="DZ39" t="e">
        <f>GM39*#REF!</f>
        <v>#REF!</v>
      </c>
      <c r="EA39" t="e">
        <f>GN39*#REF!</f>
        <v>#REF!</v>
      </c>
      <c r="EB39" t="e">
        <f>GO39*#REF!</f>
        <v>#REF!</v>
      </c>
      <c r="EC39" t="e">
        <f>GP39*#REF!</f>
        <v>#REF!</v>
      </c>
      <c r="ED39" t="e">
        <f>GQ39*#REF!</f>
        <v>#REF!</v>
      </c>
      <c r="EE39" t="e">
        <f>GR39*#REF!</f>
        <v>#REF!</v>
      </c>
      <c r="EF39" t="e">
        <f>GS39*#REF!</f>
        <v>#REF!</v>
      </c>
      <c r="EG39" t="e">
        <f>GT39*#REF!</f>
        <v>#REF!</v>
      </c>
      <c r="EH39" t="e">
        <f>GU39*#REF!</f>
        <v>#REF!</v>
      </c>
      <c r="EI39" t="e">
        <f>GV39*#REF!</f>
        <v>#REF!</v>
      </c>
      <c r="EJ39" t="e">
        <f>GW39*#REF!</f>
        <v>#REF!</v>
      </c>
      <c r="EK39" t="e">
        <f>GX39*#REF!</f>
        <v>#REF!</v>
      </c>
      <c r="EL39" t="e">
        <f>GY39*#REF!</f>
        <v>#REF!</v>
      </c>
      <c r="EM39" t="e">
        <f>GZ39*#REF!</f>
        <v>#REF!</v>
      </c>
      <c r="EN39" t="e">
        <f>HA39*#REF!</f>
        <v>#REF!</v>
      </c>
      <c r="EO39" t="e">
        <f>HB39*#REF!</f>
        <v>#REF!</v>
      </c>
      <c r="EP39" t="e">
        <f>HC39*#REF!</f>
        <v>#REF!</v>
      </c>
      <c r="EQ39" t="e">
        <f>HD39*#REF!</f>
        <v>#REF!</v>
      </c>
      <c r="ER39" t="e">
        <f>HE39*#REF!</f>
        <v>#REF!</v>
      </c>
      <c r="ES39" t="e">
        <f>HF39*#REF!</f>
        <v>#REF!</v>
      </c>
      <c r="ET39" t="e">
        <f>HG39*#REF!</f>
        <v>#REF!</v>
      </c>
      <c r="EU39" t="e">
        <f>HH39*#REF!</f>
        <v>#REF!</v>
      </c>
      <c r="EV39" t="e">
        <f>HI39*#REF!</f>
        <v>#REF!</v>
      </c>
      <c r="EW39" t="e">
        <f>HJ39*#REF!</f>
        <v>#REF!</v>
      </c>
      <c r="EX39" t="e">
        <f>HK39*#REF!</f>
        <v>#REF!</v>
      </c>
      <c r="EY39" t="e">
        <f>HL39*#REF!</f>
        <v>#REF!</v>
      </c>
      <c r="EZ39" t="e">
        <f>HM39*#REF!</f>
        <v>#REF!</v>
      </c>
      <c r="FA39" t="e">
        <f>HN39*#REF!</f>
        <v>#REF!</v>
      </c>
      <c r="FB39" t="e">
        <f>HO39*#REF!</f>
        <v>#REF!</v>
      </c>
      <c r="FC39" t="e">
        <f>HP39*#REF!</f>
        <v>#REF!</v>
      </c>
      <c r="FD39" t="e">
        <f>HQ39*#REF!</f>
        <v>#REF!</v>
      </c>
      <c r="FE39" t="e">
        <f>HR39*#REF!</f>
        <v>#REF!</v>
      </c>
      <c r="FF39" t="e">
        <f>HS39*#REF!</f>
        <v>#REF!</v>
      </c>
      <c r="FG39" t="e">
        <f>HT39*#REF!</f>
        <v>#REF!</v>
      </c>
      <c r="FH39" t="e">
        <f>HU39*#REF!</f>
        <v>#REF!</v>
      </c>
      <c r="FI39" t="e">
        <f>HV39*#REF!</f>
        <v>#REF!</v>
      </c>
      <c r="FJ39" t="e">
        <f>HW39*#REF!</f>
        <v>#REF!</v>
      </c>
      <c r="FK39" t="e">
        <f>HX39*#REF!</f>
        <v>#REF!</v>
      </c>
      <c r="FL39" t="e">
        <f>HY39*#REF!</f>
        <v>#REF!</v>
      </c>
      <c r="FM39" t="e">
        <f>HZ39*#REF!</f>
        <v>#REF!</v>
      </c>
      <c r="FN39" t="e">
        <f>IA39*#REF!</f>
        <v>#REF!</v>
      </c>
      <c r="FO39" t="e">
        <f>IB39*#REF!</f>
        <v>#REF!</v>
      </c>
      <c r="FP39" t="e">
        <f>IC39*#REF!</f>
        <v>#REF!</v>
      </c>
      <c r="FQ39" t="e">
        <f>ID39*#REF!</f>
        <v>#REF!</v>
      </c>
      <c r="FR39" t="e">
        <f>IE39*#REF!</f>
        <v>#REF!</v>
      </c>
      <c r="FS39" t="e">
        <f>IF39*#REF!</f>
        <v>#REF!</v>
      </c>
      <c r="FT39" t="e">
        <f>IG39*#REF!</f>
        <v>#REF!</v>
      </c>
      <c r="FU39" t="e">
        <f>IH39*#REF!</f>
        <v>#REF!</v>
      </c>
      <c r="FV39" t="e">
        <f>II39*#REF!</f>
        <v>#REF!</v>
      </c>
      <c r="FW39" t="e">
        <f>IJ39*#REF!</f>
        <v>#REF!</v>
      </c>
      <c r="FX39" t="e">
        <f>IK39*#REF!</f>
        <v>#REF!</v>
      </c>
      <c r="FY39" t="e">
        <f>IL39*#REF!</f>
        <v>#REF!</v>
      </c>
      <c r="FZ39" t="e">
        <f>IM39*#REF!</f>
        <v>#REF!</v>
      </c>
      <c r="GA39" t="e">
        <f>IN39*#REF!</f>
        <v>#REF!</v>
      </c>
      <c r="GB39" t="e">
        <f>IO39*#REF!</f>
        <v>#REF!</v>
      </c>
      <c r="GC39" t="e">
        <f>IP39*#REF!</f>
        <v>#REF!</v>
      </c>
      <c r="GD39" t="e">
        <f>IQ39*#REF!</f>
        <v>#REF!</v>
      </c>
      <c r="GE39" t="e">
        <f>IR39*#REF!</f>
        <v>#REF!</v>
      </c>
      <c r="GF39" t="e">
        <f>IS39*#REF!</f>
        <v>#REF!</v>
      </c>
      <c r="GG39" t="e">
        <f>IT39*#REF!</f>
        <v>#REF!</v>
      </c>
      <c r="GH39" t="e">
        <f>IU39*#REF!</f>
        <v>#REF!</v>
      </c>
      <c r="GJ39">
        <f t="shared" ref="GJ39:HO39" si="34">SQRT(BI39)</f>
        <v>1</v>
      </c>
      <c r="GK39">
        <f t="shared" si="34"/>
        <v>1</v>
      </c>
      <c r="GL39">
        <f t="shared" si="34"/>
        <v>1</v>
      </c>
      <c r="GM39">
        <f t="shared" si="34"/>
        <v>1</v>
      </c>
      <c r="GN39">
        <f t="shared" si="34"/>
        <v>0</v>
      </c>
      <c r="GO39">
        <f t="shared" si="34"/>
        <v>0</v>
      </c>
      <c r="GP39">
        <f t="shared" si="34"/>
        <v>0</v>
      </c>
      <c r="GQ39">
        <f t="shared" si="34"/>
        <v>1</v>
      </c>
      <c r="GR39">
        <f t="shared" si="34"/>
        <v>0</v>
      </c>
      <c r="GS39">
        <f t="shared" si="34"/>
        <v>0</v>
      </c>
      <c r="GT39">
        <f t="shared" si="34"/>
        <v>0</v>
      </c>
      <c r="GU39">
        <f t="shared" si="34"/>
        <v>3.4641016151377544</v>
      </c>
      <c r="GV39">
        <f t="shared" si="34"/>
        <v>0</v>
      </c>
      <c r="GW39">
        <f t="shared" si="34"/>
        <v>2.4494897427831779</v>
      </c>
      <c r="GX39">
        <f t="shared" si="34"/>
        <v>0</v>
      </c>
      <c r="GY39">
        <f t="shared" si="34"/>
        <v>0</v>
      </c>
      <c r="GZ39">
        <f t="shared" si="34"/>
        <v>0</v>
      </c>
      <c r="HA39">
        <f t="shared" si="34"/>
        <v>1</v>
      </c>
      <c r="HB39">
        <f t="shared" si="34"/>
        <v>1</v>
      </c>
      <c r="HC39">
        <f t="shared" si="34"/>
        <v>0</v>
      </c>
      <c r="HD39">
        <f t="shared" si="34"/>
        <v>0</v>
      </c>
      <c r="HE39">
        <f t="shared" si="34"/>
        <v>0</v>
      </c>
      <c r="HF39">
        <f t="shared" si="34"/>
        <v>0</v>
      </c>
      <c r="HG39">
        <f t="shared" si="34"/>
        <v>0</v>
      </c>
      <c r="HH39">
        <f t="shared" si="34"/>
        <v>0</v>
      </c>
      <c r="HI39">
        <f t="shared" si="34"/>
        <v>0</v>
      </c>
      <c r="HJ39">
        <f t="shared" si="34"/>
        <v>0</v>
      </c>
      <c r="HK39">
        <f t="shared" si="34"/>
        <v>0</v>
      </c>
      <c r="HL39">
        <f t="shared" si="34"/>
        <v>0</v>
      </c>
      <c r="HM39">
        <f t="shared" si="34"/>
        <v>0</v>
      </c>
      <c r="HN39">
        <f t="shared" si="34"/>
        <v>0</v>
      </c>
      <c r="HO39">
        <f t="shared" si="34"/>
        <v>0</v>
      </c>
      <c r="HP39">
        <f t="shared" ref="HP39:IU39" si="35">SQRT(CO39)</f>
        <v>0</v>
      </c>
      <c r="HQ39">
        <f t="shared" si="35"/>
        <v>0</v>
      </c>
      <c r="HR39">
        <f t="shared" si="35"/>
        <v>0</v>
      </c>
      <c r="HS39">
        <f t="shared" si="35"/>
        <v>0</v>
      </c>
      <c r="HT39">
        <f t="shared" si="35"/>
        <v>0</v>
      </c>
      <c r="HU39">
        <f t="shared" si="35"/>
        <v>0</v>
      </c>
      <c r="HV39">
        <f t="shared" si="35"/>
        <v>0</v>
      </c>
      <c r="HW39">
        <f t="shared" si="35"/>
        <v>0</v>
      </c>
      <c r="HX39">
        <f t="shared" si="35"/>
        <v>0</v>
      </c>
      <c r="HY39">
        <f t="shared" si="35"/>
        <v>0</v>
      </c>
      <c r="HZ39">
        <f t="shared" si="35"/>
        <v>0</v>
      </c>
      <c r="IA39">
        <f t="shared" si="35"/>
        <v>0</v>
      </c>
      <c r="IB39">
        <f t="shared" si="35"/>
        <v>0</v>
      </c>
      <c r="IC39">
        <f t="shared" si="35"/>
        <v>0</v>
      </c>
      <c r="ID39">
        <f t="shared" si="35"/>
        <v>0</v>
      </c>
      <c r="IE39">
        <f t="shared" si="35"/>
        <v>0</v>
      </c>
      <c r="IF39">
        <f t="shared" si="35"/>
        <v>0</v>
      </c>
      <c r="IG39">
        <f t="shared" si="35"/>
        <v>0</v>
      </c>
      <c r="IH39">
        <f t="shared" si="35"/>
        <v>2.2360679774997898</v>
      </c>
      <c r="II39">
        <f t="shared" si="35"/>
        <v>3.3166247903553998</v>
      </c>
      <c r="IJ39">
        <f t="shared" si="35"/>
        <v>0</v>
      </c>
      <c r="IK39">
        <f t="shared" si="35"/>
        <v>0</v>
      </c>
      <c r="IL39">
        <f t="shared" si="35"/>
        <v>0</v>
      </c>
      <c r="IM39">
        <f t="shared" si="35"/>
        <v>0</v>
      </c>
      <c r="IN39">
        <f t="shared" si="35"/>
        <v>0</v>
      </c>
      <c r="IO39">
        <f t="shared" si="35"/>
        <v>0</v>
      </c>
      <c r="IP39">
        <f t="shared" si="35"/>
        <v>0</v>
      </c>
      <c r="IQ39">
        <f t="shared" si="35"/>
        <v>0</v>
      </c>
      <c r="IR39">
        <f t="shared" si="35"/>
        <v>0</v>
      </c>
      <c r="IS39">
        <f t="shared" si="35"/>
        <v>0</v>
      </c>
      <c r="IT39">
        <f t="shared" si="35"/>
        <v>0</v>
      </c>
      <c r="IU39">
        <f t="shared" si="35"/>
        <v>0</v>
      </c>
    </row>
    <row r="40" spans="1:284" ht="14.4" x14ac:dyDescent="0.3">
      <c r="A40" s="39" t="s">
        <v>2092</v>
      </c>
      <c r="B40" s="34" t="s">
        <v>2093</v>
      </c>
      <c r="C40" t="s">
        <v>199</v>
      </c>
      <c r="D40" t="s">
        <v>200</v>
      </c>
      <c r="G40" t="s">
        <v>3016</v>
      </c>
      <c r="H40" t="s">
        <v>649</v>
      </c>
      <c r="I40" t="s">
        <v>650</v>
      </c>
      <c r="M40" t="str">
        <f t="shared" si="13"/>
        <v xml:space="preserve"> </v>
      </c>
      <c r="N40" t="str">
        <f t="shared" si="14"/>
        <v xml:space="preserve"> </v>
      </c>
      <c r="P40" t="str">
        <f t="shared" si="15"/>
        <v xml:space="preserve"> </v>
      </c>
      <c r="Q40" t="str">
        <f t="shared" si="16"/>
        <v xml:space="preserve"> </v>
      </c>
      <c r="S40" t="str">
        <f t="shared" si="17"/>
        <v xml:space="preserve"> </v>
      </c>
      <c r="T40" t="str">
        <f t="shared" si="18"/>
        <v xml:space="preserve"> </v>
      </c>
      <c r="X40" t="s">
        <v>193</v>
      </c>
      <c r="Y40" t="s">
        <v>194</v>
      </c>
      <c r="AA40" t="str">
        <f t="shared" si="19"/>
        <v>Fort</v>
      </c>
      <c r="AB40" t="str">
        <f t="shared" si="20"/>
        <v>Fortress</v>
      </c>
      <c r="AC40">
        <v>3</v>
      </c>
      <c r="AD40" s="30">
        <v>914</v>
      </c>
      <c r="AE40" s="29" t="e">
        <f>(2*BH40+BI40/2)/3</f>
        <v>#REF!</v>
      </c>
      <c r="AF40">
        <v>983</v>
      </c>
      <c r="AG40" s="29" t="e">
        <f>(2*AE40+BB40)/2.1</f>
        <v>#REF!</v>
      </c>
      <c r="AH40" s="31">
        <f>(500+AI40*BC40)/(100*(AI40+1))</f>
        <v>4</v>
      </c>
      <c r="AI40" s="30">
        <v>2</v>
      </c>
      <c r="AJ40">
        <v>842</v>
      </c>
      <c r="AK40" s="14">
        <v>32.576103426889517</v>
      </c>
      <c r="AL40" s="14">
        <v>0</v>
      </c>
      <c r="AM40">
        <v>0</v>
      </c>
      <c r="AN40">
        <v>937</v>
      </c>
      <c r="AO40" s="15">
        <v>32.576103426889546</v>
      </c>
      <c r="AP40">
        <v>921</v>
      </c>
      <c r="AR40" s="4"/>
      <c r="AS40" s="4"/>
      <c r="AT40" s="15"/>
      <c r="AU40" s="15"/>
      <c r="AV40">
        <v>921</v>
      </c>
      <c r="AW40" s="14"/>
      <c r="AX40" s="4"/>
      <c r="AY40" s="4"/>
      <c r="BA40" s="15"/>
      <c r="BB40" s="29">
        <f>(500+BD40*100)/(AI40+1)+AI40/5</f>
        <v>400.4</v>
      </c>
      <c r="BC40" s="29">
        <v>350</v>
      </c>
      <c r="BD40" s="35">
        <v>7</v>
      </c>
      <c r="BE40" s="29"/>
      <c r="BF40" s="42" t="e">
        <f>AB40*AC40/100</f>
        <v>#VALUE!</v>
      </c>
      <c r="BG40" s="29" t="e">
        <f>(500+BF40*100)/(AC40+1)+AC40/5</f>
        <v>#VALUE!</v>
      </c>
      <c r="BH40" s="29" t="e">
        <f>(5*SUM(EJ40:FH40)+BM40*factor3)*BJ40</f>
        <v>#REF!</v>
      </c>
      <c r="BI40" s="29" t="e">
        <f>SUM(FI40:HC40)+BK40+BL40</f>
        <v>#REF!</v>
      </c>
      <c r="BJ40" s="32">
        <v>0.9</v>
      </c>
      <c r="BK40" s="29"/>
      <c r="BL40" s="29"/>
      <c r="BM40">
        <f>COUNT(BO40:CM40)</f>
        <v>2</v>
      </c>
      <c r="BW40">
        <v>1</v>
      </c>
      <c r="CK40">
        <v>2</v>
      </c>
      <c r="EJ40" t="e">
        <f>HE40*#REF!</f>
        <v>#REF!</v>
      </c>
      <c r="EK40" t="e">
        <f>HF40*#REF!</f>
        <v>#REF!</v>
      </c>
      <c r="EL40" t="e">
        <f>HG40*#REF!</f>
        <v>#REF!</v>
      </c>
      <c r="EM40" t="e">
        <f>HH40*#REF!</f>
        <v>#REF!</v>
      </c>
      <c r="EN40" t="e">
        <f>HI40*#REF!</f>
        <v>#REF!</v>
      </c>
      <c r="EO40" t="e">
        <f>HJ40*#REF!</f>
        <v>#REF!</v>
      </c>
      <c r="EP40" t="e">
        <f>HK40*#REF!</f>
        <v>#REF!</v>
      </c>
      <c r="EQ40" t="e">
        <f>HL40*#REF!</f>
        <v>#REF!</v>
      </c>
      <c r="ER40" t="e">
        <f>HM40*#REF!</f>
        <v>#REF!</v>
      </c>
      <c r="ES40" t="e">
        <f>HN40*#REF!</f>
        <v>#REF!</v>
      </c>
      <c r="ET40" t="e">
        <f>HO40*#REF!</f>
        <v>#REF!</v>
      </c>
      <c r="EU40" t="e">
        <f>HP40*#REF!</f>
        <v>#REF!</v>
      </c>
      <c r="EV40" t="e">
        <f>HQ40*#REF!</f>
        <v>#REF!</v>
      </c>
      <c r="EW40" t="e">
        <f>HR40*#REF!</f>
        <v>#REF!</v>
      </c>
      <c r="EX40" t="e">
        <f>HS40*#REF!</f>
        <v>#REF!</v>
      </c>
      <c r="EY40" t="e">
        <f>HT40*#REF!</f>
        <v>#REF!</v>
      </c>
      <c r="EZ40" t="e">
        <f>HU40*#REF!</f>
        <v>#REF!</v>
      </c>
      <c r="FA40" t="e">
        <f>HV40*#REF!</f>
        <v>#REF!</v>
      </c>
      <c r="FB40" t="e">
        <f>HW40*#REF!</f>
        <v>#REF!</v>
      </c>
      <c r="FC40" t="e">
        <f>HX40*#REF!</f>
        <v>#REF!</v>
      </c>
      <c r="FD40" t="e">
        <f>HY40*#REF!</f>
        <v>#REF!</v>
      </c>
      <c r="FE40" t="e">
        <f>HZ40*#REF!</f>
        <v>#REF!</v>
      </c>
      <c r="FF40" t="e">
        <f>IA40*#REF!</f>
        <v>#REF!</v>
      </c>
      <c r="FG40" t="e">
        <f>IA40*#REF!</f>
        <v>#REF!</v>
      </c>
      <c r="FH40" t="e">
        <f>IC40*#REF!</f>
        <v>#REF!</v>
      </c>
      <c r="FI40" t="e">
        <f>ID40*#REF!</f>
        <v>#REF!</v>
      </c>
      <c r="FJ40" t="e">
        <f>IE40*#REF!</f>
        <v>#REF!</v>
      </c>
      <c r="FK40" t="e">
        <f>IF40*#REF!</f>
        <v>#REF!</v>
      </c>
      <c r="FL40" t="e">
        <f>IG40*#REF!</f>
        <v>#REF!</v>
      </c>
      <c r="FM40" t="e">
        <f>IH40*#REF!</f>
        <v>#REF!</v>
      </c>
      <c r="FN40" t="e">
        <f>II40*#REF!</f>
        <v>#REF!</v>
      </c>
      <c r="FO40" t="e">
        <f>IJ40*#REF!</f>
        <v>#REF!</v>
      </c>
      <c r="FP40" t="e">
        <f>IK40*#REF!</f>
        <v>#REF!</v>
      </c>
      <c r="FQ40" t="e">
        <f>IL40*#REF!</f>
        <v>#REF!</v>
      </c>
      <c r="FR40" t="e">
        <f>IM40*#REF!</f>
        <v>#REF!</v>
      </c>
      <c r="FS40" t="e">
        <f>IN40*#REF!</f>
        <v>#REF!</v>
      </c>
      <c r="FT40" t="e">
        <f>IO40*#REF!</f>
        <v>#REF!</v>
      </c>
      <c r="FU40" t="e">
        <f>IP40*#REF!</f>
        <v>#REF!</v>
      </c>
      <c r="FV40" t="e">
        <f>IQ40*#REF!</f>
        <v>#REF!</v>
      </c>
      <c r="FW40" t="e">
        <f>IR40*#REF!</f>
        <v>#REF!</v>
      </c>
      <c r="FX40" t="e">
        <f>IS40*#REF!</f>
        <v>#REF!</v>
      </c>
      <c r="FY40" t="e">
        <f>IT40*#REF!</f>
        <v>#REF!</v>
      </c>
      <c r="FZ40" t="e">
        <f>IU40*#REF!</f>
        <v>#REF!</v>
      </c>
      <c r="GA40" t="e">
        <f>IV40*#REF!</f>
        <v>#REF!</v>
      </c>
      <c r="GB40" t="e">
        <f>IW40*#REF!</f>
        <v>#REF!</v>
      </c>
      <c r="GC40" t="e">
        <f>IX40*#REF!</f>
        <v>#REF!</v>
      </c>
      <c r="GD40" t="e">
        <f>IY40*#REF!</f>
        <v>#REF!</v>
      </c>
      <c r="GE40" t="e">
        <f>IZ40*#REF!</f>
        <v>#REF!</v>
      </c>
      <c r="GF40" t="e">
        <f>JA40*#REF!</f>
        <v>#REF!</v>
      </c>
      <c r="GG40" t="e">
        <f>JB40*#REF!</f>
        <v>#REF!</v>
      </c>
      <c r="GH40" t="e">
        <f>JC40*#REF!</f>
        <v>#REF!</v>
      </c>
      <c r="GI40" t="e">
        <f>JD40*#REF!</f>
        <v>#REF!</v>
      </c>
      <c r="GJ40" t="e">
        <f>JE40*#REF!</f>
        <v>#REF!</v>
      </c>
      <c r="GK40" t="e">
        <f>JF40*#REF!</f>
        <v>#REF!</v>
      </c>
      <c r="GL40" t="e">
        <f>JG40*#REF!</f>
        <v>#REF!</v>
      </c>
      <c r="GM40" t="e">
        <f>JH40*#REF!</f>
        <v>#REF!</v>
      </c>
      <c r="GN40" t="e">
        <f>JI40*#REF!</f>
        <v>#REF!</v>
      </c>
      <c r="GO40" t="e">
        <f>JJ40*#REF!</f>
        <v>#REF!</v>
      </c>
      <c r="GP40" t="e">
        <f>JK40*#REF!</f>
        <v>#REF!</v>
      </c>
      <c r="GQ40" t="e">
        <f>JL40*#REF!</f>
        <v>#REF!</v>
      </c>
      <c r="GR40" t="e">
        <f>JM40*#REF!</f>
        <v>#REF!</v>
      </c>
      <c r="GS40" t="e">
        <f>JN40*#REF!</f>
        <v>#REF!</v>
      </c>
      <c r="GT40" t="e">
        <f>JO40*#REF!</f>
        <v>#REF!</v>
      </c>
      <c r="GU40" t="e">
        <f>JP40*#REF!</f>
        <v>#REF!</v>
      </c>
      <c r="GV40" t="e">
        <f>JQ40*#REF!</f>
        <v>#REF!</v>
      </c>
      <c r="GW40" t="e">
        <f>JR40*#REF!</f>
        <v>#REF!</v>
      </c>
      <c r="GX40" t="e">
        <f>JS40*#REF!</f>
        <v>#REF!</v>
      </c>
      <c r="GY40" t="e">
        <f>JT40*#REF!</f>
        <v>#REF!</v>
      </c>
      <c r="GZ40" t="e">
        <f>JU40*#REF!</f>
        <v>#REF!</v>
      </c>
      <c r="HA40" t="e">
        <f>JV40*#REF!</f>
        <v>#REF!</v>
      </c>
      <c r="HB40" t="e">
        <f>JW40*#REF!</f>
        <v>#REF!</v>
      </c>
      <c r="HC40" t="e">
        <f>JX40*#REF!</f>
        <v>#REF!</v>
      </c>
      <c r="HE40">
        <f t="shared" ref="HE40:IJ40" si="36">SQRT(BO40)</f>
        <v>0</v>
      </c>
      <c r="HF40">
        <f t="shared" si="36"/>
        <v>0</v>
      </c>
      <c r="HG40">
        <f t="shared" si="36"/>
        <v>0</v>
      </c>
      <c r="HH40">
        <f t="shared" si="36"/>
        <v>0</v>
      </c>
      <c r="HI40">
        <f t="shared" si="36"/>
        <v>0</v>
      </c>
      <c r="HJ40">
        <f t="shared" si="36"/>
        <v>0</v>
      </c>
      <c r="HK40">
        <f t="shared" si="36"/>
        <v>0</v>
      </c>
      <c r="HL40">
        <f t="shared" si="36"/>
        <v>0</v>
      </c>
      <c r="HM40">
        <f t="shared" si="36"/>
        <v>1</v>
      </c>
      <c r="HN40">
        <f t="shared" si="36"/>
        <v>0</v>
      </c>
      <c r="HO40">
        <f t="shared" si="36"/>
        <v>0</v>
      </c>
      <c r="HP40">
        <f t="shared" si="36"/>
        <v>0</v>
      </c>
      <c r="HQ40">
        <f t="shared" si="36"/>
        <v>0</v>
      </c>
      <c r="HR40">
        <f t="shared" si="36"/>
        <v>0</v>
      </c>
      <c r="HS40">
        <f t="shared" si="36"/>
        <v>0</v>
      </c>
      <c r="HT40">
        <f t="shared" si="36"/>
        <v>0</v>
      </c>
      <c r="HU40">
        <f t="shared" si="36"/>
        <v>0</v>
      </c>
      <c r="HV40">
        <f t="shared" si="36"/>
        <v>0</v>
      </c>
      <c r="HW40">
        <f t="shared" si="36"/>
        <v>0</v>
      </c>
      <c r="HX40">
        <f t="shared" si="36"/>
        <v>0</v>
      </c>
      <c r="HY40">
        <f t="shared" si="36"/>
        <v>0</v>
      </c>
      <c r="HZ40">
        <f t="shared" si="36"/>
        <v>0</v>
      </c>
      <c r="IA40">
        <f t="shared" si="36"/>
        <v>1.4142135623730951</v>
      </c>
      <c r="IB40">
        <f t="shared" si="36"/>
        <v>0</v>
      </c>
      <c r="IC40">
        <f t="shared" si="36"/>
        <v>0</v>
      </c>
      <c r="ID40">
        <f t="shared" si="36"/>
        <v>0</v>
      </c>
      <c r="IE40">
        <f t="shared" si="36"/>
        <v>0</v>
      </c>
      <c r="IF40">
        <f t="shared" si="36"/>
        <v>0</v>
      </c>
      <c r="IG40">
        <f t="shared" si="36"/>
        <v>0</v>
      </c>
      <c r="IH40">
        <f t="shared" si="36"/>
        <v>0</v>
      </c>
      <c r="II40">
        <f t="shared" si="36"/>
        <v>0</v>
      </c>
      <c r="IJ40">
        <f t="shared" si="36"/>
        <v>0</v>
      </c>
      <c r="IK40">
        <f t="shared" ref="IK40:JC40" si="37">SQRT(CU40)</f>
        <v>0</v>
      </c>
      <c r="IL40">
        <f t="shared" si="37"/>
        <v>0</v>
      </c>
      <c r="IM40">
        <f t="shared" si="37"/>
        <v>0</v>
      </c>
      <c r="IN40">
        <f t="shared" si="37"/>
        <v>0</v>
      </c>
      <c r="IO40">
        <f t="shared" si="37"/>
        <v>0</v>
      </c>
      <c r="IP40">
        <f t="shared" si="37"/>
        <v>0</v>
      </c>
      <c r="IQ40">
        <f t="shared" si="37"/>
        <v>0</v>
      </c>
      <c r="IR40">
        <f t="shared" si="37"/>
        <v>0</v>
      </c>
      <c r="IS40">
        <f t="shared" si="37"/>
        <v>0</v>
      </c>
      <c r="IT40">
        <f t="shared" si="37"/>
        <v>0</v>
      </c>
      <c r="IU40">
        <f t="shared" si="37"/>
        <v>0</v>
      </c>
      <c r="IV40">
        <f t="shared" si="37"/>
        <v>0</v>
      </c>
      <c r="IW40">
        <f t="shared" si="37"/>
        <v>0</v>
      </c>
      <c r="IX40">
        <f t="shared" si="37"/>
        <v>0</v>
      </c>
      <c r="IY40">
        <f t="shared" si="37"/>
        <v>0</v>
      </c>
      <c r="IZ40">
        <f t="shared" si="37"/>
        <v>0</v>
      </c>
      <c r="JA40">
        <f t="shared" si="37"/>
        <v>0</v>
      </c>
      <c r="JB40">
        <f t="shared" si="37"/>
        <v>0</v>
      </c>
      <c r="JC40">
        <f t="shared" si="37"/>
        <v>0</v>
      </c>
      <c r="JD40">
        <f>SQRT(DM40)</f>
        <v>0</v>
      </c>
      <c r="JE40">
        <f>SQRT(DN40)</f>
        <v>0</v>
      </c>
      <c r="JF40">
        <f t="shared" ref="JF40:JX40" si="38">SQRT(DP40)</f>
        <v>0</v>
      </c>
      <c r="JG40">
        <f t="shared" si="38"/>
        <v>0</v>
      </c>
      <c r="JH40">
        <f t="shared" si="38"/>
        <v>0</v>
      </c>
      <c r="JI40">
        <f t="shared" si="38"/>
        <v>0</v>
      </c>
      <c r="JJ40">
        <f t="shared" si="38"/>
        <v>0</v>
      </c>
      <c r="JK40">
        <f t="shared" si="38"/>
        <v>0</v>
      </c>
      <c r="JL40">
        <f t="shared" si="38"/>
        <v>0</v>
      </c>
      <c r="JM40">
        <f t="shared" si="38"/>
        <v>0</v>
      </c>
      <c r="JN40">
        <f t="shared" si="38"/>
        <v>0</v>
      </c>
      <c r="JO40">
        <f t="shared" si="38"/>
        <v>0</v>
      </c>
      <c r="JP40">
        <f t="shared" si="38"/>
        <v>0</v>
      </c>
      <c r="JQ40">
        <f t="shared" si="38"/>
        <v>0</v>
      </c>
      <c r="JR40">
        <f t="shared" si="38"/>
        <v>0</v>
      </c>
      <c r="JS40">
        <f t="shared" si="38"/>
        <v>0</v>
      </c>
      <c r="JT40">
        <f t="shared" si="38"/>
        <v>0</v>
      </c>
      <c r="JU40">
        <f t="shared" si="38"/>
        <v>0</v>
      </c>
      <c r="JV40">
        <f t="shared" si="38"/>
        <v>0</v>
      </c>
      <c r="JW40">
        <f t="shared" si="38"/>
        <v>0</v>
      </c>
      <c r="JX40">
        <f t="shared" si="38"/>
        <v>0</v>
      </c>
    </row>
    <row r="41" spans="1:284" ht="14.25" customHeight="1" x14ac:dyDescent="0.25">
      <c r="A41" t="s">
        <v>2137</v>
      </c>
      <c r="B41" t="s">
        <v>2138</v>
      </c>
      <c r="C41" t="s">
        <v>137</v>
      </c>
      <c r="D41" t="s">
        <v>138</v>
      </c>
      <c r="E41" t="s">
        <v>139</v>
      </c>
      <c r="F41" t="s">
        <v>140</v>
      </c>
      <c r="G41" t="s">
        <v>2139</v>
      </c>
      <c r="H41" t="s">
        <v>426</v>
      </c>
      <c r="I41" t="s">
        <v>427</v>
      </c>
      <c r="L41">
        <v>19</v>
      </c>
      <c r="M41" t="str">
        <f t="shared" si="13"/>
        <v>Hoogteburcht</v>
      </c>
      <c r="N41" t="str">
        <f t="shared" si="14"/>
        <v>Mountain castle</v>
      </c>
      <c r="O41">
        <v>1</v>
      </c>
      <c r="P41" t="str">
        <f t="shared" si="15"/>
        <v>Donjon binnen weermuren</v>
      </c>
      <c r="Q41" t="str">
        <f t="shared" si="16"/>
        <v>Donjon inside curtain wall</v>
      </c>
      <c r="R41">
        <v>6</v>
      </c>
      <c r="S41" t="str">
        <f t="shared" si="17"/>
        <v>Intakt</v>
      </c>
      <c r="T41" t="str">
        <f t="shared" si="18"/>
        <v>Intact</v>
      </c>
      <c r="U41">
        <v>1</v>
      </c>
      <c r="X41" t="s">
        <v>2892</v>
      </c>
      <c r="Y41" t="s">
        <v>227</v>
      </c>
      <c r="AA41" t="str">
        <f t="shared" si="19"/>
        <v>Renaissance</v>
      </c>
      <c r="AB41" t="str">
        <f t="shared" si="20"/>
        <v>Renaissance</v>
      </c>
      <c r="AC41">
        <v>1</v>
      </c>
      <c r="AD41" s="14">
        <v>0</v>
      </c>
      <c r="AE41">
        <v>0</v>
      </c>
      <c r="AF41">
        <v>0</v>
      </c>
      <c r="AG41" s="15">
        <v>153.47900839752117</v>
      </c>
      <c r="AH41">
        <v>0</v>
      </c>
      <c r="AI41" s="14">
        <v>153.47900839752117</v>
      </c>
      <c r="AJ41" s="14">
        <v>0</v>
      </c>
      <c r="AK41">
        <v>0</v>
      </c>
      <c r="AL41">
        <v>0</v>
      </c>
      <c r="AM41" s="15">
        <v>153.47900839752117</v>
      </c>
      <c r="AN41">
        <v>0</v>
      </c>
      <c r="AO41" s="14">
        <v>145.88146802266488</v>
      </c>
      <c r="AP41" s="14">
        <v>0</v>
      </c>
      <c r="AQ41">
        <v>0</v>
      </c>
      <c r="AR41">
        <v>0</v>
      </c>
      <c r="AS41" s="15">
        <v>145.88146802266488</v>
      </c>
      <c r="AT41">
        <v>0</v>
      </c>
      <c r="AU41" s="14">
        <v>97.209922221664186</v>
      </c>
      <c r="AV41" s="14">
        <v>0</v>
      </c>
      <c r="AW41" s="15">
        <v>0</v>
      </c>
      <c r="AX41">
        <v>0</v>
      </c>
      <c r="AY41" s="15">
        <v>97.209922221664186</v>
      </c>
      <c r="AZ41">
        <f>COUNT(#REF!)</f>
        <v>0</v>
      </c>
      <c r="BA41">
        <v>-1</v>
      </c>
      <c r="BB41" s="15"/>
      <c r="CC41">
        <v>1</v>
      </c>
      <c r="CJ41">
        <v>2</v>
      </c>
      <c r="CK41">
        <v>3</v>
      </c>
      <c r="CU41">
        <v>4</v>
      </c>
      <c r="CV41">
        <v>4</v>
      </c>
      <c r="CX41">
        <v>2</v>
      </c>
      <c r="DB41">
        <v>10</v>
      </c>
    </row>
    <row r="42" spans="1:284" ht="14.4" x14ac:dyDescent="0.3">
      <c r="A42" t="s">
        <v>2172</v>
      </c>
      <c r="B42" s="34" t="s">
        <v>2173</v>
      </c>
      <c r="C42" t="s">
        <v>630</v>
      </c>
      <c r="D42" t="s">
        <v>631</v>
      </c>
      <c r="E42" t="s">
        <v>60</v>
      </c>
      <c r="F42" t="s">
        <v>61</v>
      </c>
      <c r="J42" s="28"/>
      <c r="K42" s="28"/>
      <c r="M42" t="str">
        <f t="shared" si="13"/>
        <v xml:space="preserve"> </v>
      </c>
      <c r="N42" t="str">
        <f t="shared" si="14"/>
        <v xml:space="preserve"> </v>
      </c>
      <c r="P42" t="str">
        <f t="shared" si="15"/>
        <v xml:space="preserve"> </v>
      </c>
      <c r="Q42" t="str">
        <f t="shared" si="16"/>
        <v xml:space="preserve"> </v>
      </c>
      <c r="S42" t="str">
        <f t="shared" si="17"/>
        <v xml:space="preserve"> </v>
      </c>
      <c r="T42" t="str">
        <f t="shared" si="18"/>
        <v xml:space="preserve"> </v>
      </c>
      <c r="V42" t="s">
        <v>73</v>
      </c>
      <c r="W42" t="s">
        <v>73</v>
      </c>
      <c r="X42" t="s">
        <v>2945</v>
      </c>
      <c r="Y42" t="s">
        <v>2946</v>
      </c>
      <c r="AA42" t="str">
        <f t="shared" si="19"/>
        <v>Kerkburcht</v>
      </c>
      <c r="AB42" t="str">
        <f t="shared" si="20"/>
        <v>Fortified church</v>
      </c>
      <c r="AC42">
        <v>8</v>
      </c>
      <c r="AD42" s="29" t="e">
        <f>(2*AH42+BJ42)/2.1</f>
        <v>#REF!</v>
      </c>
      <c r="AE42" s="40">
        <v>790</v>
      </c>
      <c r="AF42" s="41">
        <v>10</v>
      </c>
      <c r="AG42" s="30">
        <v>353</v>
      </c>
      <c r="AH42" s="29" t="e">
        <f>(2*BK42+BL42/2)/3</f>
        <v>#REF!</v>
      </c>
      <c r="AI42">
        <v>322</v>
      </c>
      <c r="AJ42" s="29" t="e">
        <f>(2*AH42+BE42)/2.1</f>
        <v>#REF!</v>
      </c>
      <c r="AK42" s="31">
        <f>(500+AL42*BF42)/(100*(AL42+1))</f>
        <v>7.4000000000000297</v>
      </c>
      <c r="AL42" s="30">
        <v>9</v>
      </c>
      <c r="AM42">
        <v>168</v>
      </c>
      <c r="AN42" s="19">
        <v>456.05645437492285</v>
      </c>
      <c r="AO42" s="14">
        <v>500</v>
      </c>
      <c r="AP42">
        <v>2</v>
      </c>
      <c r="AQ42">
        <v>636</v>
      </c>
      <c r="AR42" s="15">
        <v>122.72312104158954</v>
      </c>
      <c r="AS42">
        <v>671</v>
      </c>
      <c r="AT42" s="14">
        <v>83.673216366458661</v>
      </c>
      <c r="AU42" s="14">
        <v>0</v>
      </c>
      <c r="AV42">
        <v>0</v>
      </c>
      <c r="AW42">
        <v>636</v>
      </c>
      <c r="AX42" s="15">
        <v>83.673216366458661</v>
      </c>
      <c r="AY42">
        <v>482</v>
      </c>
      <c r="AZ42" s="14">
        <v>150.68583964684029</v>
      </c>
      <c r="BA42" s="14">
        <v>0</v>
      </c>
      <c r="BB42" s="15">
        <v>0</v>
      </c>
      <c r="BC42">
        <v>462</v>
      </c>
      <c r="BD42" s="15">
        <v>150.68583964684029</v>
      </c>
      <c r="BE42" s="29">
        <f>(500+BG42*100)/(AL42+1)+AL42/5</f>
        <v>741.8</v>
      </c>
      <c r="BF42" s="29">
        <v>766.66666666667004</v>
      </c>
      <c r="BG42" s="35">
        <v>69</v>
      </c>
      <c r="BH42" s="31"/>
      <c r="BI42" s="42">
        <f>AE42*AF42/100</f>
        <v>79</v>
      </c>
      <c r="BJ42" s="29">
        <f>(500+BI42*100)/(AF42+1)+AF42/5</f>
        <v>765.63636363636363</v>
      </c>
      <c r="BK42" s="29" t="e">
        <f>(5*SUM(EF42:FC42)+BP42*factor3)*BM42</f>
        <v>#REF!</v>
      </c>
      <c r="BL42" s="29" t="e">
        <f>SUM(FD42:GQ42)+BN42+BO42</f>
        <v>#REF!</v>
      </c>
      <c r="BM42" s="31">
        <v>1.4</v>
      </c>
      <c r="BN42" s="29">
        <v>224</v>
      </c>
      <c r="BO42" s="29">
        <v>224</v>
      </c>
      <c r="BP42">
        <f>COUNT(BR42:CO42)</f>
        <v>1</v>
      </c>
      <c r="CC42">
        <v>8</v>
      </c>
      <c r="EF42" t="e">
        <f>GS42*#REF!</f>
        <v>#REF!</v>
      </c>
      <c r="EG42" t="e">
        <f>GT42*#REF!</f>
        <v>#REF!</v>
      </c>
      <c r="EH42" t="e">
        <f>GU42*#REF!</f>
        <v>#REF!</v>
      </c>
      <c r="EI42" t="e">
        <f>GV42*#REF!</f>
        <v>#REF!</v>
      </c>
      <c r="EJ42" t="e">
        <f>GW42*#REF!</f>
        <v>#REF!</v>
      </c>
      <c r="EK42" t="e">
        <f>GX42*#REF!</f>
        <v>#REF!</v>
      </c>
      <c r="EL42" t="e">
        <f>GY42*#REF!</f>
        <v>#REF!</v>
      </c>
      <c r="EM42" t="e">
        <f>GZ42*#REF!</f>
        <v>#REF!</v>
      </c>
      <c r="EN42" t="e">
        <f>HA42*#REF!</f>
        <v>#REF!</v>
      </c>
      <c r="EO42" t="e">
        <f>HB42*#REF!</f>
        <v>#REF!</v>
      </c>
      <c r="EP42" t="e">
        <f>HC42*#REF!</f>
        <v>#REF!</v>
      </c>
      <c r="EQ42" t="e">
        <f>HD42*#REF!</f>
        <v>#REF!</v>
      </c>
      <c r="ER42" t="e">
        <f>HE42*#REF!</f>
        <v>#REF!</v>
      </c>
      <c r="ES42" t="e">
        <f>HF42*#REF!</f>
        <v>#REF!</v>
      </c>
      <c r="ET42" t="e">
        <f>HG42*#REF!</f>
        <v>#REF!</v>
      </c>
      <c r="EU42" t="e">
        <f>HH42*#REF!</f>
        <v>#REF!</v>
      </c>
      <c r="EV42" t="e">
        <f>HI42*#REF!</f>
        <v>#REF!</v>
      </c>
      <c r="EW42" t="e">
        <f>HJ42*#REF!</f>
        <v>#REF!</v>
      </c>
      <c r="EX42" t="e">
        <f>HK42*#REF!</f>
        <v>#REF!</v>
      </c>
      <c r="EY42" t="e">
        <f>HL42*#REF!</f>
        <v>#REF!</v>
      </c>
      <c r="EZ42" t="e">
        <f>HM42*#REF!</f>
        <v>#REF!</v>
      </c>
      <c r="FA42" t="e">
        <f>HN42*#REF!</f>
        <v>#REF!</v>
      </c>
      <c r="FB42" t="e">
        <f>HO42*#REF!</f>
        <v>#REF!</v>
      </c>
      <c r="FC42" t="e">
        <f>HP42*#REF!</f>
        <v>#REF!</v>
      </c>
      <c r="FD42" t="e">
        <f>HQ42*#REF!</f>
        <v>#REF!</v>
      </c>
      <c r="FE42" t="e">
        <f>HR42*#REF!</f>
        <v>#REF!</v>
      </c>
      <c r="FF42" t="e">
        <f>HS42*#REF!</f>
        <v>#REF!</v>
      </c>
      <c r="FG42" t="e">
        <f>HT42*#REF!</f>
        <v>#REF!</v>
      </c>
      <c r="FH42" t="e">
        <f>HU42*#REF!</f>
        <v>#REF!</v>
      </c>
      <c r="FI42" t="e">
        <f>HV42*#REF!</f>
        <v>#REF!</v>
      </c>
      <c r="FJ42" t="e">
        <f>HW42*#REF!</f>
        <v>#REF!</v>
      </c>
      <c r="FK42" t="e">
        <f>HX42*#REF!</f>
        <v>#REF!</v>
      </c>
      <c r="FL42" t="e">
        <f>HY42*#REF!</f>
        <v>#REF!</v>
      </c>
      <c r="FM42" t="e">
        <f>HZ42*#REF!</f>
        <v>#REF!</v>
      </c>
      <c r="FN42" t="e">
        <f>IA42*#REF!</f>
        <v>#REF!</v>
      </c>
      <c r="FO42" t="e">
        <f>IB42*#REF!</f>
        <v>#REF!</v>
      </c>
      <c r="FP42" t="e">
        <f>IC42*#REF!</f>
        <v>#REF!</v>
      </c>
      <c r="FQ42" t="e">
        <f>ID42*#REF!</f>
        <v>#REF!</v>
      </c>
      <c r="FR42" t="e">
        <f>IE42*#REF!</f>
        <v>#REF!</v>
      </c>
      <c r="FS42" t="e">
        <f>IF42*#REF!</f>
        <v>#REF!</v>
      </c>
      <c r="FT42" t="e">
        <f>IG42*#REF!</f>
        <v>#REF!</v>
      </c>
      <c r="FU42" t="e">
        <f>IH42*#REF!</f>
        <v>#REF!</v>
      </c>
      <c r="FV42" t="e">
        <f>II42*#REF!</f>
        <v>#REF!</v>
      </c>
      <c r="FW42" t="e">
        <f>IJ42*#REF!</f>
        <v>#REF!</v>
      </c>
      <c r="FX42" t="e">
        <f>IK42*#REF!</f>
        <v>#REF!</v>
      </c>
      <c r="FY42" t="e">
        <f>IL42*#REF!</f>
        <v>#REF!</v>
      </c>
      <c r="FZ42" t="e">
        <f>IM42*#REF!</f>
        <v>#REF!</v>
      </c>
      <c r="GA42" t="e">
        <f>IN42*#REF!</f>
        <v>#REF!</v>
      </c>
      <c r="GB42" t="e">
        <f>IO42*#REF!</f>
        <v>#REF!</v>
      </c>
      <c r="GC42" t="e">
        <f>IP42*#REF!</f>
        <v>#REF!</v>
      </c>
      <c r="GD42" t="e">
        <f>IQ42*#REF!</f>
        <v>#REF!</v>
      </c>
      <c r="GE42" t="e">
        <f>IR42*#REF!</f>
        <v>#REF!</v>
      </c>
      <c r="GF42" t="e">
        <f>IS42*#REF!</f>
        <v>#REF!</v>
      </c>
      <c r="GG42" t="e">
        <f>IT42*#REF!</f>
        <v>#REF!</v>
      </c>
      <c r="GH42" t="e">
        <f>IU42*#REF!</f>
        <v>#REF!</v>
      </c>
      <c r="GI42" t="e">
        <f>IV42*#REF!</f>
        <v>#REF!</v>
      </c>
      <c r="GJ42" t="e">
        <f>IW42*#REF!</f>
        <v>#REF!</v>
      </c>
      <c r="GK42" t="e">
        <f>IX42*#REF!</f>
        <v>#REF!</v>
      </c>
      <c r="GL42" t="e">
        <f>IY42*#REF!</f>
        <v>#REF!</v>
      </c>
      <c r="GM42" t="e">
        <f>IZ42*#REF!</f>
        <v>#REF!</v>
      </c>
      <c r="GN42" t="e">
        <f>JA42*#REF!</f>
        <v>#REF!</v>
      </c>
      <c r="GO42" t="e">
        <f>JB42*#REF!</f>
        <v>#REF!</v>
      </c>
      <c r="GP42" t="e">
        <f>JC42*#REF!</f>
        <v>#REF!</v>
      </c>
      <c r="GQ42" t="e">
        <f>JD42*#REF!</f>
        <v>#REF!</v>
      </c>
      <c r="GS42">
        <f t="shared" ref="GS42:HX42" si="39">SQRT(BR42)</f>
        <v>0</v>
      </c>
      <c r="GT42">
        <f t="shared" si="39"/>
        <v>0</v>
      </c>
      <c r="GU42">
        <f t="shared" si="39"/>
        <v>0</v>
      </c>
      <c r="GV42">
        <f t="shared" si="39"/>
        <v>0</v>
      </c>
      <c r="GW42">
        <f t="shared" si="39"/>
        <v>0</v>
      </c>
      <c r="GX42">
        <f t="shared" si="39"/>
        <v>0</v>
      </c>
      <c r="GY42">
        <f t="shared" si="39"/>
        <v>0</v>
      </c>
      <c r="GZ42">
        <f t="shared" si="39"/>
        <v>0</v>
      </c>
      <c r="HA42">
        <f t="shared" si="39"/>
        <v>0</v>
      </c>
      <c r="HB42">
        <f t="shared" si="39"/>
        <v>0</v>
      </c>
      <c r="HC42">
        <f t="shared" si="39"/>
        <v>0</v>
      </c>
      <c r="HD42">
        <f t="shared" si="39"/>
        <v>2.8284271247461903</v>
      </c>
      <c r="HE42">
        <f t="shared" si="39"/>
        <v>0</v>
      </c>
      <c r="HF42">
        <f t="shared" si="39"/>
        <v>0</v>
      </c>
      <c r="HG42">
        <f t="shared" si="39"/>
        <v>0</v>
      </c>
      <c r="HH42">
        <f t="shared" si="39"/>
        <v>0</v>
      </c>
      <c r="HI42">
        <f t="shared" si="39"/>
        <v>0</v>
      </c>
      <c r="HJ42">
        <f t="shared" si="39"/>
        <v>0</v>
      </c>
      <c r="HK42">
        <f t="shared" si="39"/>
        <v>0</v>
      </c>
      <c r="HL42">
        <f t="shared" si="39"/>
        <v>0</v>
      </c>
      <c r="HM42">
        <f t="shared" si="39"/>
        <v>0</v>
      </c>
      <c r="HN42">
        <f t="shared" si="39"/>
        <v>0</v>
      </c>
      <c r="HO42">
        <f t="shared" si="39"/>
        <v>0</v>
      </c>
      <c r="HP42">
        <f t="shared" si="39"/>
        <v>0</v>
      </c>
      <c r="HQ42">
        <f t="shared" si="39"/>
        <v>0</v>
      </c>
      <c r="HR42">
        <f t="shared" si="39"/>
        <v>0</v>
      </c>
      <c r="HS42">
        <f t="shared" si="39"/>
        <v>0</v>
      </c>
      <c r="HT42">
        <f t="shared" si="39"/>
        <v>0</v>
      </c>
      <c r="HU42">
        <f t="shared" si="39"/>
        <v>0</v>
      </c>
      <c r="HV42">
        <f t="shared" si="39"/>
        <v>0</v>
      </c>
      <c r="HW42">
        <f t="shared" si="39"/>
        <v>0</v>
      </c>
      <c r="HX42">
        <f t="shared" si="39"/>
        <v>0</v>
      </c>
      <c r="HY42">
        <f t="shared" ref="HY42:JD42" si="40">SQRT(CX42)</f>
        <v>0</v>
      </c>
      <c r="HZ42">
        <f t="shared" si="40"/>
        <v>0</v>
      </c>
      <c r="IA42">
        <f t="shared" si="40"/>
        <v>0</v>
      </c>
      <c r="IB42">
        <f t="shared" si="40"/>
        <v>0</v>
      </c>
      <c r="IC42">
        <f t="shared" si="40"/>
        <v>0</v>
      </c>
      <c r="ID42">
        <f t="shared" si="40"/>
        <v>0</v>
      </c>
      <c r="IE42">
        <f t="shared" si="40"/>
        <v>0</v>
      </c>
      <c r="IF42">
        <f t="shared" si="40"/>
        <v>0</v>
      </c>
      <c r="IG42">
        <f t="shared" si="40"/>
        <v>0</v>
      </c>
      <c r="IH42">
        <f t="shared" si="40"/>
        <v>0</v>
      </c>
      <c r="II42">
        <f t="shared" si="40"/>
        <v>0</v>
      </c>
      <c r="IJ42">
        <f t="shared" si="40"/>
        <v>0</v>
      </c>
      <c r="IK42">
        <f t="shared" si="40"/>
        <v>0</v>
      </c>
      <c r="IL42">
        <f t="shared" si="40"/>
        <v>0</v>
      </c>
      <c r="IM42">
        <f t="shared" si="40"/>
        <v>0</v>
      </c>
      <c r="IN42">
        <f t="shared" si="40"/>
        <v>0</v>
      </c>
      <c r="IO42">
        <f t="shared" si="40"/>
        <v>0</v>
      </c>
      <c r="IP42">
        <f t="shared" si="40"/>
        <v>0</v>
      </c>
      <c r="IQ42">
        <f t="shared" si="40"/>
        <v>0</v>
      </c>
      <c r="IR42">
        <f t="shared" si="40"/>
        <v>0</v>
      </c>
      <c r="IS42">
        <f t="shared" si="40"/>
        <v>0</v>
      </c>
      <c r="IT42">
        <f t="shared" si="40"/>
        <v>0</v>
      </c>
      <c r="IU42">
        <f t="shared" si="40"/>
        <v>0</v>
      </c>
      <c r="IV42">
        <f t="shared" si="40"/>
        <v>0</v>
      </c>
      <c r="IW42">
        <f t="shared" si="40"/>
        <v>0</v>
      </c>
      <c r="IX42">
        <f t="shared" si="40"/>
        <v>0</v>
      </c>
      <c r="IY42">
        <f t="shared" si="40"/>
        <v>0</v>
      </c>
      <c r="IZ42">
        <f t="shared" si="40"/>
        <v>0</v>
      </c>
      <c r="JA42">
        <f t="shared" si="40"/>
        <v>0</v>
      </c>
      <c r="JB42">
        <f t="shared" si="40"/>
        <v>0</v>
      </c>
      <c r="JC42">
        <f t="shared" si="40"/>
        <v>0</v>
      </c>
      <c r="JD42">
        <f t="shared" si="40"/>
        <v>0</v>
      </c>
    </row>
    <row r="43" spans="1:284" ht="14.4" x14ac:dyDescent="0.3">
      <c r="A43" t="s">
        <v>2196</v>
      </c>
      <c r="B43" s="34" t="s">
        <v>2197</v>
      </c>
      <c r="C43" t="s">
        <v>169</v>
      </c>
      <c r="D43" t="s">
        <v>170</v>
      </c>
      <c r="E43" t="s">
        <v>79</v>
      </c>
      <c r="F43" t="s">
        <v>80</v>
      </c>
      <c r="G43" t="s">
        <v>1711</v>
      </c>
      <c r="M43" t="str">
        <f t="shared" si="13"/>
        <v xml:space="preserve"> </v>
      </c>
      <c r="N43" t="str">
        <f t="shared" si="14"/>
        <v xml:space="preserve"> </v>
      </c>
      <c r="P43" t="str">
        <f t="shared" si="15"/>
        <v xml:space="preserve"> </v>
      </c>
      <c r="Q43" t="str">
        <f t="shared" si="16"/>
        <v xml:space="preserve"> </v>
      </c>
      <c r="S43" t="str">
        <f t="shared" si="17"/>
        <v xml:space="preserve"> </v>
      </c>
      <c r="T43" t="str">
        <f t="shared" si="18"/>
        <v xml:space="preserve"> </v>
      </c>
      <c r="V43" t="s">
        <v>73</v>
      </c>
      <c r="W43" t="s">
        <v>73</v>
      </c>
      <c r="X43" t="s">
        <v>2891</v>
      </c>
      <c r="Y43" t="s">
        <v>423</v>
      </c>
      <c r="AA43" t="str">
        <f t="shared" si="19"/>
        <v>Oudheid</v>
      </c>
      <c r="AB43" t="str">
        <f t="shared" si="20"/>
        <v>Prehistoric</v>
      </c>
      <c r="AC43">
        <v>5</v>
      </c>
      <c r="AD43" s="29" t="e">
        <f>(2*AH43+BJ43)/2.1</f>
        <v>#REF!</v>
      </c>
      <c r="AE43" s="40">
        <v>750</v>
      </c>
      <c r="AF43" s="41">
        <v>4</v>
      </c>
      <c r="AG43" s="30">
        <v>848</v>
      </c>
      <c r="AH43" s="29" t="e">
        <f>(2*BK43+BL43/2)/3</f>
        <v>#REF!</v>
      </c>
      <c r="AI43">
        <v>631</v>
      </c>
      <c r="AJ43" s="29" t="e">
        <f>(2*AH43+BE43)/2.1</f>
        <v>#REF!</v>
      </c>
      <c r="AK43" s="31">
        <f>(500+AL43*BF43)/(100*(AL43+1))</f>
        <v>7.5</v>
      </c>
      <c r="AL43" s="30">
        <v>1</v>
      </c>
      <c r="AM43">
        <v>655</v>
      </c>
      <c r="AN43" s="14">
        <v>103.7050354042608</v>
      </c>
      <c r="AO43" s="14">
        <v>0</v>
      </c>
      <c r="AP43">
        <v>0</v>
      </c>
      <c r="AQ43">
        <v>836</v>
      </c>
      <c r="AR43" s="15">
        <v>103.70503540426074</v>
      </c>
      <c r="AS43">
        <v>839</v>
      </c>
      <c r="AT43" s="14">
        <v>32.074895864741364</v>
      </c>
      <c r="AU43" s="14">
        <v>0</v>
      </c>
      <c r="AV43">
        <v>0</v>
      </c>
      <c r="AW43">
        <v>836</v>
      </c>
      <c r="AX43" s="15">
        <v>32.074895864741364</v>
      </c>
      <c r="AY43">
        <v>818</v>
      </c>
      <c r="AZ43" s="14">
        <v>29.352182518111363</v>
      </c>
      <c r="BA43" s="14">
        <v>0</v>
      </c>
      <c r="BB43" s="15">
        <v>0</v>
      </c>
      <c r="BC43">
        <v>832</v>
      </c>
      <c r="BD43" s="15">
        <v>29.352182518111363</v>
      </c>
      <c r="BE43" s="29">
        <f>(500+BG43*100)/(AL43+1)+AL43/5</f>
        <v>750.2</v>
      </c>
      <c r="BF43" s="29">
        <v>1000</v>
      </c>
      <c r="BG43" s="35">
        <v>10</v>
      </c>
      <c r="BH43" s="31"/>
      <c r="BI43" s="42">
        <f>AE43*AF43/100</f>
        <v>30</v>
      </c>
      <c r="BJ43" s="29">
        <f>(500+BI43*100)/(AF43+1)+AF43/5</f>
        <v>700.8</v>
      </c>
      <c r="BK43" s="29" t="e">
        <f>(5*SUM(EF43:FC43)+BP43*factor3)*BM43</f>
        <v>#REF!</v>
      </c>
      <c r="BL43" s="29" t="e">
        <f>SUM(FD43:GQ43)+BN43+BO43</f>
        <v>#REF!</v>
      </c>
      <c r="BM43" s="29">
        <v>1</v>
      </c>
      <c r="BN43" s="29">
        <v>224</v>
      </c>
      <c r="BO43" s="29"/>
      <c r="BP43">
        <f>COUNT(BR43:CO43)</f>
        <v>1</v>
      </c>
      <c r="BV43">
        <v>1</v>
      </c>
      <c r="EF43" t="e">
        <f>GT43*#REF!</f>
        <v>#REF!</v>
      </c>
      <c r="EG43" t="e">
        <f>GU43*#REF!</f>
        <v>#REF!</v>
      </c>
      <c r="EH43" t="e">
        <f>GV43*#REF!</f>
        <v>#REF!</v>
      </c>
      <c r="EI43" t="e">
        <f>GW43*#REF!</f>
        <v>#REF!</v>
      </c>
      <c r="EJ43" t="e">
        <f>GX43*#REF!</f>
        <v>#REF!</v>
      </c>
      <c r="EK43" t="e">
        <f>GY43*#REF!</f>
        <v>#REF!</v>
      </c>
      <c r="EL43" t="e">
        <f>GZ43*#REF!</f>
        <v>#REF!</v>
      </c>
      <c r="EM43" t="e">
        <f>HA43*#REF!</f>
        <v>#REF!</v>
      </c>
      <c r="EN43" t="e">
        <f>HB43*#REF!</f>
        <v>#REF!</v>
      </c>
      <c r="EO43" t="e">
        <f>HC43*#REF!</f>
        <v>#REF!</v>
      </c>
      <c r="EP43" t="e">
        <f>HD43*#REF!</f>
        <v>#REF!</v>
      </c>
      <c r="EQ43" t="e">
        <f>HE43*#REF!</f>
        <v>#REF!</v>
      </c>
      <c r="ER43" t="e">
        <f>HF43*#REF!</f>
        <v>#REF!</v>
      </c>
      <c r="ES43" t="e">
        <f>HG43*#REF!</f>
        <v>#REF!</v>
      </c>
      <c r="ET43" t="e">
        <f>HH43*#REF!</f>
        <v>#REF!</v>
      </c>
      <c r="EU43" t="e">
        <f>HI43*#REF!</f>
        <v>#REF!</v>
      </c>
      <c r="EV43" t="e">
        <f>HJ43*#REF!</f>
        <v>#REF!</v>
      </c>
      <c r="EW43" t="e">
        <f>HK43*#REF!</f>
        <v>#REF!</v>
      </c>
      <c r="EX43" t="e">
        <f>HL43*#REF!</f>
        <v>#REF!</v>
      </c>
      <c r="EY43" t="e">
        <f>HM43*#REF!</f>
        <v>#REF!</v>
      </c>
      <c r="EZ43" t="e">
        <f>HN43*#REF!</f>
        <v>#REF!</v>
      </c>
      <c r="FA43" t="e">
        <f>HO43*#REF!</f>
        <v>#REF!</v>
      </c>
      <c r="FB43" t="e">
        <f>HP43*#REF!</f>
        <v>#REF!</v>
      </c>
      <c r="FC43" t="e">
        <f>HQ43*#REF!</f>
        <v>#REF!</v>
      </c>
      <c r="FD43" t="e">
        <f>HR43*#REF!</f>
        <v>#REF!</v>
      </c>
      <c r="FE43" t="e">
        <f>HS43*#REF!</f>
        <v>#REF!</v>
      </c>
      <c r="FF43" t="e">
        <f>HT43*#REF!</f>
        <v>#REF!</v>
      </c>
      <c r="FG43" t="e">
        <f>HU43*#REF!</f>
        <v>#REF!</v>
      </c>
      <c r="FH43" t="e">
        <f>HV43*#REF!</f>
        <v>#REF!</v>
      </c>
      <c r="FI43" t="e">
        <f>HW43*#REF!</f>
        <v>#REF!</v>
      </c>
      <c r="FJ43" t="e">
        <f>HX43*#REF!</f>
        <v>#REF!</v>
      </c>
      <c r="FK43" t="e">
        <f>HY43*#REF!</f>
        <v>#REF!</v>
      </c>
      <c r="FL43" t="e">
        <f>HZ43*#REF!</f>
        <v>#REF!</v>
      </c>
      <c r="FM43" t="e">
        <f>IA43*#REF!</f>
        <v>#REF!</v>
      </c>
      <c r="FN43" t="e">
        <f>IB43*#REF!</f>
        <v>#REF!</v>
      </c>
      <c r="FO43" t="e">
        <f>IC43*#REF!</f>
        <v>#REF!</v>
      </c>
      <c r="FP43" t="e">
        <f>ID43*#REF!</f>
        <v>#REF!</v>
      </c>
      <c r="FQ43" t="e">
        <f>IE43*#REF!</f>
        <v>#REF!</v>
      </c>
      <c r="FR43" t="e">
        <f>IF43*#REF!</f>
        <v>#REF!</v>
      </c>
      <c r="FS43" t="e">
        <f>IG43*#REF!</f>
        <v>#REF!</v>
      </c>
      <c r="FT43" t="e">
        <f>IH43*#REF!</f>
        <v>#REF!</v>
      </c>
      <c r="FU43" t="e">
        <f>II43*#REF!</f>
        <v>#REF!</v>
      </c>
      <c r="FV43" t="e">
        <f>IJ43*#REF!</f>
        <v>#REF!</v>
      </c>
      <c r="FW43" t="e">
        <f>IK43*#REF!</f>
        <v>#REF!</v>
      </c>
      <c r="FX43" t="e">
        <f>IL43*#REF!</f>
        <v>#REF!</v>
      </c>
      <c r="FY43" t="e">
        <f>IM43*#REF!</f>
        <v>#REF!</v>
      </c>
      <c r="FZ43" t="e">
        <f>IN43*#REF!</f>
        <v>#REF!</v>
      </c>
      <c r="GA43" t="e">
        <f>IO43*#REF!</f>
        <v>#REF!</v>
      </c>
      <c r="GB43" t="e">
        <f>IP43*#REF!</f>
        <v>#REF!</v>
      </c>
      <c r="GC43" t="e">
        <f>IQ43*#REF!</f>
        <v>#REF!</v>
      </c>
      <c r="GD43" t="e">
        <f>IR43*#REF!</f>
        <v>#REF!</v>
      </c>
      <c r="GE43" t="e">
        <f>IS43*#REF!</f>
        <v>#REF!</v>
      </c>
      <c r="GF43" t="e">
        <f>IT43*#REF!</f>
        <v>#REF!</v>
      </c>
      <c r="GG43" t="e">
        <f>IU43*#REF!</f>
        <v>#REF!</v>
      </c>
      <c r="GH43" t="e">
        <f>IV43*#REF!</f>
        <v>#REF!</v>
      </c>
      <c r="GI43" t="e">
        <f>IW43*#REF!</f>
        <v>#REF!</v>
      </c>
      <c r="GJ43" t="e">
        <f>IX43*#REF!</f>
        <v>#REF!</v>
      </c>
      <c r="GK43" t="e">
        <f>IY43*#REF!</f>
        <v>#REF!</v>
      </c>
      <c r="GL43" t="e">
        <f>IZ43*#REF!</f>
        <v>#REF!</v>
      </c>
      <c r="GM43" t="e">
        <f>JA43*#REF!</f>
        <v>#REF!</v>
      </c>
      <c r="GN43" t="e">
        <f>JB43*#REF!</f>
        <v>#REF!</v>
      </c>
      <c r="GO43" t="e">
        <f>JC43*#REF!</f>
        <v>#REF!</v>
      </c>
      <c r="GP43" t="e">
        <f>JD43*#REF!</f>
        <v>#REF!</v>
      </c>
      <c r="GQ43" t="e">
        <f>JE43*#REF!</f>
        <v>#REF!</v>
      </c>
      <c r="GR43" t="e">
        <f>JF43*#REF!</f>
        <v>#REF!</v>
      </c>
      <c r="GT43">
        <f t="shared" ref="GT43:HC44" si="41">SQRT(BR43)</f>
        <v>0</v>
      </c>
      <c r="GU43">
        <f t="shared" si="41"/>
        <v>0</v>
      </c>
      <c r="GV43">
        <f t="shared" si="41"/>
        <v>0</v>
      </c>
      <c r="GW43">
        <f t="shared" si="41"/>
        <v>0</v>
      </c>
      <c r="GX43">
        <f t="shared" si="41"/>
        <v>1</v>
      </c>
      <c r="GY43">
        <f t="shared" si="41"/>
        <v>0</v>
      </c>
      <c r="GZ43">
        <f t="shared" si="41"/>
        <v>0</v>
      </c>
      <c r="HA43">
        <f t="shared" si="41"/>
        <v>0</v>
      </c>
      <c r="HB43">
        <f t="shared" si="41"/>
        <v>0</v>
      </c>
      <c r="HC43">
        <f t="shared" si="41"/>
        <v>0</v>
      </c>
      <c r="HD43">
        <f t="shared" ref="HD43:HM44" si="42">SQRT(CB43)</f>
        <v>0</v>
      </c>
      <c r="HE43">
        <f t="shared" si="42"/>
        <v>0</v>
      </c>
      <c r="HF43">
        <f t="shared" si="42"/>
        <v>0</v>
      </c>
      <c r="HG43">
        <f t="shared" si="42"/>
        <v>0</v>
      </c>
      <c r="HH43">
        <f t="shared" si="42"/>
        <v>0</v>
      </c>
      <c r="HI43">
        <f t="shared" si="42"/>
        <v>0</v>
      </c>
      <c r="HJ43">
        <f t="shared" si="42"/>
        <v>0</v>
      </c>
      <c r="HK43">
        <f t="shared" si="42"/>
        <v>0</v>
      </c>
      <c r="HL43">
        <f t="shared" si="42"/>
        <v>0</v>
      </c>
      <c r="HM43">
        <f t="shared" si="42"/>
        <v>0</v>
      </c>
      <c r="HN43">
        <f t="shared" ref="HN43:HW44" si="43">SQRT(CL43)</f>
        <v>0</v>
      </c>
      <c r="HO43">
        <f t="shared" si="43"/>
        <v>0</v>
      </c>
      <c r="HP43">
        <f t="shared" si="43"/>
        <v>0</v>
      </c>
      <c r="HQ43">
        <f t="shared" si="43"/>
        <v>0</v>
      </c>
      <c r="HR43">
        <f t="shared" si="43"/>
        <v>0</v>
      </c>
      <c r="HS43">
        <f t="shared" si="43"/>
        <v>0</v>
      </c>
      <c r="HT43">
        <f t="shared" si="43"/>
        <v>0</v>
      </c>
      <c r="HU43">
        <f t="shared" si="43"/>
        <v>0</v>
      </c>
      <c r="HV43">
        <f t="shared" si="43"/>
        <v>0</v>
      </c>
      <c r="HW43">
        <f t="shared" si="43"/>
        <v>0</v>
      </c>
      <c r="HX43">
        <f t="shared" ref="HX43:IG44" si="44">SQRT(CV43)</f>
        <v>0</v>
      </c>
      <c r="HY43">
        <f t="shared" si="44"/>
        <v>0</v>
      </c>
      <c r="HZ43">
        <f t="shared" si="44"/>
        <v>0</v>
      </c>
      <c r="IA43">
        <f t="shared" si="44"/>
        <v>0</v>
      </c>
      <c r="IB43">
        <f t="shared" si="44"/>
        <v>0</v>
      </c>
      <c r="IC43">
        <f t="shared" si="44"/>
        <v>0</v>
      </c>
      <c r="ID43">
        <f t="shared" si="44"/>
        <v>0</v>
      </c>
      <c r="IE43">
        <f t="shared" si="44"/>
        <v>0</v>
      </c>
      <c r="IF43">
        <f t="shared" si="44"/>
        <v>0</v>
      </c>
      <c r="IG43">
        <f t="shared" si="44"/>
        <v>0</v>
      </c>
      <c r="IH43">
        <f t="shared" ref="IH43:IQ44" si="45">SQRT(DF43)</f>
        <v>0</v>
      </c>
      <c r="II43">
        <f t="shared" si="45"/>
        <v>0</v>
      </c>
      <c r="IJ43">
        <f t="shared" si="45"/>
        <v>0</v>
      </c>
      <c r="IK43">
        <f t="shared" si="45"/>
        <v>0</v>
      </c>
      <c r="IL43">
        <f t="shared" si="45"/>
        <v>0</v>
      </c>
      <c r="IM43">
        <f t="shared" si="45"/>
        <v>0</v>
      </c>
      <c r="IN43">
        <f t="shared" si="45"/>
        <v>0</v>
      </c>
      <c r="IO43">
        <f t="shared" si="45"/>
        <v>0</v>
      </c>
      <c r="IP43">
        <f t="shared" si="45"/>
        <v>0</v>
      </c>
      <c r="IQ43">
        <f t="shared" si="45"/>
        <v>0</v>
      </c>
      <c r="IR43">
        <f t="shared" ref="IR43:JA44" si="46">SQRT(DP43)</f>
        <v>0</v>
      </c>
      <c r="IS43">
        <f t="shared" si="46"/>
        <v>0</v>
      </c>
      <c r="IT43">
        <f t="shared" si="46"/>
        <v>0</v>
      </c>
      <c r="IU43">
        <f t="shared" si="46"/>
        <v>0</v>
      </c>
      <c r="IV43">
        <f t="shared" si="46"/>
        <v>0</v>
      </c>
      <c r="IW43">
        <f t="shared" si="46"/>
        <v>0</v>
      </c>
      <c r="IX43">
        <f t="shared" si="46"/>
        <v>0</v>
      </c>
      <c r="IY43">
        <f t="shared" si="46"/>
        <v>0</v>
      </c>
      <c r="IZ43">
        <f t="shared" si="46"/>
        <v>0</v>
      </c>
      <c r="JA43">
        <f t="shared" si="46"/>
        <v>0</v>
      </c>
      <c r="JB43">
        <f t="shared" ref="JB43:JE44" si="47">SQRT(DZ43)</f>
        <v>0</v>
      </c>
      <c r="JC43">
        <f t="shared" si="47"/>
        <v>0</v>
      </c>
      <c r="JD43">
        <f t="shared" si="47"/>
        <v>0</v>
      </c>
      <c r="JE43">
        <f t="shared" si="47"/>
        <v>0</v>
      </c>
    </row>
    <row r="44" spans="1:284" ht="14.25" customHeight="1" x14ac:dyDescent="0.3">
      <c r="A44" t="s">
        <v>2961</v>
      </c>
      <c r="B44" s="34" t="s">
        <v>2960</v>
      </c>
      <c r="C44" t="s">
        <v>169</v>
      </c>
      <c r="D44" t="s">
        <v>170</v>
      </c>
      <c r="E44" t="s">
        <v>79</v>
      </c>
      <c r="F44" t="s">
        <v>80</v>
      </c>
      <c r="M44" t="str">
        <f t="shared" si="13"/>
        <v xml:space="preserve"> </v>
      </c>
      <c r="N44" t="str">
        <f t="shared" si="14"/>
        <v xml:space="preserve"> </v>
      </c>
      <c r="P44" t="str">
        <f t="shared" si="15"/>
        <v xml:space="preserve"> </v>
      </c>
      <c r="Q44" t="str">
        <f t="shared" si="16"/>
        <v xml:space="preserve"> </v>
      </c>
      <c r="S44" t="str">
        <f t="shared" si="17"/>
        <v xml:space="preserve"> </v>
      </c>
      <c r="T44" t="str">
        <f t="shared" si="18"/>
        <v xml:space="preserve"> </v>
      </c>
      <c r="V44" t="s">
        <v>73</v>
      </c>
      <c r="W44" t="s">
        <v>73</v>
      </c>
      <c r="X44" t="s">
        <v>2891</v>
      </c>
      <c r="Y44" t="s">
        <v>423</v>
      </c>
      <c r="AA44" t="str">
        <f t="shared" si="19"/>
        <v>Oudheid</v>
      </c>
      <c r="AB44" t="str">
        <f t="shared" si="20"/>
        <v>Prehistoric</v>
      </c>
      <c r="AC44">
        <v>5</v>
      </c>
      <c r="AD44" s="29" t="e">
        <f>(2*AH44+BJ44)/2.1</f>
        <v>#REF!</v>
      </c>
      <c r="AE44" s="40">
        <v>780</v>
      </c>
      <c r="AF44" s="41">
        <v>5</v>
      </c>
      <c r="AG44" s="30">
        <v>733</v>
      </c>
      <c r="AH44" s="29" t="e">
        <f>(2*BK44+BL44/2)/3</f>
        <v>#REF!</v>
      </c>
      <c r="AI44">
        <v>447</v>
      </c>
      <c r="AJ44" s="29" t="e">
        <f>(2*AH44+BE44)/2.1</f>
        <v>#REF!</v>
      </c>
      <c r="AK44" s="31">
        <f>(500+AL44*BF44)/(100*(AL44+1))</f>
        <v>8.3333333333333339</v>
      </c>
      <c r="AL44" s="30">
        <v>2</v>
      </c>
      <c r="AM44">
        <v>560</v>
      </c>
      <c r="AN44" s="14">
        <v>138.34762674787225</v>
      </c>
      <c r="AO44" s="14">
        <v>0</v>
      </c>
      <c r="AP44">
        <v>0</v>
      </c>
      <c r="AQ44">
        <v>707</v>
      </c>
      <c r="AR44" s="15">
        <v>138.34762674787223</v>
      </c>
      <c r="AS44">
        <v>733</v>
      </c>
      <c r="AT44" s="14">
        <v>69.834719040991814</v>
      </c>
      <c r="AU44" s="14">
        <v>0</v>
      </c>
      <c r="AV44">
        <v>0</v>
      </c>
      <c r="AW44">
        <v>707</v>
      </c>
      <c r="AX44" s="15">
        <v>69.834719040991814</v>
      </c>
      <c r="AY44">
        <v>730</v>
      </c>
      <c r="AZ44" s="14">
        <v>67.17245610144893</v>
      </c>
      <c r="BA44" s="14">
        <v>0</v>
      </c>
      <c r="BB44" s="15">
        <v>0</v>
      </c>
      <c r="BC44">
        <v>739</v>
      </c>
      <c r="BD44" s="15">
        <v>67.17245610144893</v>
      </c>
      <c r="BE44" s="29">
        <f>(500+BG44*100)/(AL44+1)+AL44/5</f>
        <v>833.73333333333335</v>
      </c>
      <c r="BF44" s="29">
        <v>1000</v>
      </c>
      <c r="BG44" s="35">
        <v>20</v>
      </c>
      <c r="BH44" s="31"/>
      <c r="BI44" s="42">
        <f>AE44*AF44/100</f>
        <v>39</v>
      </c>
      <c r="BJ44" s="29">
        <f>(500+BI44*100)/(AF44+1)+AF44/5</f>
        <v>734.33333333333337</v>
      </c>
      <c r="BK44" s="29" t="e">
        <f>(5*SUM(EF44:FC44)+BP44*factor3)*BM44</f>
        <v>#REF!</v>
      </c>
      <c r="BL44" s="29" t="e">
        <f>SUM(FD44:GQ44)+BN44+BO44</f>
        <v>#REF!</v>
      </c>
      <c r="BM44" s="29">
        <v>1</v>
      </c>
      <c r="BN44" s="29">
        <v>224</v>
      </c>
      <c r="BO44" s="29"/>
      <c r="BP44">
        <f>COUNT(BR44:CO44)</f>
        <v>2</v>
      </c>
      <c r="BS44">
        <v>1</v>
      </c>
      <c r="BV44">
        <v>1</v>
      </c>
      <c r="EF44" t="e">
        <f>GT44*#REF!</f>
        <v>#REF!</v>
      </c>
      <c r="EG44" t="e">
        <f>GU44*#REF!</f>
        <v>#REF!</v>
      </c>
      <c r="EH44" t="e">
        <f>GV44*#REF!</f>
        <v>#REF!</v>
      </c>
      <c r="EI44" t="e">
        <f>GW44*#REF!</f>
        <v>#REF!</v>
      </c>
      <c r="EJ44" t="e">
        <f>GX44*#REF!</f>
        <v>#REF!</v>
      </c>
      <c r="EK44" t="e">
        <f>GY44*#REF!</f>
        <v>#REF!</v>
      </c>
      <c r="EL44" t="e">
        <f>GZ44*#REF!</f>
        <v>#REF!</v>
      </c>
      <c r="EM44" t="e">
        <f>HA44*#REF!</f>
        <v>#REF!</v>
      </c>
      <c r="EN44" t="e">
        <f>HB44*#REF!</f>
        <v>#REF!</v>
      </c>
      <c r="EO44" t="e">
        <f>HC44*#REF!</f>
        <v>#REF!</v>
      </c>
      <c r="EP44" t="e">
        <f>HD44*#REF!</f>
        <v>#REF!</v>
      </c>
      <c r="EQ44" t="e">
        <f>HE44*#REF!</f>
        <v>#REF!</v>
      </c>
      <c r="ER44" t="e">
        <f>HF44*#REF!</f>
        <v>#REF!</v>
      </c>
      <c r="ES44" t="e">
        <f>HG44*#REF!</f>
        <v>#REF!</v>
      </c>
      <c r="ET44" t="e">
        <f>HH44*#REF!</f>
        <v>#REF!</v>
      </c>
      <c r="EU44" t="e">
        <f>HI44*#REF!</f>
        <v>#REF!</v>
      </c>
      <c r="EV44" t="e">
        <f>HJ44*#REF!</f>
        <v>#REF!</v>
      </c>
      <c r="EW44" t="e">
        <f>HK44*#REF!</f>
        <v>#REF!</v>
      </c>
      <c r="EX44" t="e">
        <f>HL44*#REF!</f>
        <v>#REF!</v>
      </c>
      <c r="EY44" t="e">
        <f>HM44*#REF!</f>
        <v>#REF!</v>
      </c>
      <c r="EZ44" t="e">
        <f>HN44*#REF!</f>
        <v>#REF!</v>
      </c>
      <c r="FA44" t="e">
        <f>HO44*#REF!</f>
        <v>#REF!</v>
      </c>
      <c r="FB44" t="e">
        <f>HP44*#REF!</f>
        <v>#REF!</v>
      </c>
      <c r="FC44" t="e">
        <f>HQ44*#REF!</f>
        <v>#REF!</v>
      </c>
      <c r="FD44" t="e">
        <f>HR44*#REF!</f>
        <v>#REF!</v>
      </c>
      <c r="FE44" t="e">
        <f>HS44*#REF!</f>
        <v>#REF!</v>
      </c>
      <c r="FF44" t="e">
        <f>HT44*#REF!</f>
        <v>#REF!</v>
      </c>
      <c r="FG44" t="e">
        <f>HU44*#REF!</f>
        <v>#REF!</v>
      </c>
      <c r="FH44" t="e">
        <f>HV44*#REF!</f>
        <v>#REF!</v>
      </c>
      <c r="FI44" t="e">
        <f>HW44*#REF!</f>
        <v>#REF!</v>
      </c>
      <c r="FJ44" t="e">
        <f>HX44*#REF!</f>
        <v>#REF!</v>
      </c>
      <c r="FK44" t="e">
        <f>HY44*#REF!</f>
        <v>#REF!</v>
      </c>
      <c r="FL44" t="e">
        <f>HZ44*#REF!</f>
        <v>#REF!</v>
      </c>
      <c r="FM44" t="e">
        <f>IA44*#REF!</f>
        <v>#REF!</v>
      </c>
      <c r="FN44" t="e">
        <f>IB44*#REF!</f>
        <v>#REF!</v>
      </c>
      <c r="FO44" t="e">
        <f>IC44*#REF!</f>
        <v>#REF!</v>
      </c>
      <c r="FP44" t="e">
        <f>ID44*#REF!</f>
        <v>#REF!</v>
      </c>
      <c r="FQ44" t="e">
        <f>IE44*#REF!</f>
        <v>#REF!</v>
      </c>
      <c r="FR44" t="e">
        <f>IF44*#REF!</f>
        <v>#REF!</v>
      </c>
      <c r="FS44" t="e">
        <f>IG44*#REF!</f>
        <v>#REF!</v>
      </c>
      <c r="FT44" t="e">
        <f>IH44*#REF!</f>
        <v>#REF!</v>
      </c>
      <c r="FU44" t="e">
        <f>II44*#REF!</f>
        <v>#REF!</v>
      </c>
      <c r="FV44" t="e">
        <f>IJ44*#REF!</f>
        <v>#REF!</v>
      </c>
      <c r="FW44" t="e">
        <f>IK44*#REF!</f>
        <v>#REF!</v>
      </c>
      <c r="FX44" t="e">
        <f>IL44*#REF!</f>
        <v>#REF!</v>
      </c>
      <c r="FY44" t="e">
        <f>IM44*#REF!</f>
        <v>#REF!</v>
      </c>
      <c r="FZ44" t="e">
        <f>IN44*#REF!</f>
        <v>#REF!</v>
      </c>
      <c r="GA44" t="e">
        <f>IO44*#REF!</f>
        <v>#REF!</v>
      </c>
      <c r="GB44" t="e">
        <f>IP44*#REF!</f>
        <v>#REF!</v>
      </c>
      <c r="GC44" t="e">
        <f>IQ44*#REF!</f>
        <v>#REF!</v>
      </c>
      <c r="GD44" t="e">
        <f>IR44*#REF!</f>
        <v>#REF!</v>
      </c>
      <c r="GE44" t="e">
        <f>IS44*#REF!</f>
        <v>#REF!</v>
      </c>
      <c r="GF44" t="e">
        <f>IT44*#REF!</f>
        <v>#REF!</v>
      </c>
      <c r="GG44" t="e">
        <f>IU44*#REF!</f>
        <v>#REF!</v>
      </c>
      <c r="GH44" t="e">
        <f>IV44*#REF!</f>
        <v>#REF!</v>
      </c>
      <c r="GI44" t="e">
        <f>IW44*#REF!</f>
        <v>#REF!</v>
      </c>
      <c r="GJ44" t="e">
        <f>IX44*#REF!</f>
        <v>#REF!</v>
      </c>
      <c r="GK44" t="e">
        <f>IY44*#REF!</f>
        <v>#REF!</v>
      </c>
      <c r="GL44" t="e">
        <f>IZ44*#REF!</f>
        <v>#REF!</v>
      </c>
      <c r="GM44" t="e">
        <f>JA44*#REF!</f>
        <v>#REF!</v>
      </c>
      <c r="GN44" t="e">
        <f>JB44*#REF!</f>
        <v>#REF!</v>
      </c>
      <c r="GO44" t="e">
        <f>JC44*#REF!</f>
        <v>#REF!</v>
      </c>
      <c r="GP44" t="e">
        <f>JD44*#REF!</f>
        <v>#REF!</v>
      </c>
      <c r="GQ44" t="e">
        <f>JE44*#REF!</f>
        <v>#REF!</v>
      </c>
      <c r="GR44" t="e">
        <f>JF44*#REF!</f>
        <v>#REF!</v>
      </c>
      <c r="GT44">
        <f t="shared" si="41"/>
        <v>0</v>
      </c>
      <c r="GU44">
        <f t="shared" si="41"/>
        <v>1</v>
      </c>
      <c r="GV44">
        <f t="shared" si="41"/>
        <v>0</v>
      </c>
      <c r="GW44">
        <f t="shared" si="41"/>
        <v>0</v>
      </c>
      <c r="GX44">
        <f t="shared" si="41"/>
        <v>1</v>
      </c>
      <c r="GY44">
        <f t="shared" si="41"/>
        <v>0</v>
      </c>
      <c r="GZ44">
        <f t="shared" si="41"/>
        <v>0</v>
      </c>
      <c r="HA44">
        <f t="shared" si="41"/>
        <v>0</v>
      </c>
      <c r="HB44">
        <f t="shared" si="41"/>
        <v>0</v>
      </c>
      <c r="HC44">
        <f t="shared" si="41"/>
        <v>0</v>
      </c>
      <c r="HD44">
        <f t="shared" si="42"/>
        <v>0</v>
      </c>
      <c r="HE44">
        <f t="shared" si="42"/>
        <v>0</v>
      </c>
      <c r="HF44">
        <f t="shared" si="42"/>
        <v>0</v>
      </c>
      <c r="HG44">
        <f t="shared" si="42"/>
        <v>0</v>
      </c>
      <c r="HH44">
        <f t="shared" si="42"/>
        <v>0</v>
      </c>
      <c r="HI44">
        <f t="shared" si="42"/>
        <v>0</v>
      </c>
      <c r="HJ44">
        <f t="shared" si="42"/>
        <v>0</v>
      </c>
      <c r="HK44">
        <f t="shared" si="42"/>
        <v>0</v>
      </c>
      <c r="HL44">
        <f t="shared" si="42"/>
        <v>0</v>
      </c>
      <c r="HM44">
        <f t="shared" si="42"/>
        <v>0</v>
      </c>
      <c r="HN44">
        <f t="shared" si="43"/>
        <v>0</v>
      </c>
      <c r="HO44">
        <f t="shared" si="43"/>
        <v>0</v>
      </c>
      <c r="HP44">
        <f t="shared" si="43"/>
        <v>0</v>
      </c>
      <c r="HQ44">
        <f t="shared" si="43"/>
        <v>0</v>
      </c>
      <c r="HR44">
        <f t="shared" si="43"/>
        <v>0</v>
      </c>
      <c r="HS44">
        <f t="shared" si="43"/>
        <v>0</v>
      </c>
      <c r="HT44">
        <f t="shared" si="43"/>
        <v>0</v>
      </c>
      <c r="HU44">
        <f t="shared" si="43"/>
        <v>0</v>
      </c>
      <c r="HV44">
        <f t="shared" si="43"/>
        <v>0</v>
      </c>
      <c r="HW44">
        <f t="shared" si="43"/>
        <v>0</v>
      </c>
      <c r="HX44">
        <f t="shared" si="44"/>
        <v>0</v>
      </c>
      <c r="HY44">
        <f t="shared" si="44"/>
        <v>0</v>
      </c>
      <c r="HZ44">
        <f t="shared" si="44"/>
        <v>0</v>
      </c>
      <c r="IA44">
        <f t="shared" si="44"/>
        <v>0</v>
      </c>
      <c r="IB44">
        <f t="shared" si="44"/>
        <v>0</v>
      </c>
      <c r="IC44">
        <f t="shared" si="44"/>
        <v>0</v>
      </c>
      <c r="ID44">
        <f t="shared" si="44"/>
        <v>0</v>
      </c>
      <c r="IE44">
        <f t="shared" si="44"/>
        <v>0</v>
      </c>
      <c r="IF44">
        <f t="shared" si="44"/>
        <v>0</v>
      </c>
      <c r="IG44">
        <f t="shared" si="44"/>
        <v>0</v>
      </c>
      <c r="IH44">
        <f t="shared" si="45"/>
        <v>0</v>
      </c>
      <c r="II44">
        <f t="shared" si="45"/>
        <v>0</v>
      </c>
      <c r="IJ44">
        <f t="shared" si="45"/>
        <v>0</v>
      </c>
      <c r="IK44">
        <f t="shared" si="45"/>
        <v>0</v>
      </c>
      <c r="IL44">
        <f t="shared" si="45"/>
        <v>0</v>
      </c>
      <c r="IM44">
        <f t="shared" si="45"/>
        <v>0</v>
      </c>
      <c r="IN44">
        <f t="shared" si="45"/>
        <v>0</v>
      </c>
      <c r="IO44">
        <f t="shared" si="45"/>
        <v>0</v>
      </c>
      <c r="IP44">
        <f t="shared" si="45"/>
        <v>0</v>
      </c>
      <c r="IQ44">
        <f t="shared" si="45"/>
        <v>0</v>
      </c>
      <c r="IR44">
        <f t="shared" si="46"/>
        <v>0</v>
      </c>
      <c r="IS44">
        <f t="shared" si="46"/>
        <v>0</v>
      </c>
      <c r="IT44">
        <f t="shared" si="46"/>
        <v>0</v>
      </c>
      <c r="IU44">
        <f t="shared" si="46"/>
        <v>0</v>
      </c>
      <c r="IV44">
        <f t="shared" si="46"/>
        <v>0</v>
      </c>
      <c r="IW44">
        <f t="shared" si="46"/>
        <v>0</v>
      </c>
      <c r="IX44">
        <f t="shared" si="46"/>
        <v>0</v>
      </c>
      <c r="IY44">
        <f t="shared" si="46"/>
        <v>0</v>
      </c>
      <c r="IZ44">
        <f t="shared" si="46"/>
        <v>0</v>
      </c>
      <c r="JA44">
        <f t="shared" si="46"/>
        <v>0</v>
      </c>
      <c r="JB44">
        <f t="shared" si="47"/>
        <v>0</v>
      </c>
      <c r="JC44">
        <f t="shared" si="47"/>
        <v>0</v>
      </c>
      <c r="JD44">
        <f t="shared" si="47"/>
        <v>0</v>
      </c>
      <c r="JE44">
        <f t="shared" si="47"/>
        <v>0</v>
      </c>
    </row>
    <row r="45" spans="1:284" ht="14.25" customHeight="1" x14ac:dyDescent="0.25">
      <c r="A45" t="s">
        <v>2270</v>
      </c>
      <c r="B45" s="28" t="s">
        <v>2271</v>
      </c>
      <c r="C45" s="28" t="s">
        <v>199</v>
      </c>
      <c r="D45" t="s">
        <v>200</v>
      </c>
      <c r="G45" t="s">
        <v>2272</v>
      </c>
      <c r="H45" t="s">
        <v>308</v>
      </c>
      <c r="I45" t="s">
        <v>309</v>
      </c>
      <c r="J45" t="s">
        <v>2273</v>
      </c>
      <c r="K45" t="s">
        <v>2273</v>
      </c>
      <c r="L45">
        <v>15</v>
      </c>
      <c r="M45" t="str">
        <f t="shared" si="13"/>
        <v>Hoogteburcht</v>
      </c>
      <c r="N45" t="str">
        <f t="shared" si="14"/>
        <v>Mountain castle</v>
      </c>
      <c r="O45">
        <v>1</v>
      </c>
      <c r="P45" t="str">
        <f t="shared" si="15"/>
        <v>Donjon in weermuren</v>
      </c>
      <c r="Q45" t="str">
        <f t="shared" si="16"/>
        <v>Donjon in curtain wall</v>
      </c>
      <c r="R45">
        <v>7</v>
      </c>
      <c r="S45" t="str">
        <f t="shared" si="17"/>
        <v>Herbouwd/Verbouwd</v>
      </c>
      <c r="T45" t="str">
        <f t="shared" si="18"/>
        <v>Rebuild/Restored</v>
      </c>
      <c r="U45">
        <v>2</v>
      </c>
      <c r="V45" t="s">
        <v>73</v>
      </c>
      <c r="W45" t="s">
        <v>73</v>
      </c>
      <c r="X45" t="s">
        <v>2892</v>
      </c>
      <c r="Y45" t="s">
        <v>227</v>
      </c>
      <c r="Z45" t="s">
        <v>2274</v>
      </c>
      <c r="AA45" t="str">
        <f t="shared" si="19"/>
        <v>Renaissance</v>
      </c>
      <c r="AB45" t="str">
        <f t="shared" si="20"/>
        <v>Renaissance</v>
      </c>
      <c r="AC45">
        <v>1</v>
      </c>
      <c r="AD45" s="14">
        <v>325</v>
      </c>
      <c r="AE45">
        <v>4</v>
      </c>
      <c r="AF45">
        <v>0</v>
      </c>
      <c r="AG45" s="15">
        <v>68.369577866463175</v>
      </c>
      <c r="AH45">
        <v>0</v>
      </c>
      <c r="AI45" s="14">
        <v>328.36957786646315</v>
      </c>
      <c r="AJ45" s="14">
        <v>325</v>
      </c>
      <c r="AK45">
        <v>4</v>
      </c>
      <c r="AL45">
        <v>0</v>
      </c>
      <c r="AM45" s="15">
        <v>68.369577866463175</v>
      </c>
      <c r="AN45">
        <v>0</v>
      </c>
      <c r="AO45" s="14">
        <v>452.96858430217731</v>
      </c>
      <c r="AP45" s="14">
        <v>260</v>
      </c>
      <c r="AQ45">
        <v>4</v>
      </c>
      <c r="AR45">
        <v>0</v>
      </c>
      <c r="AS45" s="15">
        <v>192.96858430217728</v>
      </c>
      <c r="AT45">
        <v>0</v>
      </c>
      <c r="AU45" s="14">
        <v>225.8584692280385</v>
      </c>
      <c r="AV45" s="14">
        <v>0</v>
      </c>
      <c r="AW45" s="15">
        <v>0</v>
      </c>
      <c r="AX45">
        <v>0</v>
      </c>
      <c r="AY45" s="15">
        <v>225.8584692280385</v>
      </c>
      <c r="AZ45">
        <f>COUNT(#REF!)</f>
        <v>0</v>
      </c>
      <c r="BB45" s="15"/>
      <c r="BT45">
        <v>3</v>
      </c>
      <c r="CC45">
        <v>2</v>
      </c>
      <c r="DE45">
        <v>3</v>
      </c>
      <c r="DI45">
        <v>6</v>
      </c>
      <c r="DQ45" t="s">
        <v>333</v>
      </c>
    </row>
    <row r="46" spans="1:284" ht="14.25" customHeight="1" x14ac:dyDescent="0.25">
      <c r="A46" t="s">
        <v>2279</v>
      </c>
      <c r="B46" t="s">
        <v>2545</v>
      </c>
      <c r="C46" t="s">
        <v>199</v>
      </c>
      <c r="D46" t="s">
        <v>200</v>
      </c>
      <c r="H46" t="s">
        <v>411</v>
      </c>
      <c r="I46" t="s">
        <v>412</v>
      </c>
      <c r="M46" t="str">
        <f t="shared" si="13"/>
        <v xml:space="preserve"> </v>
      </c>
      <c r="N46" t="str">
        <f t="shared" si="14"/>
        <v xml:space="preserve"> </v>
      </c>
      <c r="P46" t="str">
        <f t="shared" si="15"/>
        <v xml:space="preserve"> </v>
      </c>
      <c r="Q46" t="str">
        <f t="shared" si="16"/>
        <v xml:space="preserve"> </v>
      </c>
      <c r="S46" t="str">
        <f t="shared" si="17"/>
        <v xml:space="preserve"> </v>
      </c>
      <c r="T46" t="str">
        <f t="shared" si="18"/>
        <v xml:space="preserve"> </v>
      </c>
      <c r="X46" t="s">
        <v>2892</v>
      </c>
      <c r="Y46" t="s">
        <v>227</v>
      </c>
      <c r="AA46" t="str">
        <f t="shared" si="19"/>
        <v>Renaissance</v>
      </c>
      <c r="AB46" t="str">
        <f t="shared" si="20"/>
        <v>Renaissance</v>
      </c>
      <c r="AC46">
        <v>1</v>
      </c>
      <c r="AD46" s="14">
        <v>0</v>
      </c>
      <c r="AE46">
        <v>0</v>
      </c>
      <c r="AF46">
        <v>0</v>
      </c>
      <c r="AG46" s="15">
        <v>11.620621053616896</v>
      </c>
      <c r="AH46">
        <v>0</v>
      </c>
      <c r="AI46" s="14">
        <v>11.620621053616901</v>
      </c>
      <c r="AJ46" s="14">
        <v>0</v>
      </c>
      <c r="AK46">
        <v>0</v>
      </c>
      <c r="AL46">
        <v>0</v>
      </c>
      <c r="AM46" s="15">
        <v>11.620621053616896</v>
      </c>
      <c r="AN46">
        <v>0</v>
      </c>
      <c r="AO46" s="14">
        <v>163.21248260637427</v>
      </c>
      <c r="AP46" s="14">
        <v>0</v>
      </c>
      <c r="AQ46">
        <v>0</v>
      </c>
      <c r="AR46">
        <v>0</v>
      </c>
      <c r="AS46" s="15">
        <v>163.21248260637427</v>
      </c>
      <c r="AT46">
        <v>0</v>
      </c>
      <c r="AU46" s="14">
        <v>169.41179139862575</v>
      </c>
      <c r="AV46" s="14">
        <v>0</v>
      </c>
      <c r="AW46" s="15">
        <v>0</v>
      </c>
      <c r="AX46">
        <v>0</v>
      </c>
      <c r="AY46" s="15">
        <v>169.41179139862575</v>
      </c>
      <c r="AZ46">
        <f>COUNT(#REF!)</f>
        <v>0</v>
      </c>
      <c r="BB46" s="15"/>
      <c r="BT46">
        <v>6</v>
      </c>
    </row>
    <row r="47" spans="1:284" x14ac:dyDescent="0.25">
      <c r="A47" t="s">
        <v>2294</v>
      </c>
      <c r="B47" s="28" t="s">
        <v>2295</v>
      </c>
      <c r="C47" s="28" t="s">
        <v>199</v>
      </c>
      <c r="D47" t="s">
        <v>200</v>
      </c>
      <c r="H47" t="s">
        <v>447</v>
      </c>
      <c r="I47" t="s">
        <v>448</v>
      </c>
      <c r="J47" s="28"/>
      <c r="K47" s="28"/>
      <c r="M47" t="str">
        <f t="shared" si="13"/>
        <v xml:space="preserve"> </v>
      </c>
      <c r="N47" t="str">
        <f t="shared" si="14"/>
        <v xml:space="preserve"> </v>
      </c>
      <c r="P47" t="str">
        <f t="shared" si="15"/>
        <v xml:space="preserve"> </v>
      </c>
      <c r="Q47" t="str">
        <f t="shared" si="16"/>
        <v xml:space="preserve"> </v>
      </c>
      <c r="S47" t="str">
        <f t="shared" si="17"/>
        <v xml:space="preserve"> </v>
      </c>
      <c r="T47" t="str">
        <f t="shared" si="18"/>
        <v xml:space="preserve"> </v>
      </c>
      <c r="X47" t="s">
        <v>2892</v>
      </c>
      <c r="Y47" t="s">
        <v>227</v>
      </c>
      <c r="AA47" t="str">
        <f t="shared" si="19"/>
        <v>Renaissance</v>
      </c>
      <c r="AB47" t="str">
        <f t="shared" si="20"/>
        <v>Renaissance</v>
      </c>
      <c r="AC47">
        <v>1</v>
      </c>
      <c r="AD47" s="14">
        <v>0</v>
      </c>
      <c r="AE47">
        <v>0</v>
      </c>
      <c r="AF47">
        <v>0</v>
      </c>
      <c r="AG47" s="15">
        <v>20.127506080369042</v>
      </c>
      <c r="AH47">
        <v>0</v>
      </c>
      <c r="AI47" s="14">
        <v>20.127506080369017</v>
      </c>
      <c r="AJ47" s="14">
        <v>0</v>
      </c>
      <c r="AK47">
        <v>0</v>
      </c>
      <c r="AL47">
        <v>0</v>
      </c>
      <c r="AM47" s="15">
        <v>20.127506080369042</v>
      </c>
      <c r="AN47">
        <v>0</v>
      </c>
      <c r="AO47" s="14">
        <v>252.5063904336667</v>
      </c>
      <c r="AP47" s="14">
        <v>0</v>
      </c>
      <c r="AQ47">
        <v>0</v>
      </c>
      <c r="AR47">
        <v>0</v>
      </c>
      <c r="AS47" s="15">
        <v>252.5063904336667</v>
      </c>
      <c r="AT47">
        <v>0</v>
      </c>
      <c r="AU47" s="14">
        <v>263.24390823365474</v>
      </c>
      <c r="AV47" s="14">
        <v>0</v>
      </c>
      <c r="AW47" s="15">
        <v>0</v>
      </c>
      <c r="AX47">
        <v>0</v>
      </c>
      <c r="AY47" s="15">
        <v>263.24390823365474</v>
      </c>
      <c r="AZ47">
        <f>COUNT(#REF!)</f>
        <v>0</v>
      </c>
      <c r="BB47" s="15"/>
      <c r="BC47" s="15"/>
      <c r="BT47">
        <v>18</v>
      </c>
      <c r="CF47" s="15"/>
    </row>
    <row r="48" spans="1:284" x14ac:dyDescent="0.25">
      <c r="A48" t="s">
        <v>2345</v>
      </c>
      <c r="B48" t="s">
        <v>2346</v>
      </c>
      <c r="C48" t="s">
        <v>351</v>
      </c>
      <c r="D48" t="s">
        <v>352</v>
      </c>
      <c r="E48" t="s">
        <v>257</v>
      </c>
      <c r="F48" t="s">
        <v>258</v>
      </c>
      <c r="G48" t="s">
        <v>2347</v>
      </c>
      <c r="H48" t="s">
        <v>536</v>
      </c>
      <c r="I48" t="s">
        <v>537</v>
      </c>
      <c r="M48" t="str">
        <f t="shared" si="13"/>
        <v xml:space="preserve"> </v>
      </c>
      <c r="N48" t="str">
        <f t="shared" si="14"/>
        <v xml:space="preserve"> </v>
      </c>
      <c r="P48" t="str">
        <f t="shared" si="15"/>
        <v xml:space="preserve"> </v>
      </c>
      <c r="Q48" t="str">
        <f t="shared" si="16"/>
        <v xml:space="preserve"> </v>
      </c>
      <c r="S48" t="str">
        <f t="shared" si="17"/>
        <v xml:space="preserve"> </v>
      </c>
      <c r="T48" t="str">
        <f t="shared" si="18"/>
        <v xml:space="preserve"> </v>
      </c>
      <c r="X48" t="s">
        <v>2892</v>
      </c>
      <c r="Y48" t="s">
        <v>227</v>
      </c>
      <c r="AA48" t="str">
        <f t="shared" si="19"/>
        <v>Renaissance</v>
      </c>
      <c r="AB48" t="str">
        <f t="shared" si="20"/>
        <v>Renaissance</v>
      </c>
      <c r="AC48">
        <v>1</v>
      </c>
      <c r="AD48" s="14">
        <v>0</v>
      </c>
      <c r="AE48">
        <v>0</v>
      </c>
      <c r="AF48">
        <v>0</v>
      </c>
      <c r="AG48" s="15">
        <v>80.464884787844142</v>
      </c>
      <c r="AH48">
        <v>0</v>
      </c>
      <c r="AI48" s="14">
        <v>80.464884787844085</v>
      </c>
      <c r="AJ48" s="14">
        <v>0</v>
      </c>
      <c r="AK48">
        <v>0</v>
      </c>
      <c r="AL48">
        <v>0</v>
      </c>
      <c r="AM48" s="15">
        <v>80.464884787844142</v>
      </c>
      <c r="AN48">
        <v>0</v>
      </c>
      <c r="AO48" s="14">
        <v>169.1388104360372</v>
      </c>
      <c r="AP48" s="14">
        <v>0</v>
      </c>
      <c r="AQ48">
        <v>0</v>
      </c>
      <c r="AR48">
        <v>0</v>
      </c>
      <c r="AS48" s="15">
        <v>169.1388104360372</v>
      </c>
      <c r="AT48">
        <v>0</v>
      </c>
      <c r="AU48" s="14">
        <v>175.06206461568198</v>
      </c>
      <c r="AV48" s="14">
        <v>0</v>
      </c>
      <c r="AW48" s="15">
        <v>0</v>
      </c>
      <c r="AX48">
        <v>0</v>
      </c>
      <c r="AY48" s="15">
        <v>175.06206461568198</v>
      </c>
      <c r="AZ48">
        <f>COUNT(#REF!)</f>
        <v>0</v>
      </c>
      <c r="BB48" s="15"/>
      <c r="BE48">
        <v>1</v>
      </c>
      <c r="BZ48">
        <v>5</v>
      </c>
    </row>
    <row r="54" spans="266:266" ht="14.25" customHeight="1" x14ac:dyDescent="0.25"/>
    <row r="55" spans="266:266" ht="14.25" customHeight="1" x14ac:dyDescent="0.25"/>
    <row r="56" spans="266:266" ht="14.25" customHeight="1" x14ac:dyDescent="0.25"/>
    <row r="57" spans="266:266" ht="14.25" customHeight="1" x14ac:dyDescent="0.25"/>
    <row r="58" spans="266:266" ht="14.25" customHeight="1" x14ac:dyDescent="0.25">
      <c r="JF58">
        <f>SQRT(ED58)</f>
        <v>0</v>
      </c>
    </row>
    <row r="59" spans="266:266" ht="14.25" customHeight="1" x14ac:dyDescent="0.25">
      <c r="JF59">
        <f>SQRT(ED59)</f>
        <v>0</v>
      </c>
    </row>
    <row r="60" spans="266:266" ht="14.25" customHeight="1" x14ac:dyDescent="0.25">
      <c r="JF60">
        <f>SQRT(ED60)</f>
        <v>0</v>
      </c>
    </row>
  </sheetData>
  <autoFilter ref="A1:KF48" xr:uid="{00000000-0009-0000-0000-000001000000}">
    <sortState xmlns:xlrd2="http://schemas.microsoft.com/office/spreadsheetml/2017/richdata2" ref="A2:KF48">
      <sortCondition ref="A1:A46"/>
    </sortState>
  </autoFilter>
  <sortState xmlns:xlrd2="http://schemas.microsoft.com/office/spreadsheetml/2017/richdata2" ref="A2:KC62">
    <sortCondition ref="AA2:AA62"/>
  </sortState>
  <conditionalFormatting sqref="A51">
    <cfRule type="duplicateValues" dxfId="1" priority="235"/>
  </conditionalFormatting>
  <conditionalFormatting sqref="A52">
    <cfRule type="duplicateValues" dxfId="0" priority="229"/>
  </conditionalFormatting>
  <conditionalFormatting sqref="AD41">
    <cfRule type="colorScale" priority="83">
      <colorScale>
        <cfvo type="min"/>
        <cfvo type="percentile" val="50"/>
        <cfvo type="max"/>
        <color rgb="FF63BE7B"/>
        <color rgb="FFFFEB84"/>
        <color rgb="FFF8696B"/>
      </colorScale>
    </cfRule>
  </conditionalFormatting>
  <conditionalFormatting sqref="AD44">
    <cfRule type="colorScale" priority="75">
      <colorScale>
        <cfvo type="min"/>
        <cfvo type="percentile" val="50"/>
        <cfvo type="max"/>
        <color rgb="FF63BE7B"/>
        <color rgb="FFFFEB84"/>
        <color rgb="FFF8696B"/>
      </colorScale>
    </cfRule>
  </conditionalFormatting>
  <conditionalFormatting sqref="AD45">
    <cfRule type="colorScale" priority="36">
      <colorScale>
        <cfvo type="min"/>
        <cfvo type="percentile" val="50"/>
        <cfvo type="max"/>
        <color rgb="FF63BE7B"/>
        <color rgb="FFFFEB84"/>
        <color rgb="FFF8696B"/>
      </colorScale>
    </cfRule>
  </conditionalFormatting>
  <conditionalFormatting sqref="AD46">
    <cfRule type="colorScale" priority="9">
      <colorScale>
        <cfvo type="min"/>
        <cfvo type="percentile" val="50"/>
        <cfvo type="max"/>
        <color rgb="FF63BE7B"/>
        <color rgb="FFFFEB84"/>
        <color rgb="FFF8696B"/>
      </colorScale>
    </cfRule>
    <cfRule type="colorScale" priority="20">
      <colorScale>
        <cfvo type="min"/>
        <cfvo type="percentile" val="50"/>
        <cfvo type="max"/>
        <color rgb="FF63BE7B"/>
        <color rgb="FFFFEB84"/>
        <color rgb="FFF8696B"/>
      </colorScale>
    </cfRule>
  </conditionalFormatting>
  <conditionalFormatting sqref="AD51 AH51">
    <cfRule type="colorScale" priority="232">
      <colorScale>
        <cfvo type="min"/>
        <cfvo type="percentile" val="50"/>
        <cfvo type="max"/>
        <color rgb="FF63BE7B"/>
        <color rgb="FFFFEB84"/>
        <color rgb="FFF8696B"/>
      </colorScale>
    </cfRule>
  </conditionalFormatting>
  <conditionalFormatting sqref="AD52 AH52">
    <cfRule type="colorScale" priority="226">
      <colorScale>
        <cfvo type="min"/>
        <cfvo type="percentile" val="50"/>
        <cfvo type="max"/>
        <color rgb="FF63BE7B"/>
        <color rgb="FFFFEB84"/>
        <color rgb="FFF8696B"/>
      </colorScale>
    </cfRule>
  </conditionalFormatting>
  <conditionalFormatting sqref="AD54">
    <cfRule type="colorScale" priority="208">
      <colorScale>
        <cfvo type="min"/>
        <cfvo type="percentile" val="50"/>
        <cfvo type="max"/>
        <color rgb="FF63BE7B"/>
        <color rgb="FFFFEB84"/>
        <color rgb="FFF8696B"/>
      </colorScale>
    </cfRule>
  </conditionalFormatting>
  <conditionalFormatting sqref="AD55">
    <cfRule type="colorScale" priority="175">
      <colorScale>
        <cfvo type="min"/>
        <cfvo type="percentile" val="50"/>
        <cfvo type="max"/>
        <color rgb="FF63BE7B"/>
        <color rgb="FFFFEB84"/>
        <color rgb="FFF8696B"/>
      </colorScale>
    </cfRule>
  </conditionalFormatting>
  <conditionalFormatting sqref="AD56">
    <cfRule type="colorScale" priority="164">
      <colorScale>
        <cfvo type="min"/>
        <cfvo type="percentile" val="50"/>
        <cfvo type="max"/>
        <color rgb="FF63BE7B"/>
        <color rgb="FFFFEB84"/>
        <color rgb="FFF8696B"/>
      </colorScale>
    </cfRule>
  </conditionalFormatting>
  <conditionalFormatting sqref="AD57">
    <cfRule type="colorScale" priority="153">
      <colorScale>
        <cfvo type="min"/>
        <cfvo type="percentile" val="50"/>
        <cfvo type="max"/>
        <color rgb="FF63BE7B"/>
        <color rgb="FFFFEB84"/>
        <color rgb="FFF8696B"/>
      </colorScale>
    </cfRule>
  </conditionalFormatting>
  <conditionalFormatting sqref="AD58">
    <cfRule type="colorScale" priority="142">
      <colorScale>
        <cfvo type="min"/>
        <cfvo type="percentile" val="50"/>
        <cfvo type="max"/>
        <color rgb="FF63BE7B"/>
        <color rgb="FFFFEB84"/>
        <color rgb="FFF8696B"/>
      </colorScale>
    </cfRule>
  </conditionalFormatting>
  <conditionalFormatting sqref="AD59">
    <cfRule type="colorScale" priority="131">
      <colorScale>
        <cfvo type="min"/>
        <cfvo type="percentile" val="50"/>
        <cfvo type="max"/>
        <color rgb="FF63BE7B"/>
        <color rgb="FFFFEB84"/>
        <color rgb="FFF8696B"/>
      </colorScale>
    </cfRule>
  </conditionalFormatting>
  <conditionalFormatting sqref="AD60">
    <cfRule type="colorScale" priority="120">
      <colorScale>
        <cfvo type="min"/>
        <cfvo type="percentile" val="50"/>
        <cfvo type="max"/>
        <color rgb="FF63BE7B"/>
        <color rgb="FFFFEB84"/>
        <color rgb="FFF8696B"/>
      </colorScale>
    </cfRule>
  </conditionalFormatting>
  <conditionalFormatting sqref="AE45">
    <cfRule type="colorScale" priority="37">
      <colorScale>
        <cfvo type="min"/>
        <cfvo type="percentile" val="50"/>
        <cfvo type="max"/>
        <color rgb="FF63BE7B"/>
        <color rgb="FFFFEB84"/>
        <color rgb="FFF8696B"/>
      </colorScale>
    </cfRule>
  </conditionalFormatting>
  <conditionalFormatting sqref="AE46">
    <cfRule type="colorScale" priority="10">
      <colorScale>
        <cfvo type="min"/>
        <cfvo type="percentile" val="50"/>
        <cfvo type="max"/>
        <color rgb="FF63BE7B"/>
        <color rgb="FFFFEB84"/>
        <color rgb="FFF8696B"/>
      </colorScale>
    </cfRule>
    <cfRule type="colorScale" priority="21">
      <colorScale>
        <cfvo type="min"/>
        <cfvo type="percentile" val="50"/>
        <cfvo type="max"/>
        <color rgb="FF63BE7B"/>
        <color rgb="FFFFEB84"/>
        <color rgb="FFF8696B"/>
      </colorScale>
    </cfRule>
  </conditionalFormatting>
  <conditionalFormatting sqref="AE51">
    <cfRule type="colorScale" priority="233">
      <colorScale>
        <cfvo type="min"/>
        <cfvo type="percentile" val="50"/>
        <cfvo type="max"/>
        <color rgb="FF63BE7B"/>
        <color rgb="FFFFEB84"/>
        <color rgb="FFF8696B"/>
      </colorScale>
    </cfRule>
  </conditionalFormatting>
  <conditionalFormatting sqref="AE52">
    <cfRule type="colorScale" priority="227">
      <colorScale>
        <cfvo type="min"/>
        <cfvo type="percentile" val="50"/>
        <cfvo type="max"/>
        <color rgb="FF63BE7B"/>
        <color rgb="FFFFEB84"/>
        <color rgb="FFF8696B"/>
      </colorScale>
    </cfRule>
  </conditionalFormatting>
  <conditionalFormatting sqref="AE53">
    <cfRule type="colorScale" priority="222">
      <colorScale>
        <cfvo type="min"/>
        <cfvo type="percentile" val="50"/>
        <cfvo type="max"/>
        <color rgb="FF63BE7B"/>
        <color rgb="FFFFEB84"/>
        <color rgb="FFF8696B"/>
      </colorScale>
    </cfRule>
  </conditionalFormatting>
  <conditionalFormatting sqref="AF45 AG44">
    <cfRule type="colorScale" priority="73">
      <colorScale>
        <cfvo type="min"/>
        <cfvo type="percentile" val="50"/>
        <cfvo type="max"/>
        <color rgb="FF63BE7B"/>
        <color rgb="FFFFEB84"/>
        <color rgb="FFF8696B"/>
      </colorScale>
    </cfRule>
  </conditionalFormatting>
  <conditionalFormatting sqref="AF46">
    <cfRule type="colorScale" priority="23">
      <colorScale>
        <cfvo type="min"/>
        <cfvo type="percentile" val="50"/>
        <cfvo type="max"/>
        <color rgb="FF63BE7B"/>
        <color rgb="FFFFEB84"/>
        <color rgb="FFF8696B"/>
      </colorScale>
    </cfRule>
  </conditionalFormatting>
  <conditionalFormatting sqref="AG41">
    <cfRule type="colorScale" priority="81">
      <colorScale>
        <cfvo type="min"/>
        <cfvo type="percentile" val="50"/>
        <cfvo type="max"/>
        <color rgb="FF63BE7B"/>
        <color rgb="FFFFEB84"/>
        <color rgb="FFF8696B"/>
      </colorScale>
    </cfRule>
  </conditionalFormatting>
  <conditionalFormatting sqref="AG45 AD44 AH44">
    <cfRule type="colorScale" priority="77">
      <colorScale>
        <cfvo type="min"/>
        <cfvo type="percentile" val="50"/>
        <cfvo type="max"/>
        <color rgb="FF63BE7B"/>
        <color rgb="FFFFEB84"/>
        <color rgb="FFF8696B"/>
      </colorScale>
    </cfRule>
  </conditionalFormatting>
  <conditionalFormatting sqref="AG45 AH44">
    <cfRule type="colorScale" priority="74">
      <colorScale>
        <cfvo type="min"/>
        <cfvo type="percentile" val="50"/>
        <cfvo type="max"/>
        <color rgb="FF63BE7B"/>
        <color rgb="FFFFEB84"/>
        <color rgb="FFF8696B"/>
      </colorScale>
    </cfRule>
  </conditionalFormatting>
  <conditionalFormatting sqref="AG46">
    <cfRule type="colorScale" priority="26">
      <colorScale>
        <cfvo type="min"/>
        <cfvo type="percentile" val="50"/>
        <cfvo type="max"/>
        <color rgb="FF63BE7B"/>
        <color rgb="FFFFEB84"/>
        <color rgb="FFF8696B"/>
      </colorScale>
    </cfRule>
    <cfRule type="colorScale" priority="24">
      <colorScale>
        <cfvo type="min"/>
        <cfvo type="percentile" val="50"/>
        <cfvo type="max"/>
        <color rgb="FF63BE7B"/>
        <color rgb="FFFFEB84"/>
        <color rgb="FFF8696B"/>
      </colorScale>
    </cfRule>
  </conditionalFormatting>
  <conditionalFormatting sqref="AH41">
    <cfRule type="colorScale" priority="82">
      <colorScale>
        <cfvo type="min"/>
        <cfvo type="percentile" val="50"/>
        <cfvo type="max"/>
        <color rgb="FF63BE7B"/>
        <color rgb="FFFFEB84"/>
        <color rgb="FFF8696B"/>
      </colorScale>
    </cfRule>
  </conditionalFormatting>
  <conditionalFormatting sqref="AH55 AD55 AJ55:AK55">
    <cfRule type="colorScale" priority="193">
      <colorScale>
        <cfvo type="min"/>
        <cfvo type="percentile" val="50"/>
        <cfvo type="max"/>
        <color rgb="FF63BE7B"/>
        <color rgb="FFFFEB84"/>
        <color rgb="FFF8696B"/>
      </colorScale>
    </cfRule>
  </conditionalFormatting>
  <conditionalFormatting sqref="AH55">
    <cfRule type="colorScale" priority="174">
      <colorScale>
        <cfvo type="min"/>
        <cfvo type="percentile" val="50"/>
        <cfvo type="max"/>
        <color rgb="FF63BE7B"/>
        <color rgb="FFFFEB84"/>
        <color rgb="FFF8696B"/>
      </colorScale>
    </cfRule>
  </conditionalFormatting>
  <conditionalFormatting sqref="AH56 AD56 AJ56:AK56 BH56">
    <cfRule type="colorScale" priority="171">
      <colorScale>
        <cfvo type="min"/>
        <cfvo type="percentile" val="50"/>
        <cfvo type="max"/>
        <color rgb="FF63BE7B"/>
        <color rgb="FFFFEB84"/>
        <color rgb="FFF8696B"/>
      </colorScale>
    </cfRule>
  </conditionalFormatting>
  <conditionalFormatting sqref="AH57 AJ57">
    <cfRule type="colorScale" priority="152">
      <colorScale>
        <cfvo type="min"/>
        <cfvo type="percentile" val="50"/>
        <cfvo type="max"/>
        <color rgb="FF63BE7B"/>
        <color rgb="FFFFEB84"/>
        <color rgb="FFF8696B"/>
      </colorScale>
    </cfRule>
  </conditionalFormatting>
  <conditionalFormatting sqref="AH58 AD58 BH58 AJ58:AK58">
    <cfRule type="colorScale" priority="149">
      <colorScale>
        <cfvo type="min"/>
        <cfvo type="percentile" val="50"/>
        <cfvo type="max"/>
        <color rgb="FF63BE7B"/>
        <color rgb="FFFFEB84"/>
        <color rgb="FFF8696B"/>
      </colorScale>
    </cfRule>
  </conditionalFormatting>
  <conditionalFormatting sqref="AH53:AI53 AD53">
    <cfRule type="colorScale" priority="221">
      <colorScale>
        <cfvo type="min"/>
        <cfvo type="percentile" val="50"/>
        <cfvo type="max"/>
        <color rgb="FF63BE7B"/>
        <color rgb="FFFFEB84"/>
        <color rgb="FFF8696B"/>
      </colorScale>
    </cfRule>
  </conditionalFormatting>
  <conditionalFormatting sqref="AI51">
    <cfRule type="colorScale" priority="230">
      <colorScale>
        <cfvo type="min"/>
        <cfvo type="percentile" val="50"/>
        <cfvo type="max"/>
        <color rgb="FFF8696B"/>
        <color rgb="FFFFEB84"/>
        <color rgb="FF63BE7B"/>
      </colorScale>
    </cfRule>
  </conditionalFormatting>
  <conditionalFormatting sqref="AI52">
    <cfRule type="colorScale" priority="224">
      <colorScale>
        <cfvo type="min"/>
        <cfvo type="percentile" val="50"/>
        <cfvo type="max"/>
        <color rgb="FFF8696B"/>
        <color rgb="FFFFEB84"/>
        <color rgb="FF63BE7B"/>
      </colorScale>
    </cfRule>
  </conditionalFormatting>
  <conditionalFormatting sqref="AI53">
    <cfRule type="colorScale" priority="217">
      <colorScale>
        <cfvo type="min"/>
        <cfvo type="percentile" val="50"/>
        <cfvo type="max"/>
        <color rgb="FF63BE7B"/>
        <color rgb="FFFFEB84"/>
        <color rgb="FFF8696B"/>
      </colorScale>
    </cfRule>
  </conditionalFormatting>
  <conditionalFormatting sqref="AI54">
    <cfRule type="colorScale" priority="210">
      <colorScale>
        <cfvo type="min"/>
        <cfvo type="percentile" val="50"/>
        <cfvo type="max"/>
        <color rgb="FFF8696B"/>
        <color rgb="FFFFEB84"/>
        <color rgb="FF63BE7B"/>
      </colorScale>
    </cfRule>
  </conditionalFormatting>
  <conditionalFormatting sqref="AI55">
    <cfRule type="colorScale" priority="177">
      <colorScale>
        <cfvo type="min"/>
        <cfvo type="percentile" val="50"/>
        <cfvo type="max"/>
        <color rgb="FFF8696B"/>
        <color rgb="FFFFEB84"/>
        <color rgb="FF63BE7B"/>
      </colorScale>
    </cfRule>
  </conditionalFormatting>
  <conditionalFormatting sqref="AI56">
    <cfRule type="colorScale" priority="166">
      <colorScale>
        <cfvo type="min"/>
        <cfvo type="percentile" val="50"/>
        <cfvo type="max"/>
        <color rgb="FFF8696B"/>
        <color rgb="FFFFEB84"/>
        <color rgb="FF63BE7B"/>
      </colorScale>
    </cfRule>
  </conditionalFormatting>
  <conditionalFormatting sqref="AI57">
    <cfRule type="colorScale" priority="155">
      <colorScale>
        <cfvo type="min"/>
        <cfvo type="percentile" val="50"/>
        <cfvo type="max"/>
        <color rgb="FFF8696B"/>
        <color rgb="FFFFEB84"/>
        <color rgb="FF63BE7B"/>
      </colorScale>
    </cfRule>
  </conditionalFormatting>
  <conditionalFormatting sqref="AI58">
    <cfRule type="colorScale" priority="144">
      <colorScale>
        <cfvo type="min"/>
        <cfvo type="percentile" val="50"/>
        <cfvo type="max"/>
        <color rgb="FFF8696B"/>
        <color rgb="FFFFEB84"/>
        <color rgb="FF63BE7B"/>
      </colorScale>
    </cfRule>
  </conditionalFormatting>
  <conditionalFormatting sqref="AI59">
    <cfRule type="colorScale" priority="133">
      <colorScale>
        <cfvo type="min"/>
        <cfvo type="percentile" val="50"/>
        <cfvo type="max"/>
        <color rgb="FFF8696B"/>
        <color rgb="FFFFEB84"/>
        <color rgb="FF63BE7B"/>
      </colorScale>
    </cfRule>
  </conditionalFormatting>
  <conditionalFormatting sqref="AI60">
    <cfRule type="colorScale" priority="122">
      <colorScale>
        <cfvo type="min"/>
        <cfvo type="percentile" val="50"/>
        <cfvo type="max"/>
        <color rgb="FFF8696B"/>
        <color rgb="FFFFEB84"/>
        <color rgb="FF63BE7B"/>
      </colorScale>
    </cfRule>
  </conditionalFormatting>
  <conditionalFormatting sqref="AJ53">
    <cfRule type="colorScale" priority="219">
      <colorScale>
        <cfvo type="min"/>
        <cfvo type="percentile" val="50"/>
        <cfvo type="max"/>
        <color rgb="FFF8696B"/>
        <color rgb="FFFFEB84"/>
        <color rgb="FF63BE7B"/>
      </colorScale>
    </cfRule>
  </conditionalFormatting>
  <conditionalFormatting sqref="AJ54 AH54">
    <cfRule type="colorScale" priority="207">
      <colorScale>
        <cfvo type="min"/>
        <cfvo type="percentile" val="50"/>
        <cfvo type="max"/>
        <color rgb="FF63BE7B"/>
        <color rgb="FFFFEB84"/>
        <color rgb="FFF8696B"/>
      </colorScale>
    </cfRule>
  </conditionalFormatting>
  <conditionalFormatting sqref="AJ55">
    <cfRule type="colorScale" priority="185">
      <colorScale>
        <cfvo type="min"/>
        <cfvo type="percentile" val="50"/>
        <cfvo type="max"/>
        <color rgb="FF63BE7B"/>
        <color rgb="FFFFEB84"/>
        <color rgb="FFF8696B"/>
      </colorScale>
    </cfRule>
  </conditionalFormatting>
  <conditionalFormatting sqref="AJ56 AH56">
    <cfRule type="colorScale" priority="163">
      <colorScale>
        <cfvo type="min"/>
        <cfvo type="percentile" val="50"/>
        <cfvo type="max"/>
        <color rgb="FF63BE7B"/>
        <color rgb="FFFFEB84"/>
        <color rgb="FFF8696B"/>
      </colorScale>
    </cfRule>
  </conditionalFormatting>
  <conditionalFormatting sqref="AJ58 AH58">
    <cfRule type="colorScale" priority="141">
      <colorScale>
        <cfvo type="min"/>
        <cfvo type="percentile" val="50"/>
        <cfvo type="max"/>
        <color rgb="FF63BE7B"/>
        <color rgb="FFFFEB84"/>
        <color rgb="FFF8696B"/>
      </colorScale>
    </cfRule>
  </conditionalFormatting>
  <conditionalFormatting sqref="AJ59 AH59">
    <cfRule type="colorScale" priority="130">
      <colorScale>
        <cfvo type="min"/>
        <cfvo type="percentile" val="50"/>
        <cfvo type="max"/>
        <color rgb="FF63BE7B"/>
        <color rgb="FFFFEB84"/>
        <color rgb="FFF8696B"/>
      </colorScale>
    </cfRule>
  </conditionalFormatting>
  <conditionalFormatting sqref="AJ60 AH60">
    <cfRule type="colorScale" priority="119">
      <colorScale>
        <cfvo type="min"/>
        <cfvo type="percentile" val="50"/>
        <cfvo type="max"/>
        <color rgb="FF63BE7B"/>
        <color rgb="FFFFEB84"/>
        <color rgb="FFF8696B"/>
      </colorScale>
    </cfRule>
  </conditionalFormatting>
  <conditionalFormatting sqref="AJ57:AK57 BH57 AH57 AD57">
    <cfRule type="colorScale" priority="160">
      <colorScale>
        <cfvo type="min"/>
        <cfvo type="percentile" val="50"/>
        <cfvo type="max"/>
        <color rgb="FF63BE7B"/>
        <color rgb="FFFFEB84"/>
        <color rgb="FFF8696B"/>
      </colorScale>
    </cfRule>
  </conditionalFormatting>
  <conditionalFormatting sqref="AK55">
    <cfRule type="colorScale" priority="194">
      <colorScale>
        <cfvo type="min"/>
        <cfvo type="percentile" val="50"/>
        <cfvo type="max"/>
        <color rgb="FF63BE7B"/>
        <color rgb="FFFFEB84"/>
        <color rgb="FFF8696B"/>
      </colorScale>
    </cfRule>
  </conditionalFormatting>
  <conditionalFormatting sqref="AM54 AI54">
    <cfRule type="colorScale" priority="206">
      <colorScale>
        <cfvo type="min"/>
        <cfvo type="percentile" val="50"/>
        <cfvo type="max"/>
        <color rgb="FFF8696B"/>
        <color rgb="FFFFEB84"/>
        <color rgb="FF63BE7B"/>
      </colorScale>
    </cfRule>
  </conditionalFormatting>
  <conditionalFormatting sqref="AM54">
    <cfRule type="colorScale" priority="211">
      <colorScale>
        <cfvo type="min"/>
        <cfvo type="percentile" val="50"/>
        <cfvo type="max"/>
        <color rgb="FFF8696B"/>
        <color rgb="FFFFEB84"/>
        <color rgb="FF63BE7B"/>
      </colorScale>
    </cfRule>
  </conditionalFormatting>
  <conditionalFormatting sqref="AM55">
    <cfRule type="colorScale" priority="184">
      <colorScale>
        <cfvo type="min"/>
        <cfvo type="percentile" val="50"/>
        <cfvo type="max"/>
        <color rgb="FFF8696B"/>
        <color rgb="FFFFEB84"/>
        <color rgb="FF63BE7B"/>
      </colorScale>
    </cfRule>
  </conditionalFormatting>
  <conditionalFormatting sqref="AM56 AI56">
    <cfRule type="colorScale" priority="162">
      <colorScale>
        <cfvo type="min"/>
        <cfvo type="percentile" val="50"/>
        <cfvo type="max"/>
        <color rgb="FFF8696B"/>
        <color rgb="FFFFEB84"/>
        <color rgb="FF63BE7B"/>
      </colorScale>
    </cfRule>
  </conditionalFormatting>
  <conditionalFormatting sqref="AM56">
    <cfRule type="colorScale" priority="167">
      <colorScale>
        <cfvo type="min"/>
        <cfvo type="percentile" val="50"/>
        <cfvo type="max"/>
        <color rgb="FFF8696B"/>
        <color rgb="FFFFEB84"/>
        <color rgb="FF63BE7B"/>
      </colorScale>
    </cfRule>
  </conditionalFormatting>
  <conditionalFormatting sqref="AM57 AI57">
    <cfRule type="colorScale" priority="151">
      <colorScale>
        <cfvo type="min"/>
        <cfvo type="percentile" val="50"/>
        <cfvo type="max"/>
        <color rgb="FFF8696B"/>
        <color rgb="FFFFEB84"/>
        <color rgb="FF63BE7B"/>
      </colorScale>
    </cfRule>
  </conditionalFormatting>
  <conditionalFormatting sqref="AM57">
    <cfRule type="colorScale" priority="156">
      <colorScale>
        <cfvo type="min"/>
        <cfvo type="percentile" val="50"/>
        <cfvo type="max"/>
        <color rgb="FFF8696B"/>
        <color rgb="FFFFEB84"/>
        <color rgb="FF63BE7B"/>
      </colorScale>
    </cfRule>
  </conditionalFormatting>
  <conditionalFormatting sqref="AM58 AI58">
    <cfRule type="colorScale" priority="140">
      <colorScale>
        <cfvo type="min"/>
        <cfvo type="percentile" val="50"/>
        <cfvo type="max"/>
        <color rgb="FFF8696B"/>
        <color rgb="FFFFEB84"/>
        <color rgb="FF63BE7B"/>
      </colorScale>
    </cfRule>
  </conditionalFormatting>
  <conditionalFormatting sqref="AM58">
    <cfRule type="colorScale" priority="145">
      <colorScale>
        <cfvo type="min"/>
        <cfvo type="percentile" val="50"/>
        <cfvo type="max"/>
        <color rgb="FFF8696B"/>
        <color rgb="FFFFEB84"/>
        <color rgb="FF63BE7B"/>
      </colorScale>
    </cfRule>
  </conditionalFormatting>
  <conditionalFormatting sqref="AM59 AI59">
    <cfRule type="colorScale" priority="129">
      <colorScale>
        <cfvo type="min"/>
        <cfvo type="percentile" val="50"/>
        <cfvo type="max"/>
        <color rgb="FFF8696B"/>
        <color rgb="FFFFEB84"/>
        <color rgb="FF63BE7B"/>
      </colorScale>
    </cfRule>
  </conditionalFormatting>
  <conditionalFormatting sqref="AM59">
    <cfRule type="colorScale" priority="134">
      <colorScale>
        <cfvo type="min"/>
        <cfvo type="percentile" val="50"/>
        <cfvo type="max"/>
        <color rgb="FFF8696B"/>
        <color rgb="FFFFEB84"/>
        <color rgb="FF63BE7B"/>
      </colorScale>
    </cfRule>
  </conditionalFormatting>
  <conditionalFormatting sqref="AM60 AI60">
    <cfRule type="colorScale" priority="118">
      <colorScale>
        <cfvo type="min"/>
        <cfvo type="percentile" val="50"/>
        <cfvo type="max"/>
        <color rgb="FFF8696B"/>
        <color rgb="FFFFEB84"/>
        <color rgb="FF63BE7B"/>
      </colorScale>
    </cfRule>
  </conditionalFormatting>
  <conditionalFormatting sqref="AM60">
    <cfRule type="colorScale" priority="123">
      <colorScale>
        <cfvo type="min"/>
        <cfvo type="percentile" val="50"/>
        <cfvo type="max"/>
        <color rgb="FFF8696B"/>
        <color rgb="FFFFEB84"/>
        <color rgb="FF63BE7B"/>
      </colorScale>
    </cfRule>
  </conditionalFormatting>
  <conditionalFormatting sqref="BB51:BC51">
    <cfRule type="colorScale" priority="234">
      <colorScale>
        <cfvo type="min"/>
        <cfvo type="percentile" val="50"/>
        <cfvo type="max"/>
        <color rgb="FF63BE7B"/>
        <color rgb="FFFFEB84"/>
        <color rgb="FFF8696B"/>
      </colorScale>
    </cfRule>
  </conditionalFormatting>
  <conditionalFormatting sqref="BB52:BC52">
    <cfRule type="colorScale" priority="228">
      <colorScale>
        <cfvo type="min"/>
        <cfvo type="percentile" val="50"/>
        <cfvo type="max"/>
        <color rgb="FF63BE7B"/>
        <color rgb="FFFFEB84"/>
        <color rgb="FFF8696B"/>
      </colorScale>
    </cfRule>
  </conditionalFormatting>
  <conditionalFormatting sqref="BE45 AE45">
    <cfRule type="colorScale" priority="33">
      <colorScale>
        <cfvo type="min"/>
        <cfvo type="percentile" val="50"/>
        <cfvo type="max"/>
        <color rgb="FF63BE7B"/>
        <color rgb="FFFFEB84"/>
        <color rgb="FFF8696B"/>
      </colorScale>
    </cfRule>
  </conditionalFormatting>
  <conditionalFormatting sqref="BE45">
    <cfRule type="colorScale" priority="38">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onditionalFormatting>
  <conditionalFormatting sqref="BE46 AE46">
    <cfRule type="colorScale" priority="6">
      <colorScale>
        <cfvo type="min"/>
        <cfvo type="percentile" val="50"/>
        <cfvo type="max"/>
        <color rgb="FF63BE7B"/>
        <color rgb="FFFFEB84"/>
        <color rgb="FFF8696B"/>
      </colorScale>
    </cfRule>
    <cfRule type="colorScale" priority="17">
      <colorScale>
        <cfvo type="min"/>
        <cfvo type="percentile" val="50"/>
        <cfvo type="max"/>
        <color rgb="FF63BE7B"/>
        <color rgb="FFFFEB84"/>
        <color rgb="FFF8696B"/>
      </colorScale>
    </cfRule>
  </conditionalFormatting>
  <conditionalFormatting sqref="BE46">
    <cfRule type="colorScale" priority="8">
      <colorScale>
        <cfvo type="min"/>
        <cfvo type="percentile" val="50"/>
        <cfvo type="max"/>
        <color rgb="FF63BE7B"/>
        <color rgb="FFFFEB84"/>
        <color rgb="FFF8696B"/>
      </colorScale>
    </cfRule>
    <cfRule type="colorScale" priority="22">
      <colorScale>
        <cfvo type="min"/>
        <cfvo type="percentile" val="50"/>
        <cfvo type="max"/>
        <color rgb="FF63BE7B"/>
        <color rgb="FFFFEB84"/>
        <color rgb="FFF8696B"/>
      </colorScale>
    </cfRule>
    <cfRule type="colorScale" priority="19">
      <colorScale>
        <cfvo type="min"/>
        <cfvo type="percentile" val="50"/>
        <cfvo type="max"/>
        <color rgb="FF63BE7B"/>
        <color rgb="FFFFEB84"/>
        <color rgb="FFF8696B"/>
      </colorScale>
    </cfRule>
    <cfRule type="colorScale" priority="11">
      <colorScale>
        <cfvo type="min"/>
        <cfvo type="percentile" val="50"/>
        <cfvo type="max"/>
        <color rgb="FF63BE7B"/>
        <color rgb="FFFFEB84"/>
        <color rgb="FFF8696B"/>
      </colorScale>
    </cfRule>
  </conditionalFormatting>
  <conditionalFormatting sqref="BE54 BJ54">
    <cfRule type="colorScale" priority="212">
      <colorScale>
        <cfvo type="min"/>
        <cfvo type="percentile" val="50"/>
        <cfvo type="max"/>
        <color rgb="FF63BE7B"/>
        <color rgb="FFFFEB84"/>
        <color rgb="FFF8696B"/>
      </colorScale>
    </cfRule>
  </conditionalFormatting>
  <conditionalFormatting sqref="BE55">
    <cfRule type="colorScale" priority="179">
      <colorScale>
        <cfvo type="min"/>
        <cfvo type="percentile" val="50"/>
        <cfvo type="max"/>
        <color rgb="FF63BE7B"/>
        <color rgb="FFFFEB84"/>
        <color rgb="FFF8696B"/>
      </colorScale>
    </cfRule>
  </conditionalFormatting>
  <conditionalFormatting sqref="BE53:BF53">
    <cfRule type="colorScale" priority="223">
      <colorScale>
        <cfvo type="min"/>
        <cfvo type="percentile" val="50"/>
        <cfvo type="max"/>
        <color rgb="FF63BE7B"/>
        <color rgb="FFFFEB84"/>
        <color rgb="FFF8696B"/>
      </colorScale>
    </cfRule>
  </conditionalFormatting>
  <conditionalFormatting sqref="BG45 BB45">
    <cfRule type="colorScale" priority="30">
      <colorScale>
        <cfvo type="min"/>
        <cfvo type="percentile" val="50"/>
        <cfvo type="max"/>
        <color rgb="FF63BE7B"/>
        <color rgb="FFFFEB84"/>
        <color rgb="FFF8696B"/>
      </colorScale>
    </cfRule>
  </conditionalFormatting>
  <conditionalFormatting sqref="BG46 BB46">
    <cfRule type="colorScale" priority="14">
      <colorScale>
        <cfvo type="min"/>
        <cfvo type="percentile" val="50"/>
        <cfvo type="max"/>
        <color rgb="FF63BE7B"/>
        <color rgb="FFFFEB84"/>
        <color rgb="FFF8696B"/>
      </colorScale>
    </cfRule>
  </conditionalFormatting>
  <conditionalFormatting sqref="BG46">
    <cfRule type="colorScale" priority="3">
      <colorScale>
        <cfvo type="min"/>
        <cfvo type="percentile" val="50"/>
        <cfvo type="max"/>
        <color rgb="FF63BE7B"/>
        <color rgb="FFFFEB84"/>
        <color rgb="FFF8696B"/>
      </colorScale>
    </cfRule>
    <cfRule type="colorScale" priority="27">
      <colorScale>
        <cfvo type="min"/>
        <cfvo type="percentile" val="50"/>
        <cfvo type="max"/>
        <color rgb="FF63BE7B"/>
        <color rgb="FFFFEB84"/>
        <color rgb="FFF8696B"/>
      </colorScale>
    </cfRule>
  </conditionalFormatting>
  <conditionalFormatting sqref="BH41 AH41 AD41">
    <cfRule type="colorScale" priority="87">
      <colorScale>
        <cfvo type="min"/>
        <cfvo type="percentile" val="50"/>
        <cfvo type="max"/>
        <color rgb="FF63BE7B"/>
        <color rgb="FFFFEB84"/>
        <color rgb="FFF8696B"/>
      </colorScale>
    </cfRule>
  </conditionalFormatting>
  <conditionalFormatting sqref="BH41">
    <cfRule type="colorScale" priority="88">
      <colorScale>
        <cfvo type="min"/>
        <cfvo type="percentile" val="50"/>
        <cfvo type="max"/>
        <color rgb="FF63BE7B"/>
        <color rgb="FFFFEB84"/>
        <color rgb="FFF8696B"/>
      </colorScale>
    </cfRule>
  </conditionalFormatting>
  <conditionalFormatting sqref="BH44 BG45">
    <cfRule type="colorScale" priority="79">
      <colorScale>
        <cfvo type="min"/>
        <cfvo type="percentile" val="50"/>
        <cfvo type="max"/>
        <color rgb="FF63BE7B"/>
        <color rgb="FFFFEB84"/>
        <color rgb="FFF8696B"/>
      </colorScale>
    </cfRule>
  </conditionalFormatting>
  <conditionalFormatting sqref="BH54 AD54 AH54 AJ54:AK54">
    <cfRule type="colorScale" priority="215">
      <colorScale>
        <cfvo type="min"/>
        <cfvo type="percentile" val="50"/>
        <cfvo type="max"/>
        <color rgb="FF63BE7B"/>
        <color rgb="FFFFEB84"/>
        <color rgb="FFF8696B"/>
      </colorScale>
    </cfRule>
  </conditionalFormatting>
  <conditionalFormatting sqref="BH54 AK54">
    <cfRule type="colorScale" priority="216">
      <colorScale>
        <cfvo type="min"/>
        <cfvo type="percentile" val="50"/>
        <cfvo type="max"/>
        <color rgb="FF63BE7B"/>
        <color rgb="FFFFEB84"/>
        <color rgb="FFF8696B"/>
      </colorScale>
    </cfRule>
  </conditionalFormatting>
  <conditionalFormatting sqref="BH54">
    <cfRule type="colorScale" priority="214">
      <colorScale>
        <cfvo type="min"/>
        <cfvo type="percentile" val="50"/>
        <cfvo type="max"/>
        <color rgb="FF63BE7B"/>
        <color rgb="FFFFEB84"/>
        <color rgb="FFF8696B"/>
      </colorScale>
    </cfRule>
  </conditionalFormatting>
  <conditionalFormatting sqref="BH55">
    <cfRule type="colorScale" priority="183">
      <colorScale>
        <cfvo type="min"/>
        <cfvo type="percentile" val="50"/>
        <cfvo type="max"/>
        <color rgb="FF63BE7B"/>
        <color rgb="FFFFEB84"/>
        <color rgb="FFF8696B"/>
      </colorScale>
    </cfRule>
  </conditionalFormatting>
  <conditionalFormatting sqref="BH56 AK56">
    <cfRule type="colorScale" priority="172">
      <colorScale>
        <cfvo type="min"/>
        <cfvo type="percentile" val="50"/>
        <cfvo type="max"/>
        <color rgb="FF63BE7B"/>
        <color rgb="FFFFEB84"/>
        <color rgb="FFF8696B"/>
      </colorScale>
    </cfRule>
  </conditionalFormatting>
  <conditionalFormatting sqref="BH56">
    <cfRule type="colorScale" priority="170">
      <colorScale>
        <cfvo type="min"/>
        <cfvo type="percentile" val="50"/>
        <cfvo type="max"/>
        <color rgb="FF63BE7B"/>
        <color rgb="FFFFEB84"/>
        <color rgb="FFF8696B"/>
      </colorScale>
    </cfRule>
  </conditionalFormatting>
  <conditionalFormatting sqref="BH57 AK57">
    <cfRule type="colorScale" priority="161">
      <colorScale>
        <cfvo type="min"/>
        <cfvo type="percentile" val="50"/>
        <cfvo type="max"/>
        <color rgb="FF63BE7B"/>
        <color rgb="FFFFEB84"/>
        <color rgb="FFF8696B"/>
      </colorScale>
    </cfRule>
  </conditionalFormatting>
  <conditionalFormatting sqref="BH57">
    <cfRule type="colorScale" priority="159">
      <colorScale>
        <cfvo type="min"/>
        <cfvo type="percentile" val="50"/>
        <cfvo type="max"/>
        <color rgb="FF63BE7B"/>
        <color rgb="FFFFEB84"/>
        <color rgb="FFF8696B"/>
      </colorScale>
    </cfRule>
  </conditionalFormatting>
  <conditionalFormatting sqref="BH58 AK58">
    <cfRule type="colorScale" priority="150">
      <colorScale>
        <cfvo type="min"/>
        <cfvo type="percentile" val="50"/>
        <cfvo type="max"/>
        <color rgb="FF63BE7B"/>
        <color rgb="FFFFEB84"/>
        <color rgb="FFF8696B"/>
      </colorScale>
    </cfRule>
  </conditionalFormatting>
  <conditionalFormatting sqref="BH58">
    <cfRule type="colorScale" priority="148">
      <colorScale>
        <cfvo type="min"/>
        <cfvo type="percentile" val="50"/>
        <cfvo type="max"/>
        <color rgb="FF63BE7B"/>
        <color rgb="FFFFEB84"/>
        <color rgb="FFF8696B"/>
      </colorScale>
    </cfRule>
  </conditionalFormatting>
  <conditionalFormatting sqref="BH59 AH59 AD59 AJ59:AK59">
    <cfRule type="colorScale" priority="138">
      <colorScale>
        <cfvo type="min"/>
        <cfvo type="percentile" val="50"/>
        <cfvo type="max"/>
        <color rgb="FF63BE7B"/>
        <color rgb="FFFFEB84"/>
        <color rgb="FFF8696B"/>
      </colorScale>
    </cfRule>
  </conditionalFormatting>
  <conditionalFormatting sqref="BH59 AK59">
    <cfRule type="colorScale" priority="139">
      <colorScale>
        <cfvo type="min"/>
        <cfvo type="percentile" val="50"/>
        <cfvo type="max"/>
        <color rgb="FF63BE7B"/>
        <color rgb="FFFFEB84"/>
        <color rgb="FFF8696B"/>
      </colorScale>
    </cfRule>
  </conditionalFormatting>
  <conditionalFormatting sqref="BH59">
    <cfRule type="colorScale" priority="137">
      <colorScale>
        <cfvo type="min"/>
        <cfvo type="percentile" val="50"/>
        <cfvo type="max"/>
        <color rgb="FF63BE7B"/>
        <color rgb="FFFFEB84"/>
        <color rgb="FFF8696B"/>
      </colorScale>
    </cfRule>
  </conditionalFormatting>
  <conditionalFormatting sqref="BH60 AH60 AD60 AJ60:AK60">
    <cfRule type="colorScale" priority="127">
      <colorScale>
        <cfvo type="min"/>
        <cfvo type="percentile" val="50"/>
        <cfvo type="max"/>
        <color rgb="FF63BE7B"/>
        <color rgb="FFFFEB84"/>
        <color rgb="FFF8696B"/>
      </colorScale>
    </cfRule>
  </conditionalFormatting>
  <conditionalFormatting sqref="BH60 AK60">
    <cfRule type="colorScale" priority="128">
      <colorScale>
        <cfvo type="min"/>
        <cfvo type="percentile" val="50"/>
        <cfvo type="max"/>
        <color rgb="FF63BE7B"/>
        <color rgb="FFFFEB84"/>
        <color rgb="FFF8696B"/>
      </colorScale>
    </cfRule>
  </conditionalFormatting>
  <conditionalFormatting sqref="BH60">
    <cfRule type="colorScale" priority="126">
      <colorScale>
        <cfvo type="min"/>
        <cfvo type="percentile" val="50"/>
        <cfvo type="max"/>
        <color rgb="FF63BE7B"/>
        <color rgb="FFFFEB84"/>
        <color rgb="FFF8696B"/>
      </colorScale>
    </cfRule>
  </conditionalFormatting>
  <conditionalFormatting sqref="BH45:BI45">
    <cfRule type="colorScale" priority="31">
      <colorScale>
        <cfvo type="min"/>
        <cfvo type="percentile" val="50"/>
        <cfvo type="max"/>
        <color rgb="FF63BE7B"/>
        <color rgb="FFFFEB84"/>
        <color rgb="FFF8696B"/>
      </colorScale>
    </cfRule>
  </conditionalFormatting>
  <conditionalFormatting sqref="BH46:BI46">
    <cfRule type="colorScale" priority="4">
      <colorScale>
        <cfvo type="min"/>
        <cfvo type="percentile" val="50"/>
        <cfvo type="max"/>
        <color rgb="FF63BE7B"/>
        <color rgb="FFFFEB84"/>
        <color rgb="FFF8696B"/>
      </colorScale>
    </cfRule>
    <cfRule type="colorScale" priority="15">
      <colorScale>
        <cfvo type="min"/>
        <cfvo type="percentile" val="50"/>
        <cfvo type="max"/>
        <color rgb="FF63BE7B"/>
        <color rgb="FFFFEB84"/>
        <color rgb="FFF8696B"/>
      </colorScale>
    </cfRule>
  </conditionalFormatting>
  <conditionalFormatting sqref="BJ41 BE41">
    <cfRule type="colorScale" priority="84">
      <colorScale>
        <cfvo type="min"/>
        <cfvo type="percentile" val="50"/>
        <cfvo type="max"/>
        <color rgb="FF63BE7B"/>
        <color rgb="FFFFEB84"/>
        <color rgb="FFF8696B"/>
      </colorScale>
    </cfRule>
  </conditionalFormatting>
  <conditionalFormatting sqref="BJ53">
    <cfRule type="colorScale" priority="218">
      <colorScale>
        <cfvo type="min"/>
        <cfvo type="percentile" val="50"/>
        <cfvo type="max"/>
        <color rgb="FFF8696B"/>
        <color rgb="FFFFEB84"/>
        <color rgb="FF63BE7B"/>
      </colorScale>
    </cfRule>
  </conditionalFormatting>
  <conditionalFormatting sqref="BJ55">
    <cfRule type="colorScale" priority="190">
      <colorScale>
        <cfvo type="min"/>
        <cfvo type="percentile" val="50"/>
        <cfvo type="max"/>
        <color rgb="FF63BE7B"/>
        <color rgb="FFFFEB84"/>
        <color rgb="FFF8696B"/>
      </colorScale>
    </cfRule>
  </conditionalFormatting>
  <conditionalFormatting sqref="BJ56 BE56">
    <cfRule type="colorScale" priority="168">
      <colorScale>
        <cfvo type="min"/>
        <cfvo type="percentile" val="50"/>
        <cfvo type="max"/>
        <color rgb="FF63BE7B"/>
        <color rgb="FFFFEB84"/>
        <color rgb="FFF8696B"/>
      </colorScale>
    </cfRule>
  </conditionalFormatting>
  <conditionalFormatting sqref="BJ57 BE57">
    <cfRule type="colorScale" priority="157">
      <colorScale>
        <cfvo type="min"/>
        <cfvo type="percentile" val="50"/>
        <cfvo type="max"/>
        <color rgb="FF63BE7B"/>
        <color rgb="FFFFEB84"/>
        <color rgb="FFF8696B"/>
      </colorScale>
    </cfRule>
  </conditionalFormatting>
  <conditionalFormatting sqref="BJ58 BE58">
    <cfRule type="colorScale" priority="146">
      <colorScale>
        <cfvo type="min"/>
        <cfvo type="percentile" val="50"/>
        <cfvo type="max"/>
        <color rgb="FF63BE7B"/>
        <color rgb="FFFFEB84"/>
        <color rgb="FFF8696B"/>
      </colorScale>
    </cfRule>
  </conditionalFormatting>
  <conditionalFormatting sqref="BJ59 BE59">
    <cfRule type="colorScale" priority="135">
      <colorScale>
        <cfvo type="min"/>
        <cfvo type="percentile" val="50"/>
        <cfvo type="max"/>
        <color rgb="FF63BE7B"/>
        <color rgb="FFFFEB84"/>
        <color rgb="FFF8696B"/>
      </colorScale>
    </cfRule>
  </conditionalFormatting>
  <conditionalFormatting sqref="BJ60 BE60">
    <cfRule type="colorScale" priority="124">
      <colorScale>
        <cfvo type="min"/>
        <cfvo type="percentile" val="50"/>
        <cfvo type="max"/>
        <color rgb="FF63BE7B"/>
        <color rgb="FFFFEB84"/>
        <color rgb="FFF8696B"/>
      </colorScale>
    </cfRule>
  </conditionalFormatting>
  <conditionalFormatting sqref="BK41:BL41">
    <cfRule type="colorScale" priority="85">
      <colorScale>
        <cfvo type="min"/>
        <cfvo type="percentile" val="50"/>
        <cfvo type="max"/>
        <color rgb="FF63BE7B"/>
        <color rgb="FFFFEB84"/>
        <color rgb="FFF8696B"/>
      </colorScale>
    </cfRule>
  </conditionalFormatting>
  <conditionalFormatting sqref="BK54:BL54">
    <cfRule type="colorScale" priority="213">
      <colorScale>
        <cfvo type="min"/>
        <cfvo type="percentile" val="50"/>
        <cfvo type="max"/>
        <color rgb="FF63BE7B"/>
        <color rgb="FFFFEB84"/>
        <color rgb="FFF8696B"/>
      </colorScale>
    </cfRule>
  </conditionalFormatting>
  <conditionalFormatting sqref="BK55:BL55">
    <cfRule type="colorScale" priority="180">
      <colorScale>
        <cfvo type="min"/>
        <cfvo type="percentile" val="50"/>
        <cfvo type="max"/>
        <color rgb="FF63BE7B"/>
        <color rgb="FFFFEB84"/>
        <color rgb="FFF8696B"/>
      </colorScale>
    </cfRule>
  </conditionalFormatting>
  <conditionalFormatting sqref="BK56:BL56">
    <cfRule type="colorScale" priority="169">
      <colorScale>
        <cfvo type="min"/>
        <cfvo type="percentile" val="50"/>
        <cfvo type="max"/>
        <color rgb="FF63BE7B"/>
        <color rgb="FFFFEB84"/>
        <color rgb="FFF8696B"/>
      </colorScale>
    </cfRule>
  </conditionalFormatting>
  <conditionalFormatting sqref="BK57:BL57">
    <cfRule type="colorScale" priority="158">
      <colorScale>
        <cfvo type="min"/>
        <cfvo type="percentile" val="50"/>
        <cfvo type="max"/>
        <color rgb="FF63BE7B"/>
        <color rgb="FFFFEB84"/>
        <color rgb="FFF8696B"/>
      </colorScale>
    </cfRule>
  </conditionalFormatting>
  <conditionalFormatting sqref="BK58:BL58">
    <cfRule type="colorScale" priority="147">
      <colorScale>
        <cfvo type="min"/>
        <cfvo type="percentile" val="50"/>
        <cfvo type="max"/>
        <color rgb="FF63BE7B"/>
        <color rgb="FFFFEB84"/>
        <color rgb="FFF8696B"/>
      </colorScale>
    </cfRule>
  </conditionalFormatting>
  <conditionalFormatting sqref="BK59:BL59">
    <cfRule type="colorScale" priority="136">
      <colorScale>
        <cfvo type="min"/>
        <cfvo type="percentile" val="50"/>
        <cfvo type="max"/>
        <color rgb="FF63BE7B"/>
        <color rgb="FFFFEB84"/>
        <color rgb="FFF8696B"/>
      </colorScale>
    </cfRule>
  </conditionalFormatting>
  <conditionalFormatting sqref="BK60:BL60">
    <cfRule type="colorScale" priority="125">
      <colorScale>
        <cfvo type="min"/>
        <cfvo type="percentile" val="50"/>
        <cfvo type="max"/>
        <color rgb="FF63BE7B"/>
        <color rgb="FFFFEB84"/>
        <color rgb="FFF8696B"/>
      </colorScale>
    </cfRule>
  </conditionalFormatting>
  <hyperlinks>
    <hyperlink ref="Z5" r:id="rId1" xr:uid="{00000000-0004-0000-0100-000000000000}"/>
    <hyperlink ref="Z13" r:id="rId2" xr:uid="{00000000-0004-0000-0100-000001000000}"/>
    <hyperlink ref="Z23" r:id="rId3" xr:uid="{00000000-0004-0000-0100-000002000000}"/>
    <hyperlink ref="Z25" r:id="rId4" xr:uid="{00000000-0004-0000-0100-000003000000}"/>
    <hyperlink ref="Z28" r:id="rId5" xr:uid="{00000000-0004-0000-0100-000004000000}"/>
  </hyperlinks>
  <pageMargins left="0.7" right="0.7" top="0.75" bottom="0.75" header="0.3" footer="0.3"/>
  <pageSetup paperSize="9" orientation="portrait" horizontalDpi="4294967293" verticalDpi="0"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37"/>
  <sheetViews>
    <sheetView zoomScale="75" zoomScaleNormal="75" workbookViewId="0">
      <selection activeCell="C15" sqref="C15"/>
    </sheetView>
  </sheetViews>
  <sheetFormatPr defaultColWidth="47.6640625" defaultRowHeight="13.2" x14ac:dyDescent="0.25"/>
  <cols>
    <col min="1" max="1" width="5" style="21" customWidth="1"/>
    <col min="2" max="2" width="32" style="21" bestFit="1" customWidth="1"/>
    <col min="3" max="3" width="29.6640625" style="21" bestFit="1" customWidth="1"/>
    <col min="4" max="4" width="51.109375" style="24" customWidth="1"/>
    <col min="5" max="5" width="9.44140625" style="21" customWidth="1"/>
    <col min="6" max="6" width="80.88671875" style="21" bestFit="1" customWidth="1"/>
    <col min="7" max="16384" width="47.6640625" style="21"/>
  </cols>
  <sheetData>
    <row r="1" spans="1:6" x14ac:dyDescent="0.25">
      <c r="A1" s="22" t="s">
        <v>2404</v>
      </c>
      <c r="B1" s="23" t="s">
        <v>2405</v>
      </c>
    </row>
    <row r="2" spans="1:6" x14ac:dyDescent="0.25">
      <c r="A2" s="25">
        <v>0</v>
      </c>
      <c r="B2" s="25" t="s">
        <v>73</v>
      </c>
      <c r="C2" s="25" t="s">
        <v>73</v>
      </c>
    </row>
    <row r="3" spans="1:6" x14ac:dyDescent="0.25">
      <c r="A3" s="25">
        <v>1</v>
      </c>
      <c r="B3" s="25" t="s">
        <v>2406</v>
      </c>
      <c r="C3" s="21" t="s">
        <v>2407</v>
      </c>
      <c r="D3" s="25" t="s">
        <v>2408</v>
      </c>
    </row>
    <row r="4" spans="1:6" ht="24" customHeight="1" x14ac:dyDescent="0.25">
      <c r="A4" s="25">
        <v>2</v>
      </c>
      <c r="B4" s="25" t="s">
        <v>2409</v>
      </c>
      <c r="C4" s="21" t="s">
        <v>2410</v>
      </c>
      <c r="D4" s="25" t="s">
        <v>2411</v>
      </c>
      <c r="E4" s="25" t="s">
        <v>2412</v>
      </c>
      <c r="F4" s="24" t="s">
        <v>2413</v>
      </c>
    </row>
    <row r="5" spans="1:6" x14ac:dyDescent="0.25">
      <c r="A5" s="25">
        <v>3</v>
      </c>
      <c r="B5" s="25" t="s">
        <v>2414</v>
      </c>
      <c r="C5" s="21" t="s">
        <v>2415</v>
      </c>
      <c r="D5" s="25" t="s">
        <v>2416</v>
      </c>
    </row>
    <row r="6" spans="1:6" x14ac:dyDescent="0.25">
      <c r="A6" s="25">
        <v>4</v>
      </c>
      <c r="B6" s="25" t="s">
        <v>2417</v>
      </c>
      <c r="C6" s="21" t="s">
        <v>2418</v>
      </c>
      <c r="D6" s="25" t="s">
        <v>2419</v>
      </c>
    </row>
    <row r="7" spans="1:6" x14ac:dyDescent="0.25">
      <c r="A7" s="25">
        <v>5</v>
      </c>
      <c r="B7" s="25" t="s">
        <v>2420</v>
      </c>
      <c r="C7" s="21" t="s">
        <v>2421</v>
      </c>
      <c r="D7" s="25" t="s">
        <v>2422</v>
      </c>
    </row>
    <row r="9" spans="1:6" x14ac:dyDescent="0.25">
      <c r="B9" s="23" t="s">
        <v>2423</v>
      </c>
    </row>
    <row r="10" spans="1:6" x14ac:dyDescent="0.25">
      <c r="A10" s="21">
        <v>0</v>
      </c>
      <c r="B10" s="23" t="s">
        <v>73</v>
      </c>
      <c r="C10" s="21" t="s">
        <v>73</v>
      </c>
    </row>
    <row r="11" spans="1:6" x14ac:dyDescent="0.25">
      <c r="A11" s="21">
        <v>1</v>
      </c>
      <c r="B11" s="21" t="s">
        <v>2424</v>
      </c>
      <c r="C11" s="21" t="s">
        <v>2425</v>
      </c>
    </row>
    <row r="12" spans="1:6" x14ac:dyDescent="0.25">
      <c r="A12" s="21">
        <v>2</v>
      </c>
      <c r="B12" s="21" t="s">
        <v>2426</v>
      </c>
      <c r="C12" s="21" t="s">
        <v>2427</v>
      </c>
      <c r="D12" s="26"/>
    </row>
    <row r="13" spans="1:6" x14ac:dyDescent="0.25">
      <c r="A13" s="21">
        <v>3</v>
      </c>
      <c r="B13" s="21" t="s">
        <v>2428</v>
      </c>
      <c r="C13" s="21" t="s">
        <v>2429</v>
      </c>
    </row>
    <row r="14" spans="1:6" x14ac:dyDescent="0.25">
      <c r="A14" s="21">
        <v>4</v>
      </c>
      <c r="B14" s="21" t="s">
        <v>3139</v>
      </c>
      <c r="C14" s="21" t="s">
        <v>3140</v>
      </c>
    </row>
    <row r="15" spans="1:6" x14ac:dyDescent="0.25">
      <c r="A15" s="21">
        <v>5</v>
      </c>
      <c r="B15" s="21" t="s">
        <v>3137</v>
      </c>
      <c r="C15" s="21" t="s">
        <v>3136</v>
      </c>
    </row>
    <row r="16" spans="1:6" x14ac:dyDescent="0.25">
      <c r="A16" s="21">
        <v>6</v>
      </c>
      <c r="B16" s="21" t="s">
        <v>2430</v>
      </c>
      <c r="C16" s="21" t="s">
        <v>2431</v>
      </c>
    </row>
    <row r="17" spans="1:4" x14ac:dyDescent="0.25">
      <c r="A17" s="21">
        <v>7</v>
      </c>
      <c r="B17" s="21" t="s">
        <v>2432</v>
      </c>
      <c r="C17" s="21" t="s">
        <v>2433</v>
      </c>
      <c r="D17" s="21"/>
    </row>
    <row r="18" spans="1:4" x14ac:dyDescent="0.25">
      <c r="A18" s="21">
        <v>8</v>
      </c>
      <c r="B18" s="21" t="s">
        <v>2434</v>
      </c>
      <c r="C18" s="21" t="s">
        <v>2435</v>
      </c>
      <c r="D18" s="21"/>
    </row>
    <row r="19" spans="1:4" x14ac:dyDescent="0.25">
      <c r="C19"/>
    </row>
    <row r="20" spans="1:4" x14ac:dyDescent="0.25">
      <c r="B20" s="23" t="s">
        <v>2436</v>
      </c>
    </row>
    <row r="21" spans="1:4" x14ac:dyDescent="0.25">
      <c r="A21" s="21">
        <v>0</v>
      </c>
      <c r="B21" s="21" t="s">
        <v>73</v>
      </c>
      <c r="C21" s="21" t="s">
        <v>73</v>
      </c>
    </row>
    <row r="22" spans="1:4" ht="21" x14ac:dyDescent="0.25">
      <c r="A22" s="21">
        <v>1</v>
      </c>
      <c r="B22" s="21" t="s">
        <v>2437</v>
      </c>
      <c r="C22" s="21" t="s">
        <v>2438</v>
      </c>
      <c r="D22" s="24" t="s">
        <v>2439</v>
      </c>
    </row>
    <row r="23" spans="1:4" ht="31.2" x14ac:dyDescent="0.25">
      <c r="A23" s="21">
        <v>2</v>
      </c>
      <c r="B23" s="21" t="s">
        <v>2440</v>
      </c>
      <c r="C23" s="21" t="s">
        <v>2441</v>
      </c>
      <c r="D23" s="24" t="s">
        <v>2442</v>
      </c>
    </row>
    <row r="24" spans="1:4" ht="21" x14ac:dyDescent="0.25">
      <c r="A24" s="21">
        <v>3</v>
      </c>
      <c r="B24" s="21" t="s">
        <v>2443</v>
      </c>
      <c r="C24" s="21" t="s">
        <v>2444</v>
      </c>
      <c r="D24" s="24" t="s">
        <v>2445</v>
      </c>
    </row>
    <row r="25" spans="1:4" x14ac:dyDescent="0.25">
      <c r="A25" s="21">
        <v>4</v>
      </c>
      <c r="B25" s="21" t="s">
        <v>2446</v>
      </c>
      <c r="C25" s="21" t="s">
        <v>2447</v>
      </c>
      <c r="D25" s="24" t="s">
        <v>2448</v>
      </c>
    </row>
    <row r="26" spans="1:4" ht="21" x14ac:dyDescent="0.25">
      <c r="A26" s="21">
        <v>5</v>
      </c>
      <c r="B26" s="21" t="s">
        <v>2449</v>
      </c>
      <c r="C26" s="21" t="s">
        <v>2450</v>
      </c>
      <c r="D26" s="24" t="s">
        <v>2451</v>
      </c>
    </row>
    <row r="28" spans="1:4" x14ac:dyDescent="0.25">
      <c r="B28" s="23" t="s">
        <v>2452</v>
      </c>
    </row>
    <row r="29" spans="1:4" x14ac:dyDescent="0.25">
      <c r="A29" s="21">
        <v>0</v>
      </c>
      <c r="B29" s="21" t="s">
        <v>73</v>
      </c>
      <c r="C29" s="21" t="s">
        <v>73</v>
      </c>
    </row>
    <row r="30" spans="1:4" x14ac:dyDescent="0.25">
      <c r="A30" s="21">
        <v>1</v>
      </c>
      <c r="B30" s="21" t="s">
        <v>2453</v>
      </c>
      <c r="C30" s="21" t="s">
        <v>2453</v>
      </c>
    </row>
    <row r="31" spans="1:4" x14ac:dyDescent="0.25">
      <c r="A31" s="21">
        <v>2</v>
      </c>
      <c r="B31" s="21" t="s">
        <v>2454</v>
      </c>
      <c r="C31" s="21" t="s">
        <v>2455</v>
      </c>
    </row>
    <row r="32" spans="1:4" x14ac:dyDescent="0.25">
      <c r="A32" s="21">
        <v>3</v>
      </c>
      <c r="B32" s="21" t="s">
        <v>2456</v>
      </c>
      <c r="C32" s="21" t="s">
        <v>2457</v>
      </c>
    </row>
    <row r="33" spans="1:3" x14ac:dyDescent="0.25">
      <c r="A33" s="21">
        <v>4</v>
      </c>
      <c r="B33" s="21" t="s">
        <v>2458</v>
      </c>
      <c r="C33" s="21" t="s">
        <v>2459</v>
      </c>
    </row>
    <row r="34" spans="1:3" x14ac:dyDescent="0.25">
      <c r="A34" s="21">
        <v>5</v>
      </c>
      <c r="B34" s="21" t="s">
        <v>2460</v>
      </c>
      <c r="C34" s="21" t="s">
        <v>2461</v>
      </c>
    </row>
    <row r="35" spans="1:3" x14ac:dyDescent="0.25">
      <c r="A35" s="21">
        <v>6</v>
      </c>
      <c r="B35" s="21" t="s">
        <v>2462</v>
      </c>
      <c r="C35" s="21" t="s">
        <v>2463</v>
      </c>
    </row>
    <row r="36" spans="1:3" x14ac:dyDescent="0.25">
      <c r="A36" s="21">
        <v>7</v>
      </c>
      <c r="B36" s="21" t="s">
        <v>2464</v>
      </c>
      <c r="C36" s="21" t="s">
        <v>2465</v>
      </c>
    </row>
    <row r="37" spans="1:3" x14ac:dyDescent="0.25">
      <c r="A37" s="21">
        <v>8</v>
      </c>
      <c r="B37" s="21" t="s">
        <v>2943</v>
      </c>
      <c r="C37" s="21" t="s">
        <v>2944</v>
      </c>
    </row>
  </sheetData>
  <printOptions gridLines="1"/>
  <pageMargins left="0.75" right="0.75" top="1" bottom="1"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topkastelen_nl</vt:lpstr>
      <vt:lpstr>No_Castles</vt:lpstr>
      <vt:lpstr>Lookups</vt:lpstr>
      <vt:lpstr>bouwconcept</vt:lpstr>
      <vt:lpstr>condition</vt:lpstr>
      <vt:lpstr>ligging</vt:lpstr>
      <vt:lpstr>nocastle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dc:creator>
  <cp:lastModifiedBy>Robert Rongen</cp:lastModifiedBy>
  <dcterms:created xsi:type="dcterms:W3CDTF">2009-01-03T12:48:37Z</dcterms:created>
  <dcterms:modified xsi:type="dcterms:W3CDTF">2026-04-16T19:59:37Z</dcterms:modified>
</cp:coreProperties>
</file>